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e" sheetId="1" state="visible" r:id="rId3"/>
    <sheet name="Datos" sheetId="2" state="visible" r:id="rId4"/>
    <sheet name="Ventas Mensuales" sheetId="3" state="visible" r:id="rId5"/>
    <sheet name="Producto y Marca" sheetId="4" state="visible" r:id="rId6"/>
    <sheet name="Clientes" sheetId="5" state="visible" r:id="rId7"/>
    <sheet name="Vendedores" sheetId="6" state="visible" r:id="rId8"/>
    <sheet name="Segmentacion" sheetId="7" state="visible" r:id="rId9"/>
    <sheet name="Ratios Financieros" sheetId="8" state="visible" r:id="rId10"/>
    <sheet name="Alertas Margen" sheetId="9" state="visible" r:id="rId11"/>
    <sheet name="Escenarios" sheetId="10" state="visible" r:id="rId12"/>
    <sheet name="Estacionalidad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<sst xmlns="http://schemas.openxmlformats.org/spreadsheetml/2006/main" count="23086" uniqueCount="2139">
  <si>
    <t xml:space="preserve">Análisis Financiero de Ventas 2022 — Guía del libro</t>
  </si>
  <si>
    <t xml:space="preserve">Base: 1.901 transacciones de venta de equipos tecnológicos (celulares, portátiles, PC de mesa), enero–diciembre 2022.</t>
  </si>
  <si>
    <t xml:space="preserve">#</t>
  </si>
  <si>
    <t xml:space="preserve">Hoja</t>
  </si>
  <si>
    <t xml:space="preserve">Qué contiene</t>
  </si>
  <si>
    <t xml:space="preserve">Por qué importa</t>
  </si>
  <si>
    <t xml:space="preserve">Indice</t>
  </si>
  <si>
    <t xml:space="preserve">Esta hoja. Explica el propósito de cada pestaña y cómo se conectan entre sí.</t>
  </si>
  <si>
    <t xml:space="preserve">Datos</t>
  </si>
  <si>
    <t xml:space="preserve">Base de datos original limpiada (textos sin espacios ni mayúsculas inconsistentes) y con columnas calculadas: Ventas, Costo Total, Utilidad Bruta, Margen % y Mes.</t>
  </si>
  <si>
    <t xml:space="preserve">Es la única fuente de datos: todas las demás hojas calculan sobre esta con fórmulas (SUMIFS/COUNTIFS), así que si se agregan filas nuevas, el resto del libro se actualiza solo.</t>
  </si>
  <si>
    <t xml:space="preserve">Ventas Mensuales</t>
  </si>
  <si>
    <t xml:space="preserve">Ventas, utilidad y margen por mes, más una previsión de ventas para ene–mar 2023 por regresión lineal (FORECAST).</t>
  </si>
  <si>
    <t xml:space="preserve">Detectar estacionalidad y anticipar flujo de caja. Diciembre se normaliza (solo hay datos hasta el día 14) para no distorsionar la tendencia.</t>
  </si>
  <si>
    <t xml:space="preserve">Producto y Marca</t>
  </si>
  <si>
    <t xml:space="preserve">Ventas, utilidad y margen por producto y por marca, ordenados de mayor a menor.</t>
  </si>
  <si>
    <t xml:space="preserve">Identifica qué productos sostienen la utilidad real (no solo el volumen) y guía decisiones de compra e inventario.</t>
  </si>
  <si>
    <t xml:space="preserve">Clientes</t>
  </si>
  <si>
    <t xml:space="preserve">Ventas por cliente, participación %, acumulado y un índice de concentración (HHI).</t>
  </si>
  <si>
    <t xml:space="preserve">La empresa vende solo a 4 clientes: cuantifica el riesgo de depender de uno solo.</t>
  </si>
  <si>
    <t xml:space="preserve">Vendedores</t>
  </si>
  <si>
    <t xml:space="preserve">Ventas, utilidad, número de transacciones y ticket promedio por empleado, con ranking.</t>
  </si>
  <si>
    <t xml:space="preserve">Base objetiva para evaluar desempeño comercial y comisiones.</t>
  </si>
  <si>
    <t xml:space="preserve">Segmentacion</t>
  </si>
  <si>
    <t xml:space="preserve">Cruces por ciudad, transportadora, tipo de cliente y forma de pago.</t>
  </si>
  <si>
    <t xml:space="preserve">Muestra dependencia logística y de crédito: el 81% de las ventas son a crédito.</t>
  </si>
  <si>
    <t xml:space="preserve">Alertas Margen</t>
  </si>
  <si>
    <t xml:space="preserve">Semáforo por producto frente a un margen objetivo editable, con la utilidad que se deja de ganar.</t>
  </si>
  <si>
    <t xml:space="preserve">Prioriza qué productos renegociar o dejar de vender: Galaxy s23 o Intel Corei7 venden bien pero ganan casi nada.</t>
  </si>
  <si>
    <t xml:space="preserve">Escenarios</t>
  </si>
  <si>
    <t xml:space="preserve">Simulador: cuánto cambia la utilidad si sube el margen o varían las ventas.</t>
  </si>
  <si>
    <t xml:space="preserve">Convierte el diagnóstico en metas: cada punto de margen recuperado tiene un valor en pesos.</t>
  </si>
  <si>
    <t xml:space="preserve">Estacionalidad</t>
  </si>
  <si>
    <t xml:space="preserve">Ventas por trimestre e índice mensual frente al promedio (diciembre normalizado).</t>
  </si>
  <si>
    <t xml:space="preserve">Explica el pico de mayo y el valle de julio; ayuda a planear inventario y caja.</t>
  </si>
  <si>
    <t xml:space="preserve">Ratios Financieros</t>
  </si>
  <si>
    <t xml:space="preserve">Panel de indicadores clave (margen, ticket promedio, concentración, participación de crédito, etc.) enlazados a las demás hojas.</t>
  </si>
  <si>
    <t xml:space="preserve">Resumen ejecutivo de una sola pantalla para tomar decisiones rápido.</t>
  </si>
  <si>
    <t xml:space="preserve">Notas de limpieza de datos aplicadas</t>
  </si>
  <si>
    <t xml:space="preserve">• Se unificaron variantes de texto: "crédito"/"Crédito", "A "/"A" (espacios), "Ing.Industrial"/"Ing. Industrial".</t>
  </si>
  <si>
    <t xml:space="preserve">• Se validó que no existen valores nulos en ninguna columna (1.901 filas, 0 vacíos).</t>
  </si>
  <si>
    <t xml:space="preserve">• Diciembre 2022 solo tiene registros hasta el día 14: cualquier caída de fin de año en el mes debe leerse con cautela.</t>
  </si>
  <si>
    <t xml:space="preserve">• Definiciones: Ventas = Precio unitario × Cantidad. Costo Total = Costo × Cantidad. Utilidad Bruta = Ventas − Costo Total.</t>
  </si>
  <si>
    <t xml:space="preserve">Datos — Base de ventas limpia (fuente única del libro).  Ventas = Precio×Cantidad · Costo Total = Costo×Cantidad · Utilidad Bruta = Ventas−Costo Total · columnas Q,R,S,T,U son fórmulas.</t>
  </si>
  <si>
    <t xml:space="preserve">Fecha</t>
  </si>
  <si>
    <t xml:space="preserve">Idventa</t>
  </si>
  <si>
    <t xml:space="preserve">Producto</t>
  </si>
  <si>
    <t xml:space="preserve">Tipo</t>
  </si>
  <si>
    <t xml:space="preserve">Marca</t>
  </si>
  <si>
    <t xml:space="preserve">Precio (u)</t>
  </si>
  <si>
    <t xml:space="preserve">Costo (u)</t>
  </si>
  <si>
    <t xml:space="preserve">Cant (u)</t>
  </si>
  <si>
    <t xml:space="preserve">Pago cliente</t>
  </si>
  <si>
    <t xml:space="preserve">Cliente</t>
  </si>
  <si>
    <t xml:space="preserve">Ciudad cliente</t>
  </si>
  <si>
    <t xml:space="preserve">Transportadora</t>
  </si>
  <si>
    <t xml:space="preserve">Tipo cliente</t>
  </si>
  <si>
    <t xml:space="preserve">Empleado</t>
  </si>
  <si>
    <t xml:space="preserve">Area</t>
  </si>
  <si>
    <t xml:space="preserve">Profesion</t>
  </si>
  <si>
    <t xml:space="preserve">Ventas</t>
  </si>
  <si>
    <t xml:space="preserve">Costo Total</t>
  </si>
  <si>
    <t xml:space="preserve">Utilidad Bruta</t>
  </si>
  <si>
    <t xml:space="preserve">Margen %</t>
  </si>
  <si>
    <t xml:space="preserve">Mes</t>
  </si>
  <si>
    <t xml:space="preserve">PP_1</t>
  </si>
  <si>
    <t xml:space="preserve">iPhone 11</t>
  </si>
  <si>
    <t xml:space="preserve">Celuar</t>
  </si>
  <si>
    <t xml:space="preserve">Apple</t>
  </si>
  <si>
    <t xml:space="preserve">Crédito</t>
  </si>
  <si>
    <t xml:space="preserve">Smart S.A.S</t>
  </si>
  <si>
    <t xml:space="preserve">Medellín</t>
  </si>
  <si>
    <t xml:space="preserve">Fluvial</t>
  </si>
  <si>
    <t xml:space="preserve">A</t>
  </si>
  <si>
    <t xml:space="preserve">Diego</t>
  </si>
  <si>
    <t xml:space="preserve">Compras</t>
  </si>
  <si>
    <t xml:space="preserve">Ing. Industrial</t>
  </si>
  <si>
    <t xml:space="preserve">PP_2</t>
  </si>
  <si>
    <t xml:space="preserve">Xiaomi 13T</t>
  </si>
  <si>
    <t xml:space="preserve">Xiaomi</t>
  </si>
  <si>
    <t xml:space="preserve">Asociados LTDA</t>
  </si>
  <si>
    <t xml:space="preserve">Bogotá</t>
  </si>
  <si>
    <t xml:space="preserve">Terrestre</t>
  </si>
  <si>
    <t xml:space="preserve">PP_3</t>
  </si>
  <si>
    <t xml:space="preserve">Vivo x80</t>
  </si>
  <si>
    <t xml:space="preserve">Vivo</t>
  </si>
  <si>
    <t xml:space="preserve">Contado</t>
  </si>
  <si>
    <t xml:space="preserve">FullStark</t>
  </si>
  <si>
    <t xml:space="preserve">Bucaramanga</t>
  </si>
  <si>
    <t xml:space="preserve">Aereo</t>
  </si>
  <si>
    <t xml:space="preserve">B</t>
  </si>
  <si>
    <t xml:space="preserve">PP_4</t>
  </si>
  <si>
    <t xml:space="preserve">Xiaomi redmi 8</t>
  </si>
  <si>
    <t xml:space="preserve">Matias</t>
  </si>
  <si>
    <t xml:space="preserve">Almacen</t>
  </si>
  <si>
    <t xml:space="preserve">Administrador</t>
  </si>
  <si>
    <t xml:space="preserve">PP_5</t>
  </si>
  <si>
    <t xml:space="preserve">Galaxy jpro</t>
  </si>
  <si>
    <t xml:space="preserve">Samsum</t>
  </si>
  <si>
    <t xml:space="preserve">Daniela</t>
  </si>
  <si>
    <t xml:space="preserve">Despachos</t>
  </si>
  <si>
    <t xml:space="preserve">Contador</t>
  </si>
  <si>
    <t xml:space="preserve">PP_6</t>
  </si>
  <si>
    <t xml:space="preserve">iPhone 13 pro</t>
  </si>
  <si>
    <t xml:space="preserve">Paola</t>
  </si>
  <si>
    <t xml:space="preserve">Logística</t>
  </si>
  <si>
    <t xml:space="preserve">Ing. Sistemas</t>
  </si>
  <si>
    <t xml:space="preserve">PP_7</t>
  </si>
  <si>
    <t xml:space="preserve">iPhone 13 pro max</t>
  </si>
  <si>
    <t xml:space="preserve">Hernan</t>
  </si>
  <si>
    <t xml:space="preserve">PP_8</t>
  </si>
  <si>
    <t xml:space="preserve">13ultra</t>
  </si>
  <si>
    <t xml:space="preserve">Distribuidora Oriente</t>
  </si>
  <si>
    <t xml:space="preserve">Cali</t>
  </si>
  <si>
    <t xml:space="preserve">PP_9</t>
  </si>
  <si>
    <t xml:space="preserve">Galaxy s23</t>
  </si>
  <si>
    <t xml:space="preserve">PP_10</t>
  </si>
  <si>
    <t xml:space="preserve">Lenovo 14IGL7</t>
  </si>
  <si>
    <t xml:space="preserve">Portátil</t>
  </si>
  <si>
    <t xml:space="preserve">Lenovo</t>
  </si>
  <si>
    <t xml:space="preserve">PP_11</t>
  </si>
  <si>
    <t xml:space="preserve">Gaming F15</t>
  </si>
  <si>
    <t xml:space="preserve">Asus</t>
  </si>
  <si>
    <t xml:space="preserve">Lina</t>
  </si>
  <si>
    <t xml:space="preserve">PP_12</t>
  </si>
  <si>
    <t xml:space="preserve">ASPIRE 3</t>
  </si>
  <si>
    <t xml:space="preserve">Acer</t>
  </si>
  <si>
    <t xml:space="preserve">PP_13</t>
  </si>
  <si>
    <t xml:space="preserve">15 Pulgadas Ip1 Athlon</t>
  </si>
  <si>
    <t xml:space="preserve">PP_14</t>
  </si>
  <si>
    <t xml:space="preserve">Apple MacBook</t>
  </si>
  <si>
    <t xml:space="preserve">PP_15</t>
  </si>
  <si>
    <t xml:space="preserve">MacBook Air</t>
  </si>
  <si>
    <t xml:space="preserve">Juan</t>
  </si>
  <si>
    <t xml:space="preserve">PP_16</t>
  </si>
  <si>
    <t xml:space="preserve">MacBook Pro</t>
  </si>
  <si>
    <t xml:space="preserve">PP_17</t>
  </si>
  <si>
    <t xml:space="preserve">Intel Corei7</t>
  </si>
  <si>
    <t xml:space="preserve">Pc Mesa</t>
  </si>
  <si>
    <t xml:space="preserve">Intel</t>
  </si>
  <si>
    <t xml:space="preserve">PP_18</t>
  </si>
  <si>
    <t xml:space="preserve">JANUS</t>
  </si>
  <si>
    <t xml:space="preserve">Janus</t>
  </si>
  <si>
    <t xml:space="preserve">Martha</t>
  </si>
  <si>
    <t xml:space="preserve">Administracion</t>
  </si>
  <si>
    <t xml:space="preserve">PP_19</t>
  </si>
  <si>
    <t xml:space="preserve">INTEL CORE i3</t>
  </si>
  <si>
    <t xml:space="preserve">PP_20</t>
  </si>
  <si>
    <t xml:space="preserve">ASUS AIO V</t>
  </si>
  <si>
    <t xml:space="preserve">Liliana</t>
  </si>
  <si>
    <t xml:space="preserve">Gerencia</t>
  </si>
  <si>
    <t xml:space="preserve">Técnico de sofware</t>
  </si>
  <si>
    <t xml:space="preserve">PP_21</t>
  </si>
  <si>
    <t xml:space="preserve">PP_22</t>
  </si>
  <si>
    <t xml:space="preserve">PP_23</t>
  </si>
  <si>
    <t xml:space="preserve">PP_24</t>
  </si>
  <si>
    <t xml:space="preserve">PP_25</t>
  </si>
  <si>
    <t xml:space="preserve">C</t>
  </si>
  <si>
    <t xml:space="preserve">PP_26</t>
  </si>
  <si>
    <t xml:space="preserve">PP_27</t>
  </si>
  <si>
    <t xml:space="preserve">PP_28</t>
  </si>
  <si>
    <t xml:space="preserve">PP_29</t>
  </si>
  <si>
    <t xml:space="preserve">PP_30</t>
  </si>
  <si>
    <t xml:space="preserve">PP_31</t>
  </si>
  <si>
    <t xml:space="preserve">PP_32</t>
  </si>
  <si>
    <t xml:space="preserve">PP_33</t>
  </si>
  <si>
    <t xml:space="preserve">PP_34</t>
  </si>
  <si>
    <t xml:space="preserve">PP_35</t>
  </si>
  <si>
    <t xml:space="preserve">PP_36</t>
  </si>
  <si>
    <t xml:space="preserve">PP_37</t>
  </si>
  <si>
    <t xml:space="preserve">PP_38</t>
  </si>
  <si>
    <t xml:space="preserve">PP_39</t>
  </si>
  <si>
    <t xml:space="preserve">PP_40</t>
  </si>
  <si>
    <t xml:space="preserve">Alejandra</t>
  </si>
  <si>
    <t xml:space="preserve">Control de calidad</t>
  </si>
  <si>
    <t xml:space="preserve">PP_41</t>
  </si>
  <si>
    <t xml:space="preserve">PP_42</t>
  </si>
  <si>
    <t xml:space="preserve">PP_43</t>
  </si>
  <si>
    <t xml:space="preserve">PP_44</t>
  </si>
  <si>
    <t xml:space="preserve">PP_45</t>
  </si>
  <si>
    <t xml:space="preserve">PP_46</t>
  </si>
  <si>
    <t xml:space="preserve">PP_47</t>
  </si>
  <si>
    <t xml:space="preserve">PP_48</t>
  </si>
  <si>
    <t xml:space="preserve">PP_49</t>
  </si>
  <si>
    <t xml:space="preserve">PP_50</t>
  </si>
  <si>
    <t xml:space="preserve">PP_51</t>
  </si>
  <si>
    <t xml:space="preserve">PP_52</t>
  </si>
  <si>
    <t xml:space="preserve">PP_53</t>
  </si>
  <si>
    <t xml:space="preserve">PP_54</t>
  </si>
  <si>
    <t xml:space="preserve">PP_55</t>
  </si>
  <si>
    <t xml:space="preserve">PP_56</t>
  </si>
  <si>
    <t xml:space="preserve">PP_57</t>
  </si>
  <si>
    <t xml:space="preserve">PP_58</t>
  </si>
  <si>
    <t xml:space="preserve">PP_59</t>
  </si>
  <si>
    <t xml:space="preserve">PP_60</t>
  </si>
  <si>
    <t xml:space="preserve">PP_61</t>
  </si>
  <si>
    <t xml:space="preserve">PP_62</t>
  </si>
  <si>
    <t xml:space="preserve">PP_63</t>
  </si>
  <si>
    <t xml:space="preserve">PP_64</t>
  </si>
  <si>
    <t xml:space="preserve">PP_65</t>
  </si>
  <si>
    <t xml:space="preserve">PP_66</t>
  </si>
  <si>
    <t xml:space="preserve">PP_67</t>
  </si>
  <si>
    <t xml:space="preserve">PP_68</t>
  </si>
  <si>
    <t xml:space="preserve">PP_69</t>
  </si>
  <si>
    <t xml:space="preserve">PP_70</t>
  </si>
  <si>
    <t xml:space="preserve">PP_71</t>
  </si>
  <si>
    <t xml:space="preserve">PP_72</t>
  </si>
  <si>
    <t xml:space="preserve">PP_73</t>
  </si>
  <si>
    <t xml:space="preserve">PP_74</t>
  </si>
  <si>
    <t xml:space="preserve">PP_75</t>
  </si>
  <si>
    <t xml:space="preserve">PP_76</t>
  </si>
  <si>
    <t xml:space="preserve">PP_77</t>
  </si>
  <si>
    <t xml:space="preserve">PP_78</t>
  </si>
  <si>
    <t xml:space="preserve">PP_79</t>
  </si>
  <si>
    <t xml:space="preserve">PP_80</t>
  </si>
  <si>
    <t xml:space="preserve">PP_81</t>
  </si>
  <si>
    <t xml:space="preserve">PP_82</t>
  </si>
  <si>
    <t xml:space="preserve">PP_83</t>
  </si>
  <si>
    <t xml:space="preserve">PP_84</t>
  </si>
  <si>
    <t xml:space="preserve">PP_85</t>
  </si>
  <si>
    <t xml:space="preserve">PP_86</t>
  </si>
  <si>
    <t xml:space="preserve">PP_87</t>
  </si>
  <si>
    <t xml:space="preserve">PP_88</t>
  </si>
  <si>
    <t xml:space="preserve">PP_89</t>
  </si>
  <si>
    <t xml:space="preserve">PP_90</t>
  </si>
  <si>
    <t xml:space="preserve">PP_91</t>
  </si>
  <si>
    <t xml:space="preserve">PP_92</t>
  </si>
  <si>
    <t xml:space="preserve">PP_93</t>
  </si>
  <si>
    <t xml:space="preserve">PP_94</t>
  </si>
  <si>
    <t xml:space="preserve">PP_95</t>
  </si>
  <si>
    <t xml:space="preserve">PP_96</t>
  </si>
  <si>
    <t xml:space="preserve">PP_97</t>
  </si>
  <si>
    <t xml:space="preserve">PP_98</t>
  </si>
  <si>
    <t xml:space="preserve">PP_99</t>
  </si>
  <si>
    <t xml:space="preserve">PP_100</t>
  </si>
  <si>
    <t xml:space="preserve">PP_101</t>
  </si>
  <si>
    <t xml:space="preserve">PP_102</t>
  </si>
  <si>
    <t xml:space="preserve">PP_103</t>
  </si>
  <si>
    <t xml:space="preserve">PP_104</t>
  </si>
  <si>
    <t xml:space="preserve">PP_105</t>
  </si>
  <si>
    <t xml:space="preserve">PP_106</t>
  </si>
  <si>
    <t xml:space="preserve">PP_107</t>
  </si>
  <si>
    <t xml:space="preserve">PP_108</t>
  </si>
  <si>
    <t xml:space="preserve">PP_109</t>
  </si>
  <si>
    <t xml:space="preserve">PP_110</t>
  </si>
  <si>
    <t xml:space="preserve">PP_111</t>
  </si>
  <si>
    <t xml:space="preserve">PP_112</t>
  </si>
  <si>
    <t xml:space="preserve">PP_113</t>
  </si>
  <si>
    <t xml:space="preserve">PP_114</t>
  </si>
  <si>
    <t xml:space="preserve">PP_115</t>
  </si>
  <si>
    <t xml:space="preserve">PP_116</t>
  </si>
  <si>
    <t xml:space="preserve">PP_117</t>
  </si>
  <si>
    <t xml:space="preserve">PP_118</t>
  </si>
  <si>
    <t xml:space="preserve">PP_119</t>
  </si>
  <si>
    <t xml:space="preserve">PP_120</t>
  </si>
  <si>
    <t xml:space="preserve">PP_121</t>
  </si>
  <si>
    <t xml:space="preserve">PP_122</t>
  </si>
  <si>
    <t xml:space="preserve">PP_123</t>
  </si>
  <si>
    <t xml:space="preserve">PP_124</t>
  </si>
  <si>
    <t xml:space="preserve">PP_125</t>
  </si>
  <si>
    <t xml:space="preserve">PP_126</t>
  </si>
  <si>
    <t xml:space="preserve">PP_127</t>
  </si>
  <si>
    <t xml:space="preserve">PP_128</t>
  </si>
  <si>
    <t xml:space="preserve">PP_129</t>
  </si>
  <si>
    <t xml:space="preserve">PP_130</t>
  </si>
  <si>
    <t xml:space="preserve">PP_131</t>
  </si>
  <si>
    <t xml:space="preserve">PP_132</t>
  </si>
  <si>
    <t xml:space="preserve">PP_133</t>
  </si>
  <si>
    <t xml:space="preserve">PP_134</t>
  </si>
  <si>
    <t xml:space="preserve">PP_135</t>
  </si>
  <si>
    <t xml:space="preserve">PP_136</t>
  </si>
  <si>
    <t xml:space="preserve">PP_137</t>
  </si>
  <si>
    <t xml:space="preserve">PP_138</t>
  </si>
  <si>
    <t xml:space="preserve">PP_139</t>
  </si>
  <si>
    <t xml:space="preserve">PP_140</t>
  </si>
  <si>
    <t xml:space="preserve">PP_141</t>
  </si>
  <si>
    <t xml:space="preserve">PP_142</t>
  </si>
  <si>
    <t xml:space="preserve">PP_143</t>
  </si>
  <si>
    <t xml:space="preserve">PP_144</t>
  </si>
  <si>
    <t xml:space="preserve">PP_145</t>
  </si>
  <si>
    <t xml:space="preserve">PP_146</t>
  </si>
  <si>
    <t xml:space="preserve">PP_147</t>
  </si>
  <si>
    <t xml:space="preserve">PP_148</t>
  </si>
  <si>
    <t xml:space="preserve">PP_149</t>
  </si>
  <si>
    <t xml:space="preserve">PP_150</t>
  </si>
  <si>
    <t xml:space="preserve">PP_151</t>
  </si>
  <si>
    <t xml:space="preserve">PP_152</t>
  </si>
  <si>
    <t xml:space="preserve">PP_153</t>
  </si>
  <si>
    <t xml:space="preserve">PP_154</t>
  </si>
  <si>
    <t xml:space="preserve">PP_155</t>
  </si>
  <si>
    <t xml:space="preserve">PP_156</t>
  </si>
  <si>
    <t xml:space="preserve">PP_157</t>
  </si>
  <si>
    <t xml:space="preserve">PP_158</t>
  </si>
  <si>
    <t xml:space="preserve">PP_159</t>
  </si>
  <si>
    <t xml:space="preserve">PP_160</t>
  </si>
  <si>
    <t xml:space="preserve">PP_161</t>
  </si>
  <si>
    <t xml:space="preserve">PP_162</t>
  </si>
  <si>
    <t xml:space="preserve">PP_163</t>
  </si>
  <si>
    <t xml:space="preserve">PP_164</t>
  </si>
  <si>
    <t xml:space="preserve">PP_165</t>
  </si>
  <si>
    <t xml:space="preserve">PP_166</t>
  </si>
  <si>
    <t xml:space="preserve">PP_167</t>
  </si>
  <si>
    <t xml:space="preserve">PP_168</t>
  </si>
  <si>
    <t xml:space="preserve">PP_169</t>
  </si>
  <si>
    <t xml:space="preserve">PP_170</t>
  </si>
  <si>
    <t xml:space="preserve">PP_171</t>
  </si>
  <si>
    <t xml:space="preserve">PP_172</t>
  </si>
  <si>
    <t xml:space="preserve">PP_173</t>
  </si>
  <si>
    <t xml:space="preserve">PP_174</t>
  </si>
  <si>
    <t xml:space="preserve">PP_175</t>
  </si>
  <si>
    <t xml:space="preserve">PP_176</t>
  </si>
  <si>
    <t xml:space="preserve">PP_177</t>
  </si>
  <si>
    <t xml:space="preserve">PP_178</t>
  </si>
  <si>
    <t xml:space="preserve">PP_179</t>
  </si>
  <si>
    <t xml:space="preserve">PP_180</t>
  </si>
  <si>
    <t xml:space="preserve">PP_181</t>
  </si>
  <si>
    <t xml:space="preserve">PP_182</t>
  </si>
  <si>
    <t xml:space="preserve">PP_183</t>
  </si>
  <si>
    <t xml:space="preserve">PP_184</t>
  </si>
  <si>
    <t xml:space="preserve">PP_185</t>
  </si>
  <si>
    <t xml:space="preserve">PP_186</t>
  </si>
  <si>
    <t xml:space="preserve">PP_187</t>
  </si>
  <si>
    <t xml:space="preserve">PP_188</t>
  </si>
  <si>
    <t xml:space="preserve">PP_189</t>
  </si>
  <si>
    <t xml:space="preserve">PP_190</t>
  </si>
  <si>
    <t xml:space="preserve">PP_191</t>
  </si>
  <si>
    <t xml:space="preserve">PP_192</t>
  </si>
  <si>
    <t xml:space="preserve">PP_193</t>
  </si>
  <si>
    <t xml:space="preserve">PP_194</t>
  </si>
  <si>
    <t xml:space="preserve">PP_195</t>
  </si>
  <si>
    <t xml:space="preserve">PP_196</t>
  </si>
  <si>
    <t xml:space="preserve">PP_197</t>
  </si>
  <si>
    <t xml:space="preserve">PP_198</t>
  </si>
  <si>
    <t xml:space="preserve">PP_199</t>
  </si>
  <si>
    <t xml:space="preserve">PP_200</t>
  </si>
  <si>
    <t xml:space="preserve">PP_201</t>
  </si>
  <si>
    <t xml:space="preserve">PP_202</t>
  </si>
  <si>
    <t xml:space="preserve">PP_203</t>
  </si>
  <si>
    <t xml:space="preserve">PP_204</t>
  </si>
  <si>
    <t xml:space="preserve">PP_205</t>
  </si>
  <si>
    <t xml:space="preserve">PP_206</t>
  </si>
  <si>
    <t xml:space="preserve">PP_207</t>
  </si>
  <si>
    <t xml:space="preserve">PP_208</t>
  </si>
  <si>
    <t xml:space="preserve">PP_209</t>
  </si>
  <si>
    <t xml:space="preserve">PP_210</t>
  </si>
  <si>
    <t xml:space="preserve">PP_211</t>
  </si>
  <si>
    <t xml:space="preserve">PP_212</t>
  </si>
  <si>
    <t xml:space="preserve">PP_213</t>
  </si>
  <si>
    <t xml:space="preserve">PP_214</t>
  </si>
  <si>
    <t xml:space="preserve">PP_215</t>
  </si>
  <si>
    <t xml:space="preserve">PP_216</t>
  </si>
  <si>
    <t xml:space="preserve">PP_217</t>
  </si>
  <si>
    <t xml:space="preserve">PP_218</t>
  </si>
  <si>
    <t xml:space="preserve">PP_219</t>
  </si>
  <si>
    <t xml:space="preserve">PP_220</t>
  </si>
  <si>
    <t xml:space="preserve">PP_221</t>
  </si>
  <si>
    <t xml:space="preserve">PP_222</t>
  </si>
  <si>
    <t xml:space="preserve">PP_223</t>
  </si>
  <si>
    <t xml:space="preserve">PP_224</t>
  </si>
  <si>
    <t xml:space="preserve">PP_225</t>
  </si>
  <si>
    <t xml:space="preserve">PP_226</t>
  </si>
  <si>
    <t xml:space="preserve">PP_227</t>
  </si>
  <si>
    <t xml:space="preserve">PP_228</t>
  </si>
  <si>
    <t xml:space="preserve">PP_229</t>
  </si>
  <si>
    <t xml:space="preserve">PP_230</t>
  </si>
  <si>
    <t xml:space="preserve">PP_231</t>
  </si>
  <si>
    <t xml:space="preserve">PP_232</t>
  </si>
  <si>
    <t xml:space="preserve">PP_233</t>
  </si>
  <si>
    <t xml:space="preserve">PP_234</t>
  </si>
  <si>
    <t xml:space="preserve">PP_235</t>
  </si>
  <si>
    <t xml:space="preserve">PP_236</t>
  </si>
  <si>
    <t xml:space="preserve">PP_237</t>
  </si>
  <si>
    <t xml:space="preserve">PP_238</t>
  </si>
  <si>
    <t xml:space="preserve">PP_239</t>
  </si>
  <si>
    <t xml:space="preserve">PP_240</t>
  </si>
  <si>
    <t xml:space="preserve">PP_241</t>
  </si>
  <si>
    <t xml:space="preserve">PP_242</t>
  </si>
  <si>
    <t xml:space="preserve">PP_243</t>
  </si>
  <si>
    <t xml:space="preserve">PP_244</t>
  </si>
  <si>
    <t xml:space="preserve">PP_245</t>
  </si>
  <si>
    <t xml:space="preserve">PP_246</t>
  </si>
  <si>
    <t xml:space="preserve">PP_247</t>
  </si>
  <si>
    <t xml:space="preserve">PP_248</t>
  </si>
  <si>
    <t xml:space="preserve">PP_249</t>
  </si>
  <si>
    <t xml:space="preserve">PP_250</t>
  </si>
  <si>
    <t xml:space="preserve">PP_251</t>
  </si>
  <si>
    <t xml:space="preserve">PP_252</t>
  </si>
  <si>
    <t xml:space="preserve">PP_253</t>
  </si>
  <si>
    <t xml:space="preserve">PP_254</t>
  </si>
  <si>
    <t xml:space="preserve">PP_255</t>
  </si>
  <si>
    <t xml:space="preserve">PP_256</t>
  </si>
  <si>
    <t xml:space="preserve">PP_257</t>
  </si>
  <si>
    <t xml:space="preserve">PP_258</t>
  </si>
  <si>
    <t xml:space="preserve">PP_259</t>
  </si>
  <si>
    <t xml:space="preserve">PP_260</t>
  </si>
  <si>
    <t xml:space="preserve">PP_261</t>
  </si>
  <si>
    <t xml:space="preserve">PP_262</t>
  </si>
  <si>
    <t xml:space="preserve">PP_263</t>
  </si>
  <si>
    <t xml:space="preserve">PP_264</t>
  </si>
  <si>
    <t xml:space="preserve">PP_265</t>
  </si>
  <si>
    <t xml:space="preserve">PP_266</t>
  </si>
  <si>
    <t xml:space="preserve">PP_267</t>
  </si>
  <si>
    <t xml:space="preserve">PP_268</t>
  </si>
  <si>
    <t xml:space="preserve">PP_269</t>
  </si>
  <si>
    <t xml:space="preserve">PP_270</t>
  </si>
  <si>
    <t xml:space="preserve">PP_271</t>
  </si>
  <si>
    <t xml:space="preserve">PP_272</t>
  </si>
  <si>
    <t xml:space="preserve">PP_273</t>
  </si>
  <si>
    <t xml:space="preserve">PP_274</t>
  </si>
  <si>
    <t xml:space="preserve">PP_275</t>
  </si>
  <si>
    <t xml:space="preserve">PP_276</t>
  </si>
  <si>
    <t xml:space="preserve">PP_277</t>
  </si>
  <si>
    <t xml:space="preserve">PP_278</t>
  </si>
  <si>
    <t xml:space="preserve">PP_279</t>
  </si>
  <si>
    <t xml:space="preserve">PP_280</t>
  </si>
  <si>
    <t xml:space="preserve">PP_281</t>
  </si>
  <si>
    <t xml:space="preserve">PP_282</t>
  </si>
  <si>
    <t xml:space="preserve">PP_283</t>
  </si>
  <si>
    <t xml:space="preserve">PP_284</t>
  </si>
  <si>
    <t xml:space="preserve">PP_285</t>
  </si>
  <si>
    <t xml:space="preserve">PP_286</t>
  </si>
  <si>
    <t xml:space="preserve">PP_287</t>
  </si>
  <si>
    <t xml:space="preserve">PP_288</t>
  </si>
  <si>
    <t xml:space="preserve">PP_289</t>
  </si>
  <si>
    <t xml:space="preserve">PP_290</t>
  </si>
  <si>
    <t xml:space="preserve">PP_291</t>
  </si>
  <si>
    <t xml:space="preserve">PP_292</t>
  </si>
  <si>
    <t xml:space="preserve">PP_293</t>
  </si>
  <si>
    <t xml:space="preserve">PP_294</t>
  </si>
  <si>
    <t xml:space="preserve">PP_295</t>
  </si>
  <si>
    <t xml:space="preserve">PP_296</t>
  </si>
  <si>
    <t xml:space="preserve">PP_297</t>
  </si>
  <si>
    <t xml:space="preserve">PP_298</t>
  </si>
  <si>
    <t xml:space="preserve">PP_299</t>
  </si>
  <si>
    <t xml:space="preserve">PP_300</t>
  </si>
  <si>
    <t xml:space="preserve">PP_301</t>
  </si>
  <si>
    <t xml:space="preserve">PP_302</t>
  </si>
  <si>
    <t xml:space="preserve">PP_303</t>
  </si>
  <si>
    <t xml:space="preserve">PP_304</t>
  </si>
  <si>
    <t xml:space="preserve">PP_305</t>
  </si>
  <si>
    <t xml:space="preserve">PP_306</t>
  </si>
  <si>
    <t xml:space="preserve">PP_307</t>
  </si>
  <si>
    <t xml:space="preserve">PP_308</t>
  </si>
  <si>
    <t xml:space="preserve">PP_309</t>
  </si>
  <si>
    <t xml:space="preserve">PP_310</t>
  </si>
  <si>
    <t xml:space="preserve">PP_311</t>
  </si>
  <si>
    <t xml:space="preserve">PP_312</t>
  </si>
  <si>
    <t xml:space="preserve">PP_313</t>
  </si>
  <si>
    <t xml:space="preserve">PP_314</t>
  </si>
  <si>
    <t xml:space="preserve">PP_315</t>
  </si>
  <si>
    <t xml:space="preserve">PP_316</t>
  </si>
  <si>
    <t xml:space="preserve">PP_317</t>
  </si>
  <si>
    <t xml:space="preserve">PP_318</t>
  </si>
  <si>
    <t xml:space="preserve">PP_319</t>
  </si>
  <si>
    <t xml:space="preserve">PP_320</t>
  </si>
  <si>
    <t xml:space="preserve">PP_321</t>
  </si>
  <si>
    <t xml:space="preserve">PP_322</t>
  </si>
  <si>
    <t xml:space="preserve">PP_323</t>
  </si>
  <si>
    <t xml:space="preserve">PP_324</t>
  </si>
  <si>
    <t xml:space="preserve">PP_325</t>
  </si>
  <si>
    <t xml:space="preserve">PP_326</t>
  </si>
  <si>
    <t xml:space="preserve">PP_327</t>
  </si>
  <si>
    <t xml:space="preserve">PP_328</t>
  </si>
  <si>
    <t xml:space="preserve">PP_329</t>
  </si>
  <si>
    <t xml:space="preserve">PP_330</t>
  </si>
  <si>
    <t xml:space="preserve">PP_331</t>
  </si>
  <si>
    <t xml:space="preserve">PP_332</t>
  </si>
  <si>
    <t xml:space="preserve">PP_333</t>
  </si>
  <si>
    <t xml:space="preserve">PP_334</t>
  </si>
  <si>
    <t xml:space="preserve">PP_335</t>
  </si>
  <si>
    <t xml:space="preserve">PP_336</t>
  </si>
  <si>
    <t xml:space="preserve">PP_337</t>
  </si>
  <si>
    <t xml:space="preserve">PP_338</t>
  </si>
  <si>
    <t xml:space="preserve">PP_339</t>
  </si>
  <si>
    <t xml:space="preserve">PP_340</t>
  </si>
  <si>
    <t xml:space="preserve">PP_341</t>
  </si>
  <si>
    <t xml:space="preserve">PP_342</t>
  </si>
  <si>
    <t xml:space="preserve">PP_343</t>
  </si>
  <si>
    <t xml:space="preserve">PP_344</t>
  </si>
  <si>
    <t xml:space="preserve">PP_345</t>
  </si>
  <si>
    <t xml:space="preserve">PP_346</t>
  </si>
  <si>
    <t xml:space="preserve">PP_347</t>
  </si>
  <si>
    <t xml:space="preserve">PP_348</t>
  </si>
  <si>
    <t xml:space="preserve">PP_349</t>
  </si>
  <si>
    <t xml:space="preserve">PP_350</t>
  </si>
  <si>
    <t xml:space="preserve">PP_351</t>
  </si>
  <si>
    <t xml:space="preserve">PP_352</t>
  </si>
  <si>
    <t xml:space="preserve">PP_353</t>
  </si>
  <si>
    <t xml:space="preserve">PP_354</t>
  </si>
  <si>
    <t xml:space="preserve">PP_355</t>
  </si>
  <si>
    <t xml:space="preserve">PP_356</t>
  </si>
  <si>
    <t xml:space="preserve">PP_357</t>
  </si>
  <si>
    <t xml:space="preserve">PP_358</t>
  </si>
  <si>
    <t xml:space="preserve">PP_359</t>
  </si>
  <si>
    <t xml:space="preserve">PP_360</t>
  </si>
  <si>
    <t xml:space="preserve">PP_361</t>
  </si>
  <si>
    <t xml:space="preserve">PP_362</t>
  </si>
  <si>
    <t xml:space="preserve">PP_363</t>
  </si>
  <si>
    <t xml:space="preserve">PP_364</t>
  </si>
  <si>
    <t xml:space="preserve">PP_365</t>
  </si>
  <si>
    <t xml:space="preserve">PP_366</t>
  </si>
  <si>
    <t xml:space="preserve">PP_367</t>
  </si>
  <si>
    <t xml:space="preserve">PP_368</t>
  </si>
  <si>
    <t xml:space="preserve">PP_369</t>
  </si>
  <si>
    <t xml:space="preserve">PP_370</t>
  </si>
  <si>
    <t xml:space="preserve">PP_371</t>
  </si>
  <si>
    <t xml:space="preserve">PP_372</t>
  </si>
  <si>
    <t xml:space="preserve">PP_373</t>
  </si>
  <si>
    <t xml:space="preserve">PP_374</t>
  </si>
  <si>
    <t xml:space="preserve">PP_375</t>
  </si>
  <si>
    <t xml:space="preserve">PP_376</t>
  </si>
  <si>
    <t xml:space="preserve">PP_377</t>
  </si>
  <si>
    <t xml:space="preserve">PP_378</t>
  </si>
  <si>
    <t xml:space="preserve">PP_379</t>
  </si>
  <si>
    <t xml:space="preserve">PP_380</t>
  </si>
  <si>
    <t xml:space="preserve">PP_381</t>
  </si>
  <si>
    <t xml:space="preserve">PP_382</t>
  </si>
  <si>
    <t xml:space="preserve">PP_383</t>
  </si>
  <si>
    <t xml:space="preserve">PP_384</t>
  </si>
  <si>
    <t xml:space="preserve">PP_385</t>
  </si>
  <si>
    <t xml:space="preserve">PP_386</t>
  </si>
  <si>
    <t xml:space="preserve">PP_387</t>
  </si>
  <si>
    <t xml:space="preserve">PP_388</t>
  </si>
  <si>
    <t xml:space="preserve">PP_389</t>
  </si>
  <si>
    <t xml:space="preserve">PP_390</t>
  </si>
  <si>
    <t xml:space="preserve">PP_391</t>
  </si>
  <si>
    <t xml:space="preserve">PP_392</t>
  </si>
  <si>
    <t xml:space="preserve">PP_393</t>
  </si>
  <si>
    <t xml:space="preserve">PP_394</t>
  </si>
  <si>
    <t xml:space="preserve">PP_395</t>
  </si>
  <si>
    <t xml:space="preserve">PP_396</t>
  </si>
  <si>
    <t xml:space="preserve">PP_397</t>
  </si>
  <si>
    <t xml:space="preserve">PP_398</t>
  </si>
  <si>
    <t xml:space="preserve">PP_399</t>
  </si>
  <si>
    <t xml:space="preserve">PP_400</t>
  </si>
  <si>
    <t xml:space="preserve">PP_401</t>
  </si>
  <si>
    <t xml:space="preserve">PP_402</t>
  </si>
  <si>
    <t xml:space="preserve">PP_403</t>
  </si>
  <si>
    <t xml:space="preserve">PP_404</t>
  </si>
  <si>
    <t xml:space="preserve">PP_405</t>
  </si>
  <si>
    <t xml:space="preserve">PP_406</t>
  </si>
  <si>
    <t xml:space="preserve">PP_407</t>
  </si>
  <si>
    <t xml:space="preserve">PP_408</t>
  </si>
  <si>
    <t xml:space="preserve">PP_409</t>
  </si>
  <si>
    <t xml:space="preserve">PP_410</t>
  </si>
  <si>
    <t xml:space="preserve">PP_411</t>
  </si>
  <si>
    <t xml:space="preserve">PP_412</t>
  </si>
  <si>
    <t xml:space="preserve">PP_413</t>
  </si>
  <si>
    <t xml:space="preserve">PP_414</t>
  </si>
  <si>
    <t xml:space="preserve">PP_415</t>
  </si>
  <si>
    <t xml:space="preserve">PP_416</t>
  </si>
  <si>
    <t xml:space="preserve">PP_417</t>
  </si>
  <si>
    <t xml:space="preserve">PP_418</t>
  </si>
  <si>
    <t xml:space="preserve">PP_419</t>
  </si>
  <si>
    <t xml:space="preserve">PP_420</t>
  </si>
  <si>
    <t xml:space="preserve">PP_421</t>
  </si>
  <si>
    <t xml:space="preserve">PP_422</t>
  </si>
  <si>
    <t xml:space="preserve">PP_423</t>
  </si>
  <si>
    <t xml:space="preserve">PP_424</t>
  </si>
  <si>
    <t xml:space="preserve">PP_425</t>
  </si>
  <si>
    <t xml:space="preserve">PP_426</t>
  </si>
  <si>
    <t xml:space="preserve">PP_427</t>
  </si>
  <si>
    <t xml:space="preserve">PP_428</t>
  </si>
  <si>
    <t xml:space="preserve">PP_429</t>
  </si>
  <si>
    <t xml:space="preserve">PP_430</t>
  </si>
  <si>
    <t xml:space="preserve">PP_431</t>
  </si>
  <si>
    <t xml:space="preserve">PP_432</t>
  </si>
  <si>
    <t xml:space="preserve">PP_433</t>
  </si>
  <si>
    <t xml:space="preserve">PP_434</t>
  </si>
  <si>
    <t xml:space="preserve">PP_435</t>
  </si>
  <si>
    <t xml:space="preserve">PP_436</t>
  </si>
  <si>
    <t xml:space="preserve">PP_437</t>
  </si>
  <si>
    <t xml:space="preserve">PP_438</t>
  </si>
  <si>
    <t xml:space="preserve">PP_439</t>
  </si>
  <si>
    <t xml:space="preserve">PP_440</t>
  </si>
  <si>
    <t xml:space="preserve">PP_441</t>
  </si>
  <si>
    <t xml:space="preserve">PP_442</t>
  </si>
  <si>
    <t xml:space="preserve">PP_443</t>
  </si>
  <si>
    <t xml:space="preserve">PP_444</t>
  </si>
  <si>
    <t xml:space="preserve">PP_445</t>
  </si>
  <si>
    <t xml:space="preserve">PP_446</t>
  </si>
  <si>
    <t xml:space="preserve">PP_447</t>
  </si>
  <si>
    <t xml:space="preserve">PP_448</t>
  </si>
  <si>
    <t xml:space="preserve">PP_449</t>
  </si>
  <si>
    <t xml:space="preserve">PP_450</t>
  </si>
  <si>
    <t xml:space="preserve">PP_451</t>
  </si>
  <si>
    <t xml:space="preserve">PP_452</t>
  </si>
  <si>
    <t xml:space="preserve">PP_453</t>
  </si>
  <si>
    <t xml:space="preserve">PP_454</t>
  </si>
  <si>
    <t xml:space="preserve">PP_455</t>
  </si>
  <si>
    <t xml:space="preserve">PP_456</t>
  </si>
  <si>
    <t xml:space="preserve">PP_457</t>
  </si>
  <si>
    <t xml:space="preserve">PP_458</t>
  </si>
  <si>
    <t xml:space="preserve">PP_459</t>
  </si>
  <si>
    <t xml:space="preserve">PP_460</t>
  </si>
  <si>
    <t xml:space="preserve">PP_461</t>
  </si>
  <si>
    <t xml:space="preserve">PP_462</t>
  </si>
  <si>
    <t xml:space="preserve">PP_463</t>
  </si>
  <si>
    <t xml:space="preserve">PP_464</t>
  </si>
  <si>
    <t xml:space="preserve">PP_465</t>
  </si>
  <si>
    <t xml:space="preserve">PP_466</t>
  </si>
  <si>
    <t xml:space="preserve">PP_467</t>
  </si>
  <si>
    <t xml:space="preserve">PP_468</t>
  </si>
  <si>
    <t xml:space="preserve">PP_469</t>
  </si>
  <si>
    <t xml:space="preserve">PP_470</t>
  </si>
  <si>
    <t xml:space="preserve">PP_471</t>
  </si>
  <si>
    <t xml:space="preserve">PP_472</t>
  </si>
  <si>
    <t xml:space="preserve">PP_473</t>
  </si>
  <si>
    <t xml:space="preserve">PP_474</t>
  </si>
  <si>
    <t xml:space="preserve">PP_475</t>
  </si>
  <si>
    <t xml:space="preserve">PP_476</t>
  </si>
  <si>
    <t xml:space="preserve">PP_477</t>
  </si>
  <si>
    <t xml:space="preserve">PP_478</t>
  </si>
  <si>
    <t xml:space="preserve">PP_479</t>
  </si>
  <si>
    <t xml:space="preserve">PP_480</t>
  </si>
  <si>
    <t xml:space="preserve">PP_481</t>
  </si>
  <si>
    <t xml:space="preserve">PP_482</t>
  </si>
  <si>
    <t xml:space="preserve">PP_483</t>
  </si>
  <si>
    <t xml:space="preserve">PP_484</t>
  </si>
  <si>
    <t xml:space="preserve">PP_485</t>
  </si>
  <si>
    <t xml:space="preserve">PP_486</t>
  </si>
  <si>
    <t xml:space="preserve">PP_487</t>
  </si>
  <si>
    <t xml:space="preserve">PP_488</t>
  </si>
  <si>
    <t xml:space="preserve">PP_489</t>
  </si>
  <si>
    <t xml:space="preserve">PP_490</t>
  </si>
  <si>
    <t xml:space="preserve">PP_491</t>
  </si>
  <si>
    <t xml:space="preserve">PP_492</t>
  </si>
  <si>
    <t xml:space="preserve">PP_493</t>
  </si>
  <si>
    <t xml:space="preserve">PP_494</t>
  </si>
  <si>
    <t xml:space="preserve">PP_495</t>
  </si>
  <si>
    <t xml:space="preserve">PP_496</t>
  </si>
  <si>
    <t xml:space="preserve">PP_497</t>
  </si>
  <si>
    <t xml:space="preserve">PP_498</t>
  </si>
  <si>
    <t xml:space="preserve">PP_499</t>
  </si>
  <si>
    <t xml:space="preserve">PP_500</t>
  </si>
  <si>
    <t xml:space="preserve">PP_501</t>
  </si>
  <si>
    <t xml:space="preserve">PP_502</t>
  </si>
  <si>
    <t xml:space="preserve">PP_503</t>
  </si>
  <si>
    <t xml:space="preserve">PP_504</t>
  </si>
  <si>
    <t xml:space="preserve">PP_505</t>
  </si>
  <si>
    <t xml:space="preserve">PP_506</t>
  </si>
  <si>
    <t xml:space="preserve">PP_507</t>
  </si>
  <si>
    <t xml:space="preserve">PP_508</t>
  </si>
  <si>
    <t xml:space="preserve">PP_509</t>
  </si>
  <si>
    <t xml:space="preserve">PP_510</t>
  </si>
  <si>
    <t xml:space="preserve">PP_511</t>
  </si>
  <si>
    <t xml:space="preserve">PP_512</t>
  </si>
  <si>
    <t xml:space="preserve">PP_513</t>
  </si>
  <si>
    <t xml:space="preserve">PP_514</t>
  </si>
  <si>
    <t xml:space="preserve">PP_515</t>
  </si>
  <si>
    <t xml:space="preserve">PP_516</t>
  </si>
  <si>
    <t xml:space="preserve">PP_517</t>
  </si>
  <si>
    <t xml:space="preserve">PP_518</t>
  </si>
  <si>
    <t xml:space="preserve">PP_519</t>
  </si>
  <si>
    <t xml:space="preserve">PP_520</t>
  </si>
  <si>
    <t xml:space="preserve">PP_521</t>
  </si>
  <si>
    <t xml:space="preserve">PP_522</t>
  </si>
  <si>
    <t xml:space="preserve">PP_523</t>
  </si>
  <si>
    <t xml:space="preserve">PP_524</t>
  </si>
  <si>
    <t xml:space="preserve">PP_525</t>
  </si>
  <si>
    <t xml:space="preserve">PP_526</t>
  </si>
  <si>
    <t xml:space="preserve">PP_527</t>
  </si>
  <si>
    <t xml:space="preserve">PP_528</t>
  </si>
  <si>
    <t xml:space="preserve">PP_529</t>
  </si>
  <si>
    <t xml:space="preserve">PP_530</t>
  </si>
  <si>
    <t xml:space="preserve">PP_531</t>
  </si>
  <si>
    <t xml:space="preserve">PP_532</t>
  </si>
  <si>
    <t xml:space="preserve">PP_533</t>
  </si>
  <si>
    <t xml:space="preserve">PP_534</t>
  </si>
  <si>
    <t xml:space="preserve">PP_535</t>
  </si>
  <si>
    <t xml:space="preserve">PP_536</t>
  </si>
  <si>
    <t xml:space="preserve">PP_537</t>
  </si>
  <si>
    <t xml:space="preserve">PP_538</t>
  </si>
  <si>
    <t xml:space="preserve">PP_539</t>
  </si>
  <si>
    <t xml:space="preserve">PP_540</t>
  </si>
  <si>
    <t xml:space="preserve">PP_541</t>
  </si>
  <si>
    <t xml:space="preserve">PP_542</t>
  </si>
  <si>
    <t xml:space="preserve">PP_543</t>
  </si>
  <si>
    <t xml:space="preserve">PP_544</t>
  </si>
  <si>
    <t xml:space="preserve">PP_545</t>
  </si>
  <si>
    <t xml:space="preserve">PP_546</t>
  </si>
  <si>
    <t xml:space="preserve">PP_547</t>
  </si>
  <si>
    <t xml:space="preserve">PP_548</t>
  </si>
  <si>
    <t xml:space="preserve">PP_549</t>
  </si>
  <si>
    <t xml:space="preserve">PP_550</t>
  </si>
  <si>
    <t xml:space="preserve">PP_551</t>
  </si>
  <si>
    <t xml:space="preserve">PP_552</t>
  </si>
  <si>
    <t xml:space="preserve">PP_553</t>
  </si>
  <si>
    <t xml:space="preserve">PP_554</t>
  </si>
  <si>
    <t xml:space="preserve">PP_555</t>
  </si>
  <si>
    <t xml:space="preserve">PP_556</t>
  </si>
  <si>
    <t xml:space="preserve">PP_557</t>
  </si>
  <si>
    <t xml:space="preserve">PP_558</t>
  </si>
  <si>
    <t xml:space="preserve">PP_559</t>
  </si>
  <si>
    <t xml:space="preserve">PP_560</t>
  </si>
  <si>
    <t xml:space="preserve">PP_561</t>
  </si>
  <si>
    <t xml:space="preserve">PP_562</t>
  </si>
  <si>
    <t xml:space="preserve">PP_563</t>
  </si>
  <si>
    <t xml:space="preserve">PP_564</t>
  </si>
  <si>
    <t xml:space="preserve">PP_565</t>
  </si>
  <si>
    <t xml:space="preserve">PP_566</t>
  </si>
  <si>
    <t xml:space="preserve">PP_567</t>
  </si>
  <si>
    <t xml:space="preserve">PP_568</t>
  </si>
  <si>
    <t xml:space="preserve">PP_569</t>
  </si>
  <si>
    <t xml:space="preserve">PP_570</t>
  </si>
  <si>
    <t xml:space="preserve">PP_571</t>
  </si>
  <si>
    <t xml:space="preserve">PP_572</t>
  </si>
  <si>
    <t xml:space="preserve">PP_573</t>
  </si>
  <si>
    <t xml:space="preserve">PP_574</t>
  </si>
  <si>
    <t xml:space="preserve">PP_575</t>
  </si>
  <si>
    <t xml:space="preserve">PP_576</t>
  </si>
  <si>
    <t xml:space="preserve">PP_577</t>
  </si>
  <si>
    <t xml:space="preserve">PP_578</t>
  </si>
  <si>
    <t xml:space="preserve">PP_579</t>
  </si>
  <si>
    <t xml:space="preserve">PP_580</t>
  </si>
  <si>
    <t xml:space="preserve">PP_581</t>
  </si>
  <si>
    <t xml:space="preserve">PP_582</t>
  </si>
  <si>
    <t xml:space="preserve">PP_583</t>
  </si>
  <si>
    <t xml:space="preserve">PP_584</t>
  </si>
  <si>
    <t xml:space="preserve">PP_585</t>
  </si>
  <si>
    <t xml:space="preserve">PP_586</t>
  </si>
  <si>
    <t xml:space="preserve">PP_587</t>
  </si>
  <si>
    <t xml:space="preserve">PP_588</t>
  </si>
  <si>
    <t xml:space="preserve">PP_589</t>
  </si>
  <si>
    <t xml:space="preserve">PP_590</t>
  </si>
  <si>
    <t xml:space="preserve">PP_591</t>
  </si>
  <si>
    <t xml:space="preserve">PP_592</t>
  </si>
  <si>
    <t xml:space="preserve">PP_593</t>
  </si>
  <si>
    <t xml:space="preserve">PP_594</t>
  </si>
  <si>
    <t xml:space="preserve">PP_595</t>
  </si>
  <si>
    <t xml:space="preserve">PP_596</t>
  </si>
  <si>
    <t xml:space="preserve">PP_597</t>
  </si>
  <si>
    <t xml:space="preserve">PP_598</t>
  </si>
  <si>
    <t xml:space="preserve">PP_599</t>
  </si>
  <si>
    <t xml:space="preserve">PP_600</t>
  </si>
  <si>
    <t xml:space="preserve">PP_601</t>
  </si>
  <si>
    <t xml:space="preserve">PP_602</t>
  </si>
  <si>
    <t xml:space="preserve">PP_603</t>
  </si>
  <si>
    <t xml:space="preserve">PP_604</t>
  </si>
  <si>
    <t xml:space="preserve">PP_605</t>
  </si>
  <si>
    <t xml:space="preserve">PP_606</t>
  </si>
  <si>
    <t xml:space="preserve">PP_607</t>
  </si>
  <si>
    <t xml:space="preserve">PP_608</t>
  </si>
  <si>
    <t xml:space="preserve">PP_609</t>
  </si>
  <si>
    <t xml:space="preserve">PP_610</t>
  </si>
  <si>
    <t xml:space="preserve">PP_611</t>
  </si>
  <si>
    <t xml:space="preserve">PP_612</t>
  </si>
  <si>
    <t xml:space="preserve">PP_613</t>
  </si>
  <si>
    <t xml:space="preserve">PP_614</t>
  </si>
  <si>
    <t xml:space="preserve">PP_615</t>
  </si>
  <si>
    <t xml:space="preserve">PP_616</t>
  </si>
  <si>
    <t xml:space="preserve">PP_617</t>
  </si>
  <si>
    <t xml:space="preserve">PP_618</t>
  </si>
  <si>
    <t xml:space="preserve">PP_619</t>
  </si>
  <si>
    <t xml:space="preserve">PP_620</t>
  </si>
  <si>
    <t xml:space="preserve">PP_621</t>
  </si>
  <si>
    <t xml:space="preserve">PP_622</t>
  </si>
  <si>
    <t xml:space="preserve">PP_623</t>
  </si>
  <si>
    <t xml:space="preserve">PP_624</t>
  </si>
  <si>
    <t xml:space="preserve">PP_625</t>
  </si>
  <si>
    <t xml:space="preserve">PP_626</t>
  </si>
  <si>
    <t xml:space="preserve">PP_627</t>
  </si>
  <si>
    <t xml:space="preserve">PP_628</t>
  </si>
  <si>
    <t xml:space="preserve">PP_629</t>
  </si>
  <si>
    <t xml:space="preserve">PP_630</t>
  </si>
  <si>
    <t xml:space="preserve">PP_631</t>
  </si>
  <si>
    <t xml:space="preserve">PP_632</t>
  </si>
  <si>
    <t xml:space="preserve">PP_633</t>
  </si>
  <si>
    <t xml:space="preserve">PP_634</t>
  </si>
  <si>
    <t xml:space="preserve">PP_635</t>
  </si>
  <si>
    <t xml:space="preserve">PP_636</t>
  </si>
  <si>
    <t xml:space="preserve">PP_637</t>
  </si>
  <si>
    <t xml:space="preserve">PP_638</t>
  </si>
  <si>
    <t xml:space="preserve">PP_639</t>
  </si>
  <si>
    <t xml:space="preserve">PP_640</t>
  </si>
  <si>
    <t xml:space="preserve">PP_641</t>
  </si>
  <si>
    <t xml:space="preserve">PP_642</t>
  </si>
  <si>
    <t xml:space="preserve">PP_643</t>
  </si>
  <si>
    <t xml:space="preserve">PP_644</t>
  </si>
  <si>
    <t xml:space="preserve">PP_645</t>
  </si>
  <si>
    <t xml:space="preserve">PP_646</t>
  </si>
  <si>
    <t xml:space="preserve">PP_647</t>
  </si>
  <si>
    <t xml:space="preserve">PP_648</t>
  </si>
  <si>
    <t xml:space="preserve">PP_649</t>
  </si>
  <si>
    <t xml:space="preserve">PP_650</t>
  </si>
  <si>
    <t xml:space="preserve">PP_651</t>
  </si>
  <si>
    <t xml:space="preserve">PP_652</t>
  </si>
  <si>
    <t xml:space="preserve">PP_653</t>
  </si>
  <si>
    <t xml:space="preserve">PP_654</t>
  </si>
  <si>
    <t xml:space="preserve">PP_655</t>
  </si>
  <si>
    <t xml:space="preserve">PP_656</t>
  </si>
  <si>
    <t xml:space="preserve">PP_657</t>
  </si>
  <si>
    <t xml:space="preserve">PP_658</t>
  </si>
  <si>
    <t xml:space="preserve">PP_659</t>
  </si>
  <si>
    <t xml:space="preserve">PP_660</t>
  </si>
  <si>
    <t xml:space="preserve">PP_661</t>
  </si>
  <si>
    <t xml:space="preserve">PP_662</t>
  </si>
  <si>
    <t xml:space="preserve">PP_663</t>
  </si>
  <si>
    <t xml:space="preserve">PP_664</t>
  </si>
  <si>
    <t xml:space="preserve">PP_665</t>
  </si>
  <si>
    <t xml:space="preserve">PP_666</t>
  </si>
  <si>
    <t xml:space="preserve">PP_667</t>
  </si>
  <si>
    <t xml:space="preserve">PP_668</t>
  </si>
  <si>
    <t xml:space="preserve">PP_669</t>
  </si>
  <si>
    <t xml:space="preserve">PP_670</t>
  </si>
  <si>
    <t xml:space="preserve">PP_671</t>
  </si>
  <si>
    <t xml:space="preserve">PP_672</t>
  </si>
  <si>
    <t xml:space="preserve">PP_673</t>
  </si>
  <si>
    <t xml:space="preserve">PP_674</t>
  </si>
  <si>
    <t xml:space="preserve">PP_675</t>
  </si>
  <si>
    <t xml:space="preserve">PP_676</t>
  </si>
  <si>
    <t xml:space="preserve">PP_677</t>
  </si>
  <si>
    <t xml:space="preserve">PP_678</t>
  </si>
  <si>
    <t xml:space="preserve">PP_679</t>
  </si>
  <si>
    <t xml:space="preserve">PP_680</t>
  </si>
  <si>
    <t xml:space="preserve">PP_681</t>
  </si>
  <si>
    <t xml:space="preserve">PP_682</t>
  </si>
  <si>
    <t xml:space="preserve">PP_683</t>
  </si>
  <si>
    <t xml:space="preserve">PP_684</t>
  </si>
  <si>
    <t xml:space="preserve">PP_685</t>
  </si>
  <si>
    <t xml:space="preserve">PP_686</t>
  </si>
  <si>
    <t xml:space="preserve">PP_687</t>
  </si>
  <si>
    <t xml:space="preserve">PP_688</t>
  </si>
  <si>
    <t xml:space="preserve">PP_689</t>
  </si>
  <si>
    <t xml:space="preserve">PP_690</t>
  </si>
  <si>
    <t xml:space="preserve">PP_691</t>
  </si>
  <si>
    <t xml:space="preserve">PP_692</t>
  </si>
  <si>
    <t xml:space="preserve">PP_693</t>
  </si>
  <si>
    <t xml:space="preserve">PP_694</t>
  </si>
  <si>
    <t xml:space="preserve">PP_695</t>
  </si>
  <si>
    <t xml:space="preserve">PP_696</t>
  </si>
  <si>
    <t xml:space="preserve">PP_697</t>
  </si>
  <si>
    <t xml:space="preserve">PP_698</t>
  </si>
  <si>
    <t xml:space="preserve">PP_699</t>
  </si>
  <si>
    <t xml:space="preserve">PP_700</t>
  </si>
  <si>
    <t xml:space="preserve">PP_701</t>
  </si>
  <si>
    <t xml:space="preserve">PP_702</t>
  </si>
  <si>
    <t xml:space="preserve">PP_703</t>
  </si>
  <si>
    <t xml:space="preserve">PP_704</t>
  </si>
  <si>
    <t xml:space="preserve">PP_705</t>
  </si>
  <si>
    <t xml:space="preserve">PP_706</t>
  </si>
  <si>
    <t xml:space="preserve">PP_707</t>
  </si>
  <si>
    <t xml:space="preserve">PP_708</t>
  </si>
  <si>
    <t xml:space="preserve">PP_709</t>
  </si>
  <si>
    <t xml:space="preserve">PP_710</t>
  </si>
  <si>
    <t xml:space="preserve">PP_711</t>
  </si>
  <si>
    <t xml:space="preserve">PP_712</t>
  </si>
  <si>
    <t xml:space="preserve">PP_713</t>
  </si>
  <si>
    <t xml:space="preserve">PP_714</t>
  </si>
  <si>
    <t xml:space="preserve">PP_715</t>
  </si>
  <si>
    <t xml:space="preserve">PP_716</t>
  </si>
  <si>
    <t xml:space="preserve">PP_717</t>
  </si>
  <si>
    <t xml:space="preserve">PP_718</t>
  </si>
  <si>
    <t xml:space="preserve">PP_719</t>
  </si>
  <si>
    <t xml:space="preserve">PP_720</t>
  </si>
  <si>
    <t xml:space="preserve">PP_721</t>
  </si>
  <si>
    <t xml:space="preserve">PP_722</t>
  </si>
  <si>
    <t xml:space="preserve">PP_723</t>
  </si>
  <si>
    <t xml:space="preserve">PP_724</t>
  </si>
  <si>
    <t xml:space="preserve">PP_725</t>
  </si>
  <si>
    <t xml:space="preserve">PP_726</t>
  </si>
  <si>
    <t xml:space="preserve">PP_727</t>
  </si>
  <si>
    <t xml:space="preserve">PP_728</t>
  </si>
  <si>
    <t xml:space="preserve">PP_729</t>
  </si>
  <si>
    <t xml:space="preserve">PP_730</t>
  </si>
  <si>
    <t xml:space="preserve">PP_731</t>
  </si>
  <si>
    <t xml:space="preserve">PP_732</t>
  </si>
  <si>
    <t xml:space="preserve">PP_733</t>
  </si>
  <si>
    <t xml:space="preserve">PP_734</t>
  </si>
  <si>
    <t xml:space="preserve">PP_735</t>
  </si>
  <si>
    <t xml:space="preserve">PP_736</t>
  </si>
  <si>
    <t xml:space="preserve">PP_737</t>
  </si>
  <si>
    <t xml:space="preserve">PP_738</t>
  </si>
  <si>
    <t xml:space="preserve">PP_739</t>
  </si>
  <si>
    <t xml:space="preserve">PP_740</t>
  </si>
  <si>
    <t xml:space="preserve">PP_741</t>
  </si>
  <si>
    <t xml:space="preserve">PP_742</t>
  </si>
  <si>
    <t xml:space="preserve">PP_743</t>
  </si>
  <si>
    <t xml:space="preserve">PP_744</t>
  </si>
  <si>
    <t xml:space="preserve">PP_745</t>
  </si>
  <si>
    <t xml:space="preserve">PP_746</t>
  </si>
  <si>
    <t xml:space="preserve">PP_747</t>
  </si>
  <si>
    <t xml:space="preserve">PP_748</t>
  </si>
  <si>
    <t xml:space="preserve">PP_749</t>
  </si>
  <si>
    <t xml:space="preserve">PP_750</t>
  </si>
  <si>
    <t xml:space="preserve">PP_751</t>
  </si>
  <si>
    <t xml:space="preserve">PP_752</t>
  </si>
  <si>
    <t xml:space="preserve">PP_753</t>
  </si>
  <si>
    <t xml:space="preserve">PP_754</t>
  </si>
  <si>
    <t xml:space="preserve">PP_755</t>
  </si>
  <si>
    <t xml:space="preserve">PP_756</t>
  </si>
  <si>
    <t xml:space="preserve">PP_757</t>
  </si>
  <si>
    <t xml:space="preserve">PP_758</t>
  </si>
  <si>
    <t xml:space="preserve">PP_759</t>
  </si>
  <si>
    <t xml:space="preserve">PP_760</t>
  </si>
  <si>
    <t xml:space="preserve">PP_761</t>
  </si>
  <si>
    <t xml:space="preserve">PP_762</t>
  </si>
  <si>
    <t xml:space="preserve">PP_763</t>
  </si>
  <si>
    <t xml:space="preserve">PP_764</t>
  </si>
  <si>
    <t xml:space="preserve">PP_765</t>
  </si>
  <si>
    <t xml:space="preserve">PP_766</t>
  </si>
  <si>
    <t xml:space="preserve">PP_767</t>
  </si>
  <si>
    <t xml:space="preserve">PP_768</t>
  </si>
  <si>
    <t xml:space="preserve">PP_769</t>
  </si>
  <si>
    <t xml:space="preserve">PP_770</t>
  </si>
  <si>
    <t xml:space="preserve">PP_771</t>
  </si>
  <si>
    <t xml:space="preserve">PP_772</t>
  </si>
  <si>
    <t xml:space="preserve">PP_773</t>
  </si>
  <si>
    <t xml:space="preserve">PP_774</t>
  </si>
  <si>
    <t xml:space="preserve">PP_775</t>
  </si>
  <si>
    <t xml:space="preserve">PP_776</t>
  </si>
  <si>
    <t xml:space="preserve">PP_777</t>
  </si>
  <si>
    <t xml:space="preserve">PP_778</t>
  </si>
  <si>
    <t xml:space="preserve">PP_779</t>
  </si>
  <si>
    <t xml:space="preserve">PP_780</t>
  </si>
  <si>
    <t xml:space="preserve">PP_781</t>
  </si>
  <si>
    <t xml:space="preserve">PP_782</t>
  </si>
  <si>
    <t xml:space="preserve">PP_783</t>
  </si>
  <si>
    <t xml:space="preserve">PP_784</t>
  </si>
  <si>
    <t xml:space="preserve">PP_785</t>
  </si>
  <si>
    <t xml:space="preserve">PP_786</t>
  </si>
  <si>
    <t xml:space="preserve">PP_787</t>
  </si>
  <si>
    <t xml:space="preserve">PP_788</t>
  </si>
  <si>
    <t xml:space="preserve">PP_789</t>
  </si>
  <si>
    <t xml:space="preserve">PP_790</t>
  </si>
  <si>
    <t xml:space="preserve">PP_791</t>
  </si>
  <si>
    <t xml:space="preserve">PP_792</t>
  </si>
  <si>
    <t xml:space="preserve">PP_793</t>
  </si>
  <si>
    <t xml:space="preserve">PP_794</t>
  </si>
  <si>
    <t xml:space="preserve">PP_795</t>
  </si>
  <si>
    <t xml:space="preserve">PP_796</t>
  </si>
  <si>
    <t xml:space="preserve">PP_797</t>
  </si>
  <si>
    <t xml:space="preserve">PP_798</t>
  </si>
  <si>
    <t xml:space="preserve">PP_799</t>
  </si>
  <si>
    <t xml:space="preserve">PP_800</t>
  </si>
  <si>
    <t xml:space="preserve">PP_801</t>
  </si>
  <si>
    <t xml:space="preserve">PP_802</t>
  </si>
  <si>
    <t xml:space="preserve">PP_803</t>
  </si>
  <si>
    <t xml:space="preserve">PP_804</t>
  </si>
  <si>
    <t xml:space="preserve">PP_805</t>
  </si>
  <si>
    <t xml:space="preserve">PP_806</t>
  </si>
  <si>
    <t xml:space="preserve">PP_807</t>
  </si>
  <si>
    <t xml:space="preserve">PP_808</t>
  </si>
  <si>
    <t xml:space="preserve">PP_809</t>
  </si>
  <si>
    <t xml:space="preserve">PP_810</t>
  </si>
  <si>
    <t xml:space="preserve">PP_811</t>
  </si>
  <si>
    <t xml:space="preserve">PP_812</t>
  </si>
  <si>
    <t xml:space="preserve">PP_813</t>
  </si>
  <si>
    <t xml:space="preserve">PP_814</t>
  </si>
  <si>
    <t xml:space="preserve">PP_815</t>
  </si>
  <si>
    <t xml:space="preserve">PP_816</t>
  </si>
  <si>
    <t xml:space="preserve">PP_817</t>
  </si>
  <si>
    <t xml:space="preserve">PP_818</t>
  </si>
  <si>
    <t xml:space="preserve">PP_819</t>
  </si>
  <si>
    <t xml:space="preserve">PP_820</t>
  </si>
  <si>
    <t xml:space="preserve">PP_821</t>
  </si>
  <si>
    <t xml:space="preserve">PP_822</t>
  </si>
  <si>
    <t xml:space="preserve">PP_823</t>
  </si>
  <si>
    <t xml:space="preserve">PP_824</t>
  </si>
  <si>
    <t xml:space="preserve">PP_825</t>
  </si>
  <si>
    <t xml:space="preserve">PP_826</t>
  </si>
  <si>
    <t xml:space="preserve">PP_827</t>
  </si>
  <si>
    <t xml:space="preserve">PP_828</t>
  </si>
  <si>
    <t xml:space="preserve">PP_829</t>
  </si>
  <si>
    <t xml:space="preserve">PP_830</t>
  </si>
  <si>
    <t xml:space="preserve">PP_831</t>
  </si>
  <si>
    <t xml:space="preserve">PP_832</t>
  </si>
  <si>
    <t xml:space="preserve">PP_833</t>
  </si>
  <si>
    <t xml:space="preserve">PP_834</t>
  </si>
  <si>
    <t xml:space="preserve">PP_835</t>
  </si>
  <si>
    <t xml:space="preserve">PP_836</t>
  </si>
  <si>
    <t xml:space="preserve">PP_837</t>
  </si>
  <si>
    <t xml:space="preserve">PP_838</t>
  </si>
  <si>
    <t xml:space="preserve">PP_839</t>
  </si>
  <si>
    <t xml:space="preserve">PP_840</t>
  </si>
  <si>
    <t xml:space="preserve">PP_841</t>
  </si>
  <si>
    <t xml:space="preserve">PP_842</t>
  </si>
  <si>
    <t xml:space="preserve">PP_843</t>
  </si>
  <si>
    <t xml:space="preserve">PP_844</t>
  </si>
  <si>
    <t xml:space="preserve">PP_845</t>
  </si>
  <si>
    <t xml:space="preserve">PP_846</t>
  </si>
  <si>
    <t xml:space="preserve">PP_847</t>
  </si>
  <si>
    <t xml:space="preserve">PP_848</t>
  </si>
  <si>
    <t xml:space="preserve">PP_849</t>
  </si>
  <si>
    <t xml:space="preserve">PP_850</t>
  </si>
  <si>
    <t xml:space="preserve">PP_851</t>
  </si>
  <si>
    <t xml:space="preserve">PP_852</t>
  </si>
  <si>
    <t xml:space="preserve">PP_853</t>
  </si>
  <si>
    <t xml:space="preserve">PP_854</t>
  </si>
  <si>
    <t xml:space="preserve">PP_855</t>
  </si>
  <si>
    <t xml:space="preserve">PP_856</t>
  </si>
  <si>
    <t xml:space="preserve">PP_857</t>
  </si>
  <si>
    <t xml:space="preserve">PP_858</t>
  </si>
  <si>
    <t xml:space="preserve">PP_859</t>
  </si>
  <si>
    <t xml:space="preserve">PP_860</t>
  </si>
  <si>
    <t xml:space="preserve">PP_861</t>
  </si>
  <si>
    <t xml:space="preserve">PP_862</t>
  </si>
  <si>
    <t xml:space="preserve">PP_863</t>
  </si>
  <si>
    <t xml:space="preserve">PP_864</t>
  </si>
  <si>
    <t xml:space="preserve">PP_865</t>
  </si>
  <si>
    <t xml:space="preserve">PP_866</t>
  </si>
  <si>
    <t xml:space="preserve">PP_867</t>
  </si>
  <si>
    <t xml:space="preserve">PP_868</t>
  </si>
  <si>
    <t xml:space="preserve">PP_869</t>
  </si>
  <si>
    <t xml:space="preserve">PP_870</t>
  </si>
  <si>
    <t xml:space="preserve">PP_871</t>
  </si>
  <si>
    <t xml:space="preserve">PP_872</t>
  </si>
  <si>
    <t xml:space="preserve">PP_873</t>
  </si>
  <si>
    <t xml:space="preserve">PP_874</t>
  </si>
  <si>
    <t xml:space="preserve">PP_875</t>
  </si>
  <si>
    <t xml:space="preserve">PP_876</t>
  </si>
  <si>
    <t xml:space="preserve">PP_877</t>
  </si>
  <si>
    <t xml:space="preserve">PP_878</t>
  </si>
  <si>
    <t xml:space="preserve">PP_879</t>
  </si>
  <si>
    <t xml:space="preserve">PP_880</t>
  </si>
  <si>
    <t xml:space="preserve">PP_881</t>
  </si>
  <si>
    <t xml:space="preserve">PP_882</t>
  </si>
  <si>
    <t xml:space="preserve">PP_883</t>
  </si>
  <si>
    <t xml:space="preserve">PP_884</t>
  </si>
  <si>
    <t xml:space="preserve">PP_885</t>
  </si>
  <si>
    <t xml:space="preserve">PP_886</t>
  </si>
  <si>
    <t xml:space="preserve">PP_887</t>
  </si>
  <si>
    <t xml:space="preserve">PP_888</t>
  </si>
  <si>
    <t xml:space="preserve">PP_889</t>
  </si>
  <si>
    <t xml:space="preserve">PP_890</t>
  </si>
  <si>
    <t xml:space="preserve">PP_891</t>
  </si>
  <si>
    <t xml:space="preserve">PP_892</t>
  </si>
  <si>
    <t xml:space="preserve">PP_893</t>
  </si>
  <si>
    <t xml:space="preserve">PP_894</t>
  </si>
  <si>
    <t xml:space="preserve">PP_895</t>
  </si>
  <si>
    <t xml:space="preserve">PP_896</t>
  </si>
  <si>
    <t xml:space="preserve">PP_897</t>
  </si>
  <si>
    <t xml:space="preserve">PP_898</t>
  </si>
  <si>
    <t xml:space="preserve">PP_899</t>
  </si>
  <si>
    <t xml:space="preserve">PP_900</t>
  </si>
  <si>
    <t xml:space="preserve">PP_901</t>
  </si>
  <si>
    <t xml:space="preserve">PP_902</t>
  </si>
  <si>
    <t xml:space="preserve">PP_903</t>
  </si>
  <si>
    <t xml:space="preserve">PP_904</t>
  </si>
  <si>
    <t xml:space="preserve">PP_905</t>
  </si>
  <si>
    <t xml:space="preserve">PP_906</t>
  </si>
  <si>
    <t xml:space="preserve">PP_907</t>
  </si>
  <si>
    <t xml:space="preserve">PP_908</t>
  </si>
  <si>
    <t xml:space="preserve">PP_909</t>
  </si>
  <si>
    <t xml:space="preserve">PP_910</t>
  </si>
  <si>
    <t xml:space="preserve">PP_911</t>
  </si>
  <si>
    <t xml:space="preserve">PP_912</t>
  </si>
  <si>
    <t xml:space="preserve">PP_913</t>
  </si>
  <si>
    <t xml:space="preserve">PP_914</t>
  </si>
  <si>
    <t xml:space="preserve">PP_915</t>
  </si>
  <si>
    <t xml:space="preserve">PP_916</t>
  </si>
  <si>
    <t xml:space="preserve">PP_917</t>
  </si>
  <si>
    <t xml:space="preserve">PP_918</t>
  </si>
  <si>
    <t xml:space="preserve">PP_919</t>
  </si>
  <si>
    <t xml:space="preserve">PP_920</t>
  </si>
  <si>
    <t xml:space="preserve">PP_921</t>
  </si>
  <si>
    <t xml:space="preserve">PP_922</t>
  </si>
  <si>
    <t xml:space="preserve">PP_923</t>
  </si>
  <si>
    <t xml:space="preserve">PP_924</t>
  </si>
  <si>
    <t xml:space="preserve">PP_925</t>
  </si>
  <si>
    <t xml:space="preserve">PP_926</t>
  </si>
  <si>
    <t xml:space="preserve">PP_927</t>
  </si>
  <si>
    <t xml:space="preserve">PP_928</t>
  </si>
  <si>
    <t xml:space="preserve">PP_929</t>
  </si>
  <si>
    <t xml:space="preserve">PP_930</t>
  </si>
  <si>
    <t xml:space="preserve">PP_931</t>
  </si>
  <si>
    <t xml:space="preserve">PP_932</t>
  </si>
  <si>
    <t xml:space="preserve">PP_933</t>
  </si>
  <si>
    <t xml:space="preserve">PP_934</t>
  </si>
  <si>
    <t xml:space="preserve">PP_935</t>
  </si>
  <si>
    <t xml:space="preserve">PP_936</t>
  </si>
  <si>
    <t xml:space="preserve">PP_937</t>
  </si>
  <si>
    <t xml:space="preserve">PP_938</t>
  </si>
  <si>
    <t xml:space="preserve">PP_939</t>
  </si>
  <si>
    <t xml:space="preserve">PP_940</t>
  </si>
  <si>
    <t xml:space="preserve">PP_941</t>
  </si>
  <si>
    <t xml:space="preserve">PP_942</t>
  </si>
  <si>
    <t xml:space="preserve">PP_943</t>
  </si>
  <si>
    <t xml:space="preserve">PP_944</t>
  </si>
  <si>
    <t xml:space="preserve">PP_945</t>
  </si>
  <si>
    <t xml:space="preserve">PP_946</t>
  </si>
  <si>
    <t xml:space="preserve">PP_947</t>
  </si>
  <si>
    <t xml:space="preserve">PP_948</t>
  </si>
  <si>
    <t xml:space="preserve">PP_949</t>
  </si>
  <si>
    <t xml:space="preserve">PP_950</t>
  </si>
  <si>
    <t xml:space="preserve">PP_951</t>
  </si>
  <si>
    <t xml:space="preserve">PP_952</t>
  </si>
  <si>
    <t xml:space="preserve">PP_953</t>
  </si>
  <si>
    <t xml:space="preserve">PP_954</t>
  </si>
  <si>
    <t xml:space="preserve">PP_955</t>
  </si>
  <si>
    <t xml:space="preserve">PP_956</t>
  </si>
  <si>
    <t xml:space="preserve">PP_957</t>
  </si>
  <si>
    <t xml:space="preserve">PP_958</t>
  </si>
  <si>
    <t xml:space="preserve">PP_959</t>
  </si>
  <si>
    <t xml:space="preserve">PP_960</t>
  </si>
  <si>
    <t xml:space="preserve">PP_961</t>
  </si>
  <si>
    <t xml:space="preserve">PP_962</t>
  </si>
  <si>
    <t xml:space="preserve">PP_963</t>
  </si>
  <si>
    <t xml:space="preserve">PP_964</t>
  </si>
  <si>
    <t xml:space="preserve">PP_965</t>
  </si>
  <si>
    <t xml:space="preserve">PP_966</t>
  </si>
  <si>
    <t xml:space="preserve">PP_967</t>
  </si>
  <si>
    <t xml:space="preserve">PP_968</t>
  </si>
  <si>
    <t xml:space="preserve">PP_969</t>
  </si>
  <si>
    <t xml:space="preserve">PP_970</t>
  </si>
  <si>
    <t xml:space="preserve">PP_971</t>
  </si>
  <si>
    <t xml:space="preserve">PP_972</t>
  </si>
  <si>
    <t xml:space="preserve">PP_973</t>
  </si>
  <si>
    <t xml:space="preserve">PP_974</t>
  </si>
  <si>
    <t xml:space="preserve">PP_975</t>
  </si>
  <si>
    <t xml:space="preserve">PP_976</t>
  </si>
  <si>
    <t xml:space="preserve">PP_977</t>
  </si>
  <si>
    <t xml:space="preserve">PP_978</t>
  </si>
  <si>
    <t xml:space="preserve">PP_979</t>
  </si>
  <si>
    <t xml:space="preserve">PP_980</t>
  </si>
  <si>
    <t xml:space="preserve">PP_981</t>
  </si>
  <si>
    <t xml:space="preserve">PP_982</t>
  </si>
  <si>
    <t xml:space="preserve">PP_983</t>
  </si>
  <si>
    <t xml:space="preserve">PP_984</t>
  </si>
  <si>
    <t xml:space="preserve">PP_985</t>
  </si>
  <si>
    <t xml:space="preserve">PP_986</t>
  </si>
  <si>
    <t xml:space="preserve">PP_987</t>
  </si>
  <si>
    <t xml:space="preserve">PP_988</t>
  </si>
  <si>
    <t xml:space="preserve">PP_989</t>
  </si>
  <si>
    <t xml:space="preserve">PP_990</t>
  </si>
  <si>
    <t xml:space="preserve">PP_991</t>
  </si>
  <si>
    <t xml:space="preserve">PP_992</t>
  </si>
  <si>
    <t xml:space="preserve">PP_993</t>
  </si>
  <si>
    <t xml:space="preserve">PP_994</t>
  </si>
  <si>
    <t xml:space="preserve">PP_995</t>
  </si>
  <si>
    <t xml:space="preserve">PP_996</t>
  </si>
  <si>
    <t xml:space="preserve">PP_997</t>
  </si>
  <si>
    <t xml:space="preserve">PP_998</t>
  </si>
  <si>
    <t xml:space="preserve">PP_999</t>
  </si>
  <si>
    <t xml:space="preserve">PP_1000</t>
  </si>
  <si>
    <t xml:space="preserve">PP_1001</t>
  </si>
  <si>
    <t xml:space="preserve">PP_1002</t>
  </si>
  <si>
    <t xml:space="preserve">PP_1003</t>
  </si>
  <si>
    <t xml:space="preserve">PP_1004</t>
  </si>
  <si>
    <t xml:space="preserve">PP_1005</t>
  </si>
  <si>
    <t xml:space="preserve">PP_1006</t>
  </si>
  <si>
    <t xml:space="preserve">PP_1007</t>
  </si>
  <si>
    <t xml:space="preserve">PP_1008</t>
  </si>
  <si>
    <t xml:space="preserve">PP_1009</t>
  </si>
  <si>
    <t xml:space="preserve">PP_1010</t>
  </si>
  <si>
    <t xml:space="preserve">PP_1011</t>
  </si>
  <si>
    <t xml:space="preserve">PP_1012</t>
  </si>
  <si>
    <t xml:space="preserve">PP_1013</t>
  </si>
  <si>
    <t xml:space="preserve">PP_1014</t>
  </si>
  <si>
    <t xml:space="preserve">PP_1015</t>
  </si>
  <si>
    <t xml:space="preserve">PP_1016</t>
  </si>
  <si>
    <t xml:space="preserve">PP_1017</t>
  </si>
  <si>
    <t xml:space="preserve">PP_1018</t>
  </si>
  <si>
    <t xml:space="preserve">PP_1019</t>
  </si>
  <si>
    <t xml:space="preserve">PP_1020</t>
  </si>
  <si>
    <t xml:space="preserve">PP_1021</t>
  </si>
  <si>
    <t xml:space="preserve">PP_1022</t>
  </si>
  <si>
    <t xml:space="preserve">PP_1023</t>
  </si>
  <si>
    <t xml:space="preserve">PP_1024</t>
  </si>
  <si>
    <t xml:space="preserve">PP_1025</t>
  </si>
  <si>
    <t xml:space="preserve">PP_1026</t>
  </si>
  <si>
    <t xml:space="preserve">PP_1027</t>
  </si>
  <si>
    <t xml:space="preserve">PP_1028</t>
  </si>
  <si>
    <t xml:space="preserve">PP_1029</t>
  </si>
  <si>
    <t xml:space="preserve">PP_1030</t>
  </si>
  <si>
    <t xml:space="preserve">PP_1031</t>
  </si>
  <si>
    <t xml:space="preserve">PP_1032</t>
  </si>
  <si>
    <t xml:space="preserve">PP_1033</t>
  </si>
  <si>
    <t xml:space="preserve">PP_1034</t>
  </si>
  <si>
    <t xml:space="preserve">PP_1035</t>
  </si>
  <si>
    <t xml:space="preserve">PP_1036</t>
  </si>
  <si>
    <t xml:space="preserve">PP_1037</t>
  </si>
  <si>
    <t xml:space="preserve">PP_1038</t>
  </si>
  <si>
    <t xml:space="preserve">PP_1039</t>
  </si>
  <si>
    <t xml:space="preserve">PP_1040</t>
  </si>
  <si>
    <t xml:space="preserve">PP_1041</t>
  </si>
  <si>
    <t xml:space="preserve">PP_1042</t>
  </si>
  <si>
    <t xml:space="preserve">PP_1043</t>
  </si>
  <si>
    <t xml:space="preserve">PP_1044</t>
  </si>
  <si>
    <t xml:space="preserve">PP_1045</t>
  </si>
  <si>
    <t xml:space="preserve">PP_1046</t>
  </si>
  <si>
    <t xml:space="preserve">PP_1047</t>
  </si>
  <si>
    <t xml:space="preserve">PP_1048</t>
  </si>
  <si>
    <t xml:space="preserve">PP_1049</t>
  </si>
  <si>
    <t xml:space="preserve">PP_1050</t>
  </si>
  <si>
    <t xml:space="preserve">PP_1051</t>
  </si>
  <si>
    <t xml:space="preserve">PP_1052</t>
  </si>
  <si>
    <t xml:space="preserve">PP_1053</t>
  </si>
  <si>
    <t xml:space="preserve">PP_1054</t>
  </si>
  <si>
    <t xml:space="preserve">PP_1055</t>
  </si>
  <si>
    <t xml:space="preserve">PP_1056</t>
  </si>
  <si>
    <t xml:space="preserve">PP_1057</t>
  </si>
  <si>
    <t xml:space="preserve">PP_1058</t>
  </si>
  <si>
    <t xml:space="preserve">PP_1059</t>
  </si>
  <si>
    <t xml:space="preserve">PP_1060</t>
  </si>
  <si>
    <t xml:space="preserve">PP_1061</t>
  </si>
  <si>
    <t xml:space="preserve">PP_1062</t>
  </si>
  <si>
    <t xml:space="preserve">PP_1063</t>
  </si>
  <si>
    <t xml:space="preserve">PP_1064</t>
  </si>
  <si>
    <t xml:space="preserve">PP_1065</t>
  </si>
  <si>
    <t xml:space="preserve">PP_1066</t>
  </si>
  <si>
    <t xml:space="preserve">PP_1067</t>
  </si>
  <si>
    <t xml:space="preserve">PP_1068</t>
  </si>
  <si>
    <t xml:space="preserve">PP_1069</t>
  </si>
  <si>
    <t xml:space="preserve">PP_1070</t>
  </si>
  <si>
    <t xml:space="preserve">PP_1071</t>
  </si>
  <si>
    <t xml:space="preserve">PP_1072</t>
  </si>
  <si>
    <t xml:space="preserve">PP_1073</t>
  </si>
  <si>
    <t xml:space="preserve">PP_1074</t>
  </si>
  <si>
    <t xml:space="preserve">PP_1075</t>
  </si>
  <si>
    <t xml:space="preserve">PP_1076</t>
  </si>
  <si>
    <t xml:space="preserve">PP_1077</t>
  </si>
  <si>
    <t xml:space="preserve">PP_1078</t>
  </si>
  <si>
    <t xml:space="preserve">PP_1079</t>
  </si>
  <si>
    <t xml:space="preserve">PP_1080</t>
  </si>
  <si>
    <t xml:space="preserve">PP_1081</t>
  </si>
  <si>
    <t xml:space="preserve">PP_1082</t>
  </si>
  <si>
    <t xml:space="preserve">PP_1083</t>
  </si>
  <si>
    <t xml:space="preserve">PP_1084</t>
  </si>
  <si>
    <t xml:space="preserve">PP_1085</t>
  </si>
  <si>
    <t xml:space="preserve">PP_1086</t>
  </si>
  <si>
    <t xml:space="preserve">PP_1087</t>
  </si>
  <si>
    <t xml:space="preserve">PP_1088</t>
  </si>
  <si>
    <t xml:space="preserve">PP_1089</t>
  </si>
  <si>
    <t xml:space="preserve">PP_1090</t>
  </si>
  <si>
    <t xml:space="preserve">PP_1091</t>
  </si>
  <si>
    <t xml:space="preserve">PP_1092</t>
  </si>
  <si>
    <t xml:space="preserve">PP_1093</t>
  </si>
  <si>
    <t xml:space="preserve">PP_1094</t>
  </si>
  <si>
    <t xml:space="preserve">PP_1095</t>
  </si>
  <si>
    <t xml:space="preserve">PP_1096</t>
  </si>
  <si>
    <t xml:space="preserve">PP_1097</t>
  </si>
  <si>
    <t xml:space="preserve">PP_1098</t>
  </si>
  <si>
    <t xml:space="preserve">PP_1099</t>
  </si>
  <si>
    <t xml:space="preserve">PP_1100</t>
  </si>
  <si>
    <t xml:space="preserve">PP_1101</t>
  </si>
  <si>
    <t xml:space="preserve">PP_1102</t>
  </si>
  <si>
    <t xml:space="preserve">PP_1103</t>
  </si>
  <si>
    <t xml:space="preserve">PP_1104</t>
  </si>
  <si>
    <t xml:space="preserve">PP_1105</t>
  </si>
  <si>
    <t xml:space="preserve">PP_1106</t>
  </si>
  <si>
    <t xml:space="preserve">PP_1107</t>
  </si>
  <si>
    <t xml:space="preserve">PP_1108</t>
  </si>
  <si>
    <t xml:space="preserve">PP_1109</t>
  </si>
  <si>
    <t xml:space="preserve">PP_1110</t>
  </si>
  <si>
    <t xml:space="preserve">PP_1111</t>
  </si>
  <si>
    <t xml:space="preserve">PP_1112</t>
  </si>
  <si>
    <t xml:space="preserve">PP_1113</t>
  </si>
  <si>
    <t xml:space="preserve">PP_1114</t>
  </si>
  <si>
    <t xml:space="preserve">PP_1115</t>
  </si>
  <si>
    <t xml:space="preserve">PP_1116</t>
  </si>
  <si>
    <t xml:space="preserve">PP_1117</t>
  </si>
  <si>
    <t xml:space="preserve">PP_1118</t>
  </si>
  <si>
    <t xml:space="preserve">PP_1119</t>
  </si>
  <si>
    <t xml:space="preserve">PP_1120</t>
  </si>
  <si>
    <t xml:space="preserve">PP_1121</t>
  </si>
  <si>
    <t xml:space="preserve">PP_1122</t>
  </si>
  <si>
    <t xml:space="preserve">PP_1123</t>
  </si>
  <si>
    <t xml:space="preserve">PP_1124</t>
  </si>
  <si>
    <t xml:space="preserve">PP_1125</t>
  </si>
  <si>
    <t xml:space="preserve">PP_1126</t>
  </si>
  <si>
    <t xml:space="preserve">PP_1127</t>
  </si>
  <si>
    <t xml:space="preserve">PP_1128</t>
  </si>
  <si>
    <t xml:space="preserve">PP_1129</t>
  </si>
  <si>
    <t xml:space="preserve">PP_1130</t>
  </si>
  <si>
    <t xml:space="preserve">PP_1131</t>
  </si>
  <si>
    <t xml:space="preserve">PP_1132</t>
  </si>
  <si>
    <t xml:space="preserve">PP_1133</t>
  </si>
  <si>
    <t xml:space="preserve">PP_1134</t>
  </si>
  <si>
    <t xml:space="preserve">PP_1135</t>
  </si>
  <si>
    <t xml:space="preserve">PP_1136</t>
  </si>
  <si>
    <t xml:space="preserve">PP_1137</t>
  </si>
  <si>
    <t xml:space="preserve">PP_1138</t>
  </si>
  <si>
    <t xml:space="preserve">PP_1139</t>
  </si>
  <si>
    <t xml:space="preserve">PP_1140</t>
  </si>
  <si>
    <t xml:space="preserve">PP_1141</t>
  </si>
  <si>
    <t xml:space="preserve">PP_1142</t>
  </si>
  <si>
    <t xml:space="preserve">PP_1143</t>
  </si>
  <si>
    <t xml:space="preserve">PP_1144</t>
  </si>
  <si>
    <t xml:space="preserve">PP_1145</t>
  </si>
  <si>
    <t xml:space="preserve">PP_1146</t>
  </si>
  <si>
    <t xml:space="preserve">PP_1147</t>
  </si>
  <si>
    <t xml:space="preserve">PP_1148</t>
  </si>
  <si>
    <t xml:space="preserve">PP_1149</t>
  </si>
  <si>
    <t xml:space="preserve">PP_1150</t>
  </si>
  <si>
    <t xml:space="preserve">PP_1151</t>
  </si>
  <si>
    <t xml:space="preserve">PP_1152</t>
  </si>
  <si>
    <t xml:space="preserve">PP_1153</t>
  </si>
  <si>
    <t xml:space="preserve">PP_1154</t>
  </si>
  <si>
    <t xml:space="preserve">PP_1155</t>
  </si>
  <si>
    <t xml:space="preserve">PP_1156</t>
  </si>
  <si>
    <t xml:space="preserve">PP_1157</t>
  </si>
  <si>
    <t xml:space="preserve">PP_1158</t>
  </si>
  <si>
    <t xml:space="preserve">PP_1159</t>
  </si>
  <si>
    <t xml:space="preserve">PP_1160</t>
  </si>
  <si>
    <t xml:space="preserve">PP_1161</t>
  </si>
  <si>
    <t xml:space="preserve">PP_1162</t>
  </si>
  <si>
    <t xml:space="preserve">PP_1163</t>
  </si>
  <si>
    <t xml:space="preserve">PP_1164</t>
  </si>
  <si>
    <t xml:space="preserve">PP_1165</t>
  </si>
  <si>
    <t xml:space="preserve">PP_1166</t>
  </si>
  <si>
    <t xml:space="preserve">PP_1167</t>
  </si>
  <si>
    <t xml:space="preserve">PP_1168</t>
  </si>
  <si>
    <t xml:space="preserve">PP_1169</t>
  </si>
  <si>
    <t xml:space="preserve">PP_1170</t>
  </si>
  <si>
    <t xml:space="preserve">PP_1171</t>
  </si>
  <si>
    <t xml:space="preserve">PP_1172</t>
  </si>
  <si>
    <t xml:space="preserve">PP_1173</t>
  </si>
  <si>
    <t xml:space="preserve">PP_1174</t>
  </si>
  <si>
    <t xml:space="preserve">PP_1175</t>
  </si>
  <si>
    <t xml:space="preserve">PP_1176</t>
  </si>
  <si>
    <t xml:space="preserve">PP_1177</t>
  </si>
  <si>
    <t xml:space="preserve">PP_1178</t>
  </si>
  <si>
    <t xml:space="preserve">PP_1179</t>
  </si>
  <si>
    <t xml:space="preserve">PP_1180</t>
  </si>
  <si>
    <t xml:space="preserve">PP_1181</t>
  </si>
  <si>
    <t xml:space="preserve">PP_1182</t>
  </si>
  <si>
    <t xml:space="preserve">PP_1183</t>
  </si>
  <si>
    <t xml:space="preserve">PP_1184</t>
  </si>
  <si>
    <t xml:space="preserve">PP_1185</t>
  </si>
  <si>
    <t xml:space="preserve">PP_1186</t>
  </si>
  <si>
    <t xml:space="preserve">PP_1187</t>
  </si>
  <si>
    <t xml:space="preserve">PP_1188</t>
  </si>
  <si>
    <t xml:space="preserve">PP_1189</t>
  </si>
  <si>
    <t xml:space="preserve">PP_1190</t>
  </si>
  <si>
    <t xml:space="preserve">PP_1191</t>
  </si>
  <si>
    <t xml:space="preserve">PP_1192</t>
  </si>
  <si>
    <t xml:space="preserve">PP_1193</t>
  </si>
  <si>
    <t xml:space="preserve">PP_1194</t>
  </si>
  <si>
    <t xml:space="preserve">PP_1195</t>
  </si>
  <si>
    <t xml:space="preserve">PP_1196</t>
  </si>
  <si>
    <t xml:space="preserve">PP_1197</t>
  </si>
  <si>
    <t xml:space="preserve">PP_1198</t>
  </si>
  <si>
    <t xml:space="preserve">PP_1199</t>
  </si>
  <si>
    <t xml:space="preserve">PP_1200</t>
  </si>
  <si>
    <t xml:space="preserve">PP_1201</t>
  </si>
  <si>
    <t xml:space="preserve">PP_1202</t>
  </si>
  <si>
    <t xml:space="preserve">PP_1203</t>
  </si>
  <si>
    <t xml:space="preserve">PP_1204</t>
  </si>
  <si>
    <t xml:space="preserve">PP_1205</t>
  </si>
  <si>
    <t xml:space="preserve">PP_1206</t>
  </si>
  <si>
    <t xml:space="preserve">PP_1207</t>
  </si>
  <si>
    <t xml:space="preserve">PP_1208</t>
  </si>
  <si>
    <t xml:space="preserve">PP_1209</t>
  </si>
  <si>
    <t xml:space="preserve">PP_1210</t>
  </si>
  <si>
    <t xml:space="preserve">PP_1211</t>
  </si>
  <si>
    <t xml:space="preserve">PP_1212</t>
  </si>
  <si>
    <t xml:space="preserve">PP_1213</t>
  </si>
  <si>
    <t xml:space="preserve">PP_1214</t>
  </si>
  <si>
    <t xml:space="preserve">PP_1215</t>
  </si>
  <si>
    <t xml:space="preserve">PP_1216</t>
  </si>
  <si>
    <t xml:space="preserve">PP_1217</t>
  </si>
  <si>
    <t xml:space="preserve">PP_1218</t>
  </si>
  <si>
    <t xml:space="preserve">PP_1219</t>
  </si>
  <si>
    <t xml:space="preserve">PP_1220</t>
  </si>
  <si>
    <t xml:space="preserve">PP_1221</t>
  </si>
  <si>
    <t xml:space="preserve">PP_1222</t>
  </si>
  <si>
    <t xml:space="preserve">PP_1223</t>
  </si>
  <si>
    <t xml:space="preserve">PP_1224</t>
  </si>
  <si>
    <t xml:space="preserve">PP_1225</t>
  </si>
  <si>
    <t xml:space="preserve">PP_1226</t>
  </si>
  <si>
    <t xml:space="preserve">PP_1227</t>
  </si>
  <si>
    <t xml:space="preserve">PP_1228</t>
  </si>
  <si>
    <t xml:space="preserve">PP_1229</t>
  </si>
  <si>
    <t xml:space="preserve">PP_1230</t>
  </si>
  <si>
    <t xml:space="preserve">PP_1231</t>
  </si>
  <si>
    <t xml:space="preserve">PP_1232</t>
  </si>
  <si>
    <t xml:space="preserve">PP_1233</t>
  </si>
  <si>
    <t xml:space="preserve">PP_1234</t>
  </si>
  <si>
    <t xml:space="preserve">PP_1235</t>
  </si>
  <si>
    <t xml:space="preserve">PP_1236</t>
  </si>
  <si>
    <t xml:space="preserve">PP_1237</t>
  </si>
  <si>
    <t xml:space="preserve">PP_1238</t>
  </si>
  <si>
    <t xml:space="preserve">PP_1239</t>
  </si>
  <si>
    <t xml:space="preserve">PP_1240</t>
  </si>
  <si>
    <t xml:space="preserve">PP_1241</t>
  </si>
  <si>
    <t xml:space="preserve">PP_1242</t>
  </si>
  <si>
    <t xml:space="preserve">PP_1243</t>
  </si>
  <si>
    <t xml:space="preserve">PP_1244</t>
  </si>
  <si>
    <t xml:space="preserve">PP_1245</t>
  </si>
  <si>
    <t xml:space="preserve">PP_1246</t>
  </si>
  <si>
    <t xml:space="preserve">PP_1247</t>
  </si>
  <si>
    <t xml:space="preserve">PP_1248</t>
  </si>
  <si>
    <t xml:space="preserve">PP_1249</t>
  </si>
  <si>
    <t xml:space="preserve">PP_1250</t>
  </si>
  <si>
    <t xml:space="preserve">PP_1251</t>
  </si>
  <si>
    <t xml:space="preserve">PP_1252</t>
  </si>
  <si>
    <t xml:space="preserve">PP_1253</t>
  </si>
  <si>
    <t xml:space="preserve">PP_1254</t>
  </si>
  <si>
    <t xml:space="preserve">PP_1255</t>
  </si>
  <si>
    <t xml:space="preserve">PP_1256</t>
  </si>
  <si>
    <t xml:space="preserve">PP_1257</t>
  </si>
  <si>
    <t xml:space="preserve">PP_1258</t>
  </si>
  <si>
    <t xml:space="preserve">PP_1259</t>
  </si>
  <si>
    <t xml:space="preserve">PP_1260</t>
  </si>
  <si>
    <t xml:space="preserve">PP_1261</t>
  </si>
  <si>
    <t xml:space="preserve">PP_1262</t>
  </si>
  <si>
    <t xml:space="preserve">PP_1263</t>
  </si>
  <si>
    <t xml:space="preserve">PP_1264</t>
  </si>
  <si>
    <t xml:space="preserve">PP_1265</t>
  </si>
  <si>
    <t xml:space="preserve">PP_1266</t>
  </si>
  <si>
    <t xml:space="preserve">PP_1267</t>
  </si>
  <si>
    <t xml:space="preserve">PP_1268</t>
  </si>
  <si>
    <t xml:space="preserve">PP_1269</t>
  </si>
  <si>
    <t xml:space="preserve">PP_1270</t>
  </si>
  <si>
    <t xml:space="preserve">PP_1271</t>
  </si>
  <si>
    <t xml:space="preserve">PP_1272</t>
  </si>
  <si>
    <t xml:space="preserve">PP_1273</t>
  </si>
  <si>
    <t xml:space="preserve">PP_1274</t>
  </si>
  <si>
    <t xml:space="preserve">PP_1275</t>
  </si>
  <si>
    <t xml:space="preserve">PP_1276</t>
  </si>
  <si>
    <t xml:space="preserve">PP_1277</t>
  </si>
  <si>
    <t xml:space="preserve">PP_1278</t>
  </si>
  <si>
    <t xml:space="preserve">PP_1279</t>
  </si>
  <si>
    <t xml:space="preserve">PP_1280</t>
  </si>
  <si>
    <t xml:space="preserve">PP_1281</t>
  </si>
  <si>
    <t xml:space="preserve">PP_1282</t>
  </si>
  <si>
    <t xml:space="preserve">PP_1283</t>
  </si>
  <si>
    <t xml:space="preserve">PP_1284</t>
  </si>
  <si>
    <t xml:space="preserve">PP_1285</t>
  </si>
  <si>
    <t xml:space="preserve">PP_1286</t>
  </si>
  <si>
    <t xml:space="preserve">PP_1287</t>
  </si>
  <si>
    <t xml:space="preserve">PP_1288</t>
  </si>
  <si>
    <t xml:space="preserve">PP_1289</t>
  </si>
  <si>
    <t xml:space="preserve">PP_1290</t>
  </si>
  <si>
    <t xml:space="preserve">PP_1291</t>
  </si>
  <si>
    <t xml:space="preserve">PP_1292</t>
  </si>
  <si>
    <t xml:space="preserve">PP_1293</t>
  </si>
  <si>
    <t xml:space="preserve">PP_1294</t>
  </si>
  <si>
    <t xml:space="preserve">PP_1295</t>
  </si>
  <si>
    <t xml:space="preserve">PP_1296</t>
  </si>
  <si>
    <t xml:space="preserve">PP_1297</t>
  </si>
  <si>
    <t xml:space="preserve">PP_1298</t>
  </si>
  <si>
    <t xml:space="preserve">PP_1299</t>
  </si>
  <si>
    <t xml:space="preserve">PP_1300</t>
  </si>
  <si>
    <t xml:space="preserve">PP_1301</t>
  </si>
  <si>
    <t xml:space="preserve">PP_1302</t>
  </si>
  <si>
    <t xml:space="preserve">PP_1303</t>
  </si>
  <si>
    <t xml:space="preserve">PP_1304</t>
  </si>
  <si>
    <t xml:space="preserve">PP_1305</t>
  </si>
  <si>
    <t xml:space="preserve">PP_1306</t>
  </si>
  <si>
    <t xml:space="preserve">PP_1307</t>
  </si>
  <si>
    <t xml:space="preserve">PP_1308</t>
  </si>
  <si>
    <t xml:space="preserve">PP_1309</t>
  </si>
  <si>
    <t xml:space="preserve">PP_1310</t>
  </si>
  <si>
    <t xml:space="preserve">PP_1311</t>
  </si>
  <si>
    <t xml:space="preserve">PP_1312</t>
  </si>
  <si>
    <t xml:space="preserve">PP_1313</t>
  </si>
  <si>
    <t xml:space="preserve">PP_1314</t>
  </si>
  <si>
    <t xml:space="preserve">PP_1315</t>
  </si>
  <si>
    <t xml:space="preserve">PP_1316</t>
  </si>
  <si>
    <t xml:space="preserve">PP_1317</t>
  </si>
  <si>
    <t xml:space="preserve">PP_1318</t>
  </si>
  <si>
    <t xml:space="preserve">PP_1319</t>
  </si>
  <si>
    <t xml:space="preserve">PP_1320</t>
  </si>
  <si>
    <t xml:space="preserve">PP_1321</t>
  </si>
  <si>
    <t xml:space="preserve">PP_1322</t>
  </si>
  <si>
    <t xml:space="preserve">PP_1323</t>
  </si>
  <si>
    <t xml:space="preserve">PP_1324</t>
  </si>
  <si>
    <t xml:space="preserve">PP_1325</t>
  </si>
  <si>
    <t xml:space="preserve">PP_1326</t>
  </si>
  <si>
    <t xml:space="preserve">PP_1327</t>
  </si>
  <si>
    <t xml:space="preserve">PP_1328</t>
  </si>
  <si>
    <t xml:space="preserve">PP_1329</t>
  </si>
  <si>
    <t xml:space="preserve">PP_1330</t>
  </si>
  <si>
    <t xml:space="preserve">PP_1331</t>
  </si>
  <si>
    <t xml:space="preserve">PP_1332</t>
  </si>
  <si>
    <t xml:space="preserve">PP_1333</t>
  </si>
  <si>
    <t xml:space="preserve">PP_1334</t>
  </si>
  <si>
    <t xml:space="preserve">PP_1335</t>
  </si>
  <si>
    <t xml:space="preserve">PP_1336</t>
  </si>
  <si>
    <t xml:space="preserve">PP_1337</t>
  </si>
  <si>
    <t xml:space="preserve">PP_1338</t>
  </si>
  <si>
    <t xml:space="preserve">PP_1339</t>
  </si>
  <si>
    <t xml:space="preserve">PP_1340</t>
  </si>
  <si>
    <t xml:space="preserve">PP_1341</t>
  </si>
  <si>
    <t xml:space="preserve">PP_1342</t>
  </si>
  <si>
    <t xml:space="preserve">PP_1343</t>
  </si>
  <si>
    <t xml:space="preserve">PP_1344</t>
  </si>
  <si>
    <t xml:space="preserve">PP_1345</t>
  </si>
  <si>
    <t xml:space="preserve">PP_1346</t>
  </si>
  <si>
    <t xml:space="preserve">PP_1347</t>
  </si>
  <si>
    <t xml:space="preserve">PP_1348</t>
  </si>
  <si>
    <t xml:space="preserve">PP_1349</t>
  </si>
  <si>
    <t xml:space="preserve">PP_1350</t>
  </si>
  <si>
    <t xml:space="preserve">PP_1351</t>
  </si>
  <si>
    <t xml:space="preserve">PP_1352</t>
  </si>
  <si>
    <t xml:space="preserve">PP_1353</t>
  </si>
  <si>
    <t xml:space="preserve">PP_1354</t>
  </si>
  <si>
    <t xml:space="preserve">PP_1355</t>
  </si>
  <si>
    <t xml:space="preserve">PP_1356</t>
  </si>
  <si>
    <t xml:space="preserve">PP_1357</t>
  </si>
  <si>
    <t xml:space="preserve">PP_1358</t>
  </si>
  <si>
    <t xml:space="preserve">PP_1359</t>
  </si>
  <si>
    <t xml:space="preserve">PP_1360</t>
  </si>
  <si>
    <t xml:space="preserve">PP_1361</t>
  </si>
  <si>
    <t xml:space="preserve">PP_1362</t>
  </si>
  <si>
    <t xml:space="preserve">PP_1363</t>
  </si>
  <si>
    <t xml:space="preserve">PP_1364</t>
  </si>
  <si>
    <t xml:space="preserve">PP_1365</t>
  </si>
  <si>
    <t xml:space="preserve">PP_1366</t>
  </si>
  <si>
    <t xml:space="preserve">PP_1367</t>
  </si>
  <si>
    <t xml:space="preserve">PP_1368</t>
  </si>
  <si>
    <t xml:space="preserve">PP_1369</t>
  </si>
  <si>
    <t xml:space="preserve">PP_1370</t>
  </si>
  <si>
    <t xml:space="preserve">PP_1371</t>
  </si>
  <si>
    <t xml:space="preserve">PP_1372</t>
  </si>
  <si>
    <t xml:space="preserve">PP_1373</t>
  </si>
  <si>
    <t xml:space="preserve">PP_1374</t>
  </si>
  <si>
    <t xml:space="preserve">PP_1375</t>
  </si>
  <si>
    <t xml:space="preserve">PP_1376</t>
  </si>
  <si>
    <t xml:space="preserve">PP_1377</t>
  </si>
  <si>
    <t xml:space="preserve">PP_1378</t>
  </si>
  <si>
    <t xml:space="preserve">PP_1379</t>
  </si>
  <si>
    <t xml:space="preserve">PP_1380</t>
  </si>
  <si>
    <t xml:space="preserve">PP_1381</t>
  </si>
  <si>
    <t xml:space="preserve">PP_1382</t>
  </si>
  <si>
    <t xml:space="preserve">PP_1383</t>
  </si>
  <si>
    <t xml:space="preserve">PP_1384</t>
  </si>
  <si>
    <t xml:space="preserve">PP_1385</t>
  </si>
  <si>
    <t xml:space="preserve">PP_1386</t>
  </si>
  <si>
    <t xml:space="preserve">PP_1387</t>
  </si>
  <si>
    <t xml:space="preserve">PP_1388</t>
  </si>
  <si>
    <t xml:space="preserve">PP_1389</t>
  </si>
  <si>
    <t xml:space="preserve">PP_1390</t>
  </si>
  <si>
    <t xml:space="preserve">PP_1391</t>
  </si>
  <si>
    <t xml:space="preserve">PP_1392</t>
  </si>
  <si>
    <t xml:space="preserve">PP_1393</t>
  </si>
  <si>
    <t xml:space="preserve">PP_1394</t>
  </si>
  <si>
    <t xml:space="preserve">PP_1395</t>
  </si>
  <si>
    <t xml:space="preserve">PP_1396</t>
  </si>
  <si>
    <t xml:space="preserve">PP_1397</t>
  </si>
  <si>
    <t xml:space="preserve">PP_1398</t>
  </si>
  <si>
    <t xml:space="preserve">PP_1399</t>
  </si>
  <si>
    <t xml:space="preserve">PP_1400</t>
  </si>
  <si>
    <t xml:space="preserve">PP_1401</t>
  </si>
  <si>
    <t xml:space="preserve">PP_1402</t>
  </si>
  <si>
    <t xml:space="preserve">PP_1403</t>
  </si>
  <si>
    <t xml:space="preserve">PP_1404</t>
  </si>
  <si>
    <t xml:space="preserve">PP_1405</t>
  </si>
  <si>
    <t xml:space="preserve">PP_1406</t>
  </si>
  <si>
    <t xml:space="preserve">PP_1407</t>
  </si>
  <si>
    <t xml:space="preserve">PP_1408</t>
  </si>
  <si>
    <t xml:space="preserve">PP_1409</t>
  </si>
  <si>
    <t xml:space="preserve">PP_1410</t>
  </si>
  <si>
    <t xml:space="preserve">PP_1411</t>
  </si>
  <si>
    <t xml:space="preserve">PP_1412</t>
  </si>
  <si>
    <t xml:space="preserve">PP_1413</t>
  </si>
  <si>
    <t xml:space="preserve">PP_1414</t>
  </si>
  <si>
    <t xml:space="preserve">PP_1415</t>
  </si>
  <si>
    <t xml:space="preserve">PP_1416</t>
  </si>
  <si>
    <t xml:space="preserve">PP_1417</t>
  </si>
  <si>
    <t xml:space="preserve">PP_1418</t>
  </si>
  <si>
    <t xml:space="preserve">PP_1419</t>
  </si>
  <si>
    <t xml:space="preserve">PP_1420</t>
  </si>
  <si>
    <t xml:space="preserve">PP_1421</t>
  </si>
  <si>
    <t xml:space="preserve">PP_1422</t>
  </si>
  <si>
    <t xml:space="preserve">PP_1423</t>
  </si>
  <si>
    <t xml:space="preserve">PP_1424</t>
  </si>
  <si>
    <t xml:space="preserve">PP_1425</t>
  </si>
  <si>
    <t xml:space="preserve">PP_1426</t>
  </si>
  <si>
    <t xml:space="preserve">PP_1427</t>
  </si>
  <si>
    <t xml:space="preserve">PP_1428</t>
  </si>
  <si>
    <t xml:space="preserve">PP_1429</t>
  </si>
  <si>
    <t xml:space="preserve">PP_1430</t>
  </si>
  <si>
    <t xml:space="preserve">PP_1431</t>
  </si>
  <si>
    <t xml:space="preserve">PP_1432</t>
  </si>
  <si>
    <t xml:space="preserve">PP_1433</t>
  </si>
  <si>
    <t xml:space="preserve">PP_1434</t>
  </si>
  <si>
    <t xml:space="preserve">PP_1435</t>
  </si>
  <si>
    <t xml:space="preserve">PP_1436</t>
  </si>
  <si>
    <t xml:space="preserve">PP_1437</t>
  </si>
  <si>
    <t xml:space="preserve">PP_1438</t>
  </si>
  <si>
    <t xml:space="preserve">PP_1439</t>
  </si>
  <si>
    <t xml:space="preserve">PP_1440</t>
  </si>
  <si>
    <t xml:space="preserve">PP_1441</t>
  </si>
  <si>
    <t xml:space="preserve">PP_1442</t>
  </si>
  <si>
    <t xml:space="preserve">PP_1443</t>
  </si>
  <si>
    <t xml:space="preserve">PP_1444</t>
  </si>
  <si>
    <t xml:space="preserve">PP_1445</t>
  </si>
  <si>
    <t xml:space="preserve">PP_1446</t>
  </si>
  <si>
    <t xml:space="preserve">PP_1447</t>
  </si>
  <si>
    <t xml:space="preserve">PP_1448</t>
  </si>
  <si>
    <t xml:space="preserve">PP_1449</t>
  </si>
  <si>
    <t xml:space="preserve">PP_1450</t>
  </si>
  <si>
    <t xml:space="preserve">PP_1451</t>
  </si>
  <si>
    <t xml:space="preserve">PP_1452</t>
  </si>
  <si>
    <t xml:space="preserve">PP_1453</t>
  </si>
  <si>
    <t xml:space="preserve">PP_1454</t>
  </si>
  <si>
    <t xml:space="preserve">PP_1455</t>
  </si>
  <si>
    <t xml:space="preserve">PP_1456</t>
  </si>
  <si>
    <t xml:space="preserve">PP_1457</t>
  </si>
  <si>
    <t xml:space="preserve">PP_1458</t>
  </si>
  <si>
    <t xml:space="preserve">PP_1459</t>
  </si>
  <si>
    <t xml:space="preserve">PP_1460</t>
  </si>
  <si>
    <t xml:space="preserve">PP_1461</t>
  </si>
  <si>
    <t xml:space="preserve">PP_1462</t>
  </si>
  <si>
    <t xml:space="preserve">PP_1463</t>
  </si>
  <si>
    <t xml:space="preserve">PP_1464</t>
  </si>
  <si>
    <t xml:space="preserve">PP_1465</t>
  </si>
  <si>
    <t xml:space="preserve">PP_1466</t>
  </si>
  <si>
    <t xml:space="preserve">PP_1467</t>
  </si>
  <si>
    <t xml:space="preserve">PP_1468</t>
  </si>
  <si>
    <t xml:space="preserve">PP_1469</t>
  </si>
  <si>
    <t xml:space="preserve">PP_1470</t>
  </si>
  <si>
    <t xml:space="preserve">PP_1471</t>
  </si>
  <si>
    <t xml:space="preserve">PP_1472</t>
  </si>
  <si>
    <t xml:space="preserve">PP_1473</t>
  </si>
  <si>
    <t xml:space="preserve">PP_1474</t>
  </si>
  <si>
    <t xml:space="preserve">PP_1475</t>
  </si>
  <si>
    <t xml:space="preserve">PP_1476</t>
  </si>
  <si>
    <t xml:space="preserve">PP_1477</t>
  </si>
  <si>
    <t xml:space="preserve">PP_1478</t>
  </si>
  <si>
    <t xml:space="preserve">PP_1479</t>
  </si>
  <si>
    <t xml:space="preserve">PP_1480</t>
  </si>
  <si>
    <t xml:space="preserve">PP_1481</t>
  </si>
  <si>
    <t xml:space="preserve">PP_1482</t>
  </si>
  <si>
    <t xml:space="preserve">PP_1483</t>
  </si>
  <si>
    <t xml:space="preserve">PP_1484</t>
  </si>
  <si>
    <t xml:space="preserve">PP_1485</t>
  </si>
  <si>
    <t xml:space="preserve">PP_1486</t>
  </si>
  <si>
    <t xml:space="preserve">PP_1487</t>
  </si>
  <si>
    <t xml:space="preserve">PP_1488</t>
  </si>
  <si>
    <t xml:space="preserve">PP_1489</t>
  </si>
  <si>
    <t xml:space="preserve">PP_1490</t>
  </si>
  <si>
    <t xml:space="preserve">PP_1491</t>
  </si>
  <si>
    <t xml:space="preserve">PP_1492</t>
  </si>
  <si>
    <t xml:space="preserve">PP_1493</t>
  </si>
  <si>
    <t xml:space="preserve">PP_1494</t>
  </si>
  <si>
    <t xml:space="preserve">PP_1495</t>
  </si>
  <si>
    <t xml:space="preserve">PP_1496</t>
  </si>
  <si>
    <t xml:space="preserve">PP_1497</t>
  </si>
  <si>
    <t xml:space="preserve">PP_1498</t>
  </si>
  <si>
    <t xml:space="preserve">PP_1499</t>
  </si>
  <si>
    <t xml:space="preserve">PP_1500</t>
  </si>
  <si>
    <t xml:space="preserve">PP_1501</t>
  </si>
  <si>
    <t xml:space="preserve">PP_1502</t>
  </si>
  <si>
    <t xml:space="preserve">PP_1503</t>
  </si>
  <si>
    <t xml:space="preserve">PP_1504</t>
  </si>
  <si>
    <t xml:space="preserve">PP_1505</t>
  </si>
  <si>
    <t xml:space="preserve">PP_1506</t>
  </si>
  <si>
    <t xml:space="preserve">PP_1507</t>
  </si>
  <si>
    <t xml:space="preserve">PP_1508</t>
  </si>
  <si>
    <t xml:space="preserve">PP_1509</t>
  </si>
  <si>
    <t xml:space="preserve">PP_1510</t>
  </si>
  <si>
    <t xml:space="preserve">PP_1511</t>
  </si>
  <si>
    <t xml:space="preserve">PP_1512</t>
  </si>
  <si>
    <t xml:space="preserve">PP_1513</t>
  </si>
  <si>
    <t xml:space="preserve">PP_1514</t>
  </si>
  <si>
    <t xml:space="preserve">PP_1515</t>
  </si>
  <si>
    <t xml:space="preserve">PP_1516</t>
  </si>
  <si>
    <t xml:space="preserve">PP_1517</t>
  </si>
  <si>
    <t xml:space="preserve">PP_1518</t>
  </si>
  <si>
    <t xml:space="preserve">PP_1519</t>
  </si>
  <si>
    <t xml:space="preserve">PP_1520</t>
  </si>
  <si>
    <t xml:space="preserve">PP_1521</t>
  </si>
  <si>
    <t xml:space="preserve">PP_1522</t>
  </si>
  <si>
    <t xml:space="preserve">PP_1523</t>
  </si>
  <si>
    <t xml:space="preserve">PP_1524</t>
  </si>
  <si>
    <t xml:space="preserve">PP_1525</t>
  </si>
  <si>
    <t xml:space="preserve">PP_1526</t>
  </si>
  <si>
    <t xml:space="preserve">PP_1527</t>
  </si>
  <si>
    <t xml:space="preserve">PP_1528</t>
  </si>
  <si>
    <t xml:space="preserve">PP_1529</t>
  </si>
  <si>
    <t xml:space="preserve">PP_1530</t>
  </si>
  <si>
    <t xml:space="preserve">PP_1531</t>
  </si>
  <si>
    <t xml:space="preserve">PP_1532</t>
  </si>
  <si>
    <t xml:space="preserve">PP_1533</t>
  </si>
  <si>
    <t xml:space="preserve">PP_1534</t>
  </si>
  <si>
    <t xml:space="preserve">PP_1535</t>
  </si>
  <si>
    <t xml:space="preserve">PP_1536</t>
  </si>
  <si>
    <t xml:space="preserve">PP_1537</t>
  </si>
  <si>
    <t xml:space="preserve">PP_1538</t>
  </si>
  <si>
    <t xml:space="preserve">PP_1539</t>
  </si>
  <si>
    <t xml:space="preserve">PP_1540</t>
  </si>
  <si>
    <t xml:space="preserve">PP_1541</t>
  </si>
  <si>
    <t xml:space="preserve">PP_1542</t>
  </si>
  <si>
    <t xml:space="preserve">PP_1543</t>
  </si>
  <si>
    <t xml:space="preserve">PP_1544</t>
  </si>
  <si>
    <t xml:space="preserve">PP_1545</t>
  </si>
  <si>
    <t xml:space="preserve">PP_1546</t>
  </si>
  <si>
    <t xml:space="preserve">PP_1547</t>
  </si>
  <si>
    <t xml:space="preserve">PP_1548</t>
  </si>
  <si>
    <t xml:space="preserve">PP_1549</t>
  </si>
  <si>
    <t xml:space="preserve">PP_1550</t>
  </si>
  <si>
    <t xml:space="preserve">PP_1551</t>
  </si>
  <si>
    <t xml:space="preserve">PP_1552</t>
  </si>
  <si>
    <t xml:space="preserve">PP_1553</t>
  </si>
  <si>
    <t xml:space="preserve">PP_1554</t>
  </si>
  <si>
    <t xml:space="preserve">PP_1555</t>
  </si>
  <si>
    <t xml:space="preserve">PP_1556</t>
  </si>
  <si>
    <t xml:space="preserve">PP_1557</t>
  </si>
  <si>
    <t xml:space="preserve">PP_1558</t>
  </si>
  <si>
    <t xml:space="preserve">PP_1559</t>
  </si>
  <si>
    <t xml:space="preserve">PP_1560</t>
  </si>
  <si>
    <t xml:space="preserve">PP_1561</t>
  </si>
  <si>
    <t xml:space="preserve">PP_1562</t>
  </si>
  <si>
    <t xml:space="preserve">PP_1563</t>
  </si>
  <si>
    <t xml:space="preserve">PP_1564</t>
  </si>
  <si>
    <t xml:space="preserve">PP_1565</t>
  </si>
  <si>
    <t xml:space="preserve">PP_1566</t>
  </si>
  <si>
    <t xml:space="preserve">PP_1567</t>
  </si>
  <si>
    <t xml:space="preserve">PP_1568</t>
  </si>
  <si>
    <t xml:space="preserve">PP_1569</t>
  </si>
  <si>
    <t xml:space="preserve">PP_1570</t>
  </si>
  <si>
    <t xml:space="preserve">PP_1571</t>
  </si>
  <si>
    <t xml:space="preserve">PP_1572</t>
  </si>
  <si>
    <t xml:space="preserve">PP_1573</t>
  </si>
  <si>
    <t xml:space="preserve">PP_1574</t>
  </si>
  <si>
    <t xml:space="preserve">PP_1575</t>
  </si>
  <si>
    <t xml:space="preserve">PP_1576</t>
  </si>
  <si>
    <t xml:space="preserve">PP_1577</t>
  </si>
  <si>
    <t xml:space="preserve">PP_1578</t>
  </si>
  <si>
    <t xml:space="preserve">PP_1579</t>
  </si>
  <si>
    <t xml:space="preserve">PP_1580</t>
  </si>
  <si>
    <t xml:space="preserve">PP_1581</t>
  </si>
  <si>
    <t xml:space="preserve">PP_1582</t>
  </si>
  <si>
    <t xml:space="preserve">PP_1583</t>
  </si>
  <si>
    <t xml:space="preserve">PP_1584</t>
  </si>
  <si>
    <t xml:space="preserve">PP_1585</t>
  </si>
  <si>
    <t xml:space="preserve">PP_1586</t>
  </si>
  <si>
    <t xml:space="preserve">PP_1587</t>
  </si>
  <si>
    <t xml:space="preserve">PP_1588</t>
  </si>
  <si>
    <t xml:space="preserve">PP_1589</t>
  </si>
  <si>
    <t xml:space="preserve">PP_1590</t>
  </si>
  <si>
    <t xml:space="preserve">PP_1591</t>
  </si>
  <si>
    <t xml:space="preserve">PP_1592</t>
  </si>
  <si>
    <t xml:space="preserve">PP_1593</t>
  </si>
  <si>
    <t xml:space="preserve">PP_1594</t>
  </si>
  <si>
    <t xml:space="preserve">PP_1595</t>
  </si>
  <si>
    <t xml:space="preserve">PP_1596</t>
  </si>
  <si>
    <t xml:space="preserve">PP_1597</t>
  </si>
  <si>
    <t xml:space="preserve">PP_1598</t>
  </si>
  <si>
    <t xml:space="preserve">PP_1599</t>
  </si>
  <si>
    <t xml:space="preserve">PP_1600</t>
  </si>
  <si>
    <t xml:space="preserve">PP_1601</t>
  </si>
  <si>
    <t xml:space="preserve">PP_1602</t>
  </si>
  <si>
    <t xml:space="preserve">PP_1603</t>
  </si>
  <si>
    <t xml:space="preserve">PP_1604</t>
  </si>
  <si>
    <t xml:space="preserve">PP_1605</t>
  </si>
  <si>
    <t xml:space="preserve">PP_1606</t>
  </si>
  <si>
    <t xml:space="preserve">PP_1607</t>
  </si>
  <si>
    <t xml:space="preserve">PP_1608</t>
  </si>
  <si>
    <t xml:space="preserve">PP_1609</t>
  </si>
  <si>
    <t xml:space="preserve">PP_1610</t>
  </si>
  <si>
    <t xml:space="preserve">PP_1611</t>
  </si>
  <si>
    <t xml:space="preserve">PP_1612</t>
  </si>
  <si>
    <t xml:space="preserve">PP_1613</t>
  </si>
  <si>
    <t xml:space="preserve">PP_1614</t>
  </si>
  <si>
    <t xml:space="preserve">PP_1615</t>
  </si>
  <si>
    <t xml:space="preserve">PP_1616</t>
  </si>
  <si>
    <t xml:space="preserve">PP_1617</t>
  </si>
  <si>
    <t xml:space="preserve">PP_1618</t>
  </si>
  <si>
    <t xml:space="preserve">PP_1619</t>
  </si>
  <si>
    <t xml:space="preserve">PP_1620</t>
  </si>
  <si>
    <t xml:space="preserve">PP_1621</t>
  </si>
  <si>
    <t xml:space="preserve">PP_1622</t>
  </si>
  <si>
    <t xml:space="preserve">PP_1623</t>
  </si>
  <si>
    <t xml:space="preserve">PP_1624</t>
  </si>
  <si>
    <t xml:space="preserve">PP_1625</t>
  </si>
  <si>
    <t xml:space="preserve">PP_1626</t>
  </si>
  <si>
    <t xml:space="preserve">PP_1627</t>
  </si>
  <si>
    <t xml:space="preserve">PP_1628</t>
  </si>
  <si>
    <t xml:space="preserve">PP_1629</t>
  </si>
  <si>
    <t xml:space="preserve">PP_1630</t>
  </si>
  <si>
    <t xml:space="preserve">PP_1631</t>
  </si>
  <si>
    <t xml:space="preserve">PP_1632</t>
  </si>
  <si>
    <t xml:space="preserve">PP_1633</t>
  </si>
  <si>
    <t xml:space="preserve">PP_1634</t>
  </si>
  <si>
    <t xml:space="preserve">PP_1635</t>
  </si>
  <si>
    <t xml:space="preserve">PP_1636</t>
  </si>
  <si>
    <t xml:space="preserve">PP_1637</t>
  </si>
  <si>
    <t xml:space="preserve">PP_1638</t>
  </si>
  <si>
    <t xml:space="preserve">PP_1639</t>
  </si>
  <si>
    <t xml:space="preserve">PP_1640</t>
  </si>
  <si>
    <t xml:space="preserve">PP_1641</t>
  </si>
  <si>
    <t xml:space="preserve">PP_1642</t>
  </si>
  <si>
    <t xml:space="preserve">PP_1643</t>
  </si>
  <si>
    <t xml:space="preserve">PP_1644</t>
  </si>
  <si>
    <t xml:space="preserve">PP_1645</t>
  </si>
  <si>
    <t xml:space="preserve">PP_1646</t>
  </si>
  <si>
    <t xml:space="preserve">PP_1647</t>
  </si>
  <si>
    <t xml:space="preserve">PP_1648</t>
  </si>
  <si>
    <t xml:space="preserve">PP_1649</t>
  </si>
  <si>
    <t xml:space="preserve">PP_1650</t>
  </si>
  <si>
    <t xml:space="preserve">PP_1651</t>
  </si>
  <si>
    <t xml:space="preserve">PP_1652</t>
  </si>
  <si>
    <t xml:space="preserve">PP_1653</t>
  </si>
  <si>
    <t xml:space="preserve">PP_1654</t>
  </si>
  <si>
    <t xml:space="preserve">PP_1655</t>
  </si>
  <si>
    <t xml:space="preserve">PP_1656</t>
  </si>
  <si>
    <t xml:space="preserve">PP_1657</t>
  </si>
  <si>
    <t xml:space="preserve">PP_1658</t>
  </si>
  <si>
    <t xml:space="preserve">PP_1659</t>
  </si>
  <si>
    <t xml:space="preserve">PP_1660</t>
  </si>
  <si>
    <t xml:space="preserve">PP_1661</t>
  </si>
  <si>
    <t xml:space="preserve">PP_1662</t>
  </si>
  <si>
    <t xml:space="preserve">PP_1663</t>
  </si>
  <si>
    <t xml:space="preserve">PP_1664</t>
  </si>
  <si>
    <t xml:space="preserve">PP_1665</t>
  </si>
  <si>
    <t xml:space="preserve">PP_1666</t>
  </si>
  <si>
    <t xml:space="preserve">PP_1667</t>
  </si>
  <si>
    <t xml:space="preserve">PP_1668</t>
  </si>
  <si>
    <t xml:space="preserve">PP_1669</t>
  </si>
  <si>
    <t xml:space="preserve">PP_1670</t>
  </si>
  <si>
    <t xml:space="preserve">PP_1671</t>
  </si>
  <si>
    <t xml:space="preserve">PP_1672</t>
  </si>
  <si>
    <t xml:space="preserve">PP_1673</t>
  </si>
  <si>
    <t xml:space="preserve">PP_1674</t>
  </si>
  <si>
    <t xml:space="preserve">PP_1675</t>
  </si>
  <si>
    <t xml:space="preserve">PP_1676</t>
  </si>
  <si>
    <t xml:space="preserve">PP_1677</t>
  </si>
  <si>
    <t xml:space="preserve">PP_1678</t>
  </si>
  <si>
    <t xml:space="preserve">PP_1679</t>
  </si>
  <si>
    <t xml:space="preserve">PP_1680</t>
  </si>
  <si>
    <t xml:space="preserve">PP_1681</t>
  </si>
  <si>
    <t xml:space="preserve">PP_1682</t>
  </si>
  <si>
    <t xml:space="preserve">PP_1683</t>
  </si>
  <si>
    <t xml:space="preserve">PP_1684</t>
  </si>
  <si>
    <t xml:space="preserve">PP_1685</t>
  </si>
  <si>
    <t xml:space="preserve">PP_1686</t>
  </si>
  <si>
    <t xml:space="preserve">PP_1687</t>
  </si>
  <si>
    <t xml:space="preserve">PP_1688</t>
  </si>
  <si>
    <t xml:space="preserve">PP_1689</t>
  </si>
  <si>
    <t xml:space="preserve">PP_1690</t>
  </si>
  <si>
    <t xml:space="preserve">PP_1691</t>
  </si>
  <si>
    <t xml:space="preserve">PP_1692</t>
  </si>
  <si>
    <t xml:space="preserve">PP_1693</t>
  </si>
  <si>
    <t xml:space="preserve">PP_1694</t>
  </si>
  <si>
    <t xml:space="preserve">PP_1695</t>
  </si>
  <si>
    <t xml:space="preserve">PP_1696</t>
  </si>
  <si>
    <t xml:space="preserve">PP_1697</t>
  </si>
  <si>
    <t xml:space="preserve">PP_1698</t>
  </si>
  <si>
    <t xml:space="preserve">PP_1699</t>
  </si>
  <si>
    <t xml:space="preserve">PP_1700</t>
  </si>
  <si>
    <t xml:space="preserve">PP_1701</t>
  </si>
  <si>
    <t xml:space="preserve">PP_1702</t>
  </si>
  <si>
    <t xml:space="preserve">PP_1703</t>
  </si>
  <si>
    <t xml:space="preserve">PP_1704</t>
  </si>
  <si>
    <t xml:space="preserve">PP_1705</t>
  </si>
  <si>
    <t xml:space="preserve">PP_1706</t>
  </si>
  <si>
    <t xml:space="preserve">PP_1707</t>
  </si>
  <si>
    <t xml:space="preserve">PP_1708</t>
  </si>
  <si>
    <t xml:space="preserve">PP_1709</t>
  </si>
  <si>
    <t xml:space="preserve">PP_1710</t>
  </si>
  <si>
    <t xml:space="preserve">PP_1711</t>
  </si>
  <si>
    <t xml:space="preserve">PP_1712</t>
  </si>
  <si>
    <t xml:space="preserve">PP_1713</t>
  </si>
  <si>
    <t xml:space="preserve">PP_1714</t>
  </si>
  <si>
    <t xml:space="preserve">PP_1715</t>
  </si>
  <si>
    <t xml:space="preserve">PP_1716</t>
  </si>
  <si>
    <t xml:space="preserve">PP_1717</t>
  </si>
  <si>
    <t xml:space="preserve">PP_1718</t>
  </si>
  <si>
    <t xml:space="preserve">PP_1719</t>
  </si>
  <si>
    <t xml:space="preserve">PP_1720</t>
  </si>
  <si>
    <t xml:space="preserve">PP_1721</t>
  </si>
  <si>
    <t xml:space="preserve">PP_1722</t>
  </si>
  <si>
    <t xml:space="preserve">PP_1723</t>
  </si>
  <si>
    <t xml:space="preserve">PP_1724</t>
  </si>
  <si>
    <t xml:space="preserve">PP_1725</t>
  </si>
  <si>
    <t xml:space="preserve">PP_1726</t>
  </si>
  <si>
    <t xml:space="preserve">PP_1727</t>
  </si>
  <si>
    <t xml:space="preserve">PP_1728</t>
  </si>
  <si>
    <t xml:space="preserve">PP_1729</t>
  </si>
  <si>
    <t xml:space="preserve">PP_1730</t>
  </si>
  <si>
    <t xml:space="preserve">PP_1731</t>
  </si>
  <si>
    <t xml:space="preserve">PP_1732</t>
  </si>
  <si>
    <t xml:space="preserve">PP_1733</t>
  </si>
  <si>
    <t xml:space="preserve">PP_1734</t>
  </si>
  <si>
    <t xml:space="preserve">PP_1735</t>
  </si>
  <si>
    <t xml:space="preserve">PP_1736</t>
  </si>
  <si>
    <t xml:space="preserve">PP_1737</t>
  </si>
  <si>
    <t xml:space="preserve">PP_1738</t>
  </si>
  <si>
    <t xml:space="preserve">PP_1739</t>
  </si>
  <si>
    <t xml:space="preserve">PP_1740</t>
  </si>
  <si>
    <t xml:space="preserve">PP_1741</t>
  </si>
  <si>
    <t xml:space="preserve">PP_1742</t>
  </si>
  <si>
    <t xml:space="preserve">PP_1743</t>
  </si>
  <si>
    <t xml:space="preserve">PP_1744</t>
  </si>
  <si>
    <t xml:space="preserve">PP_1745</t>
  </si>
  <si>
    <t xml:space="preserve">PP_1746</t>
  </si>
  <si>
    <t xml:space="preserve">PP_1747</t>
  </si>
  <si>
    <t xml:space="preserve">PP_1748</t>
  </si>
  <si>
    <t xml:space="preserve">PP_1749</t>
  </si>
  <si>
    <t xml:space="preserve">PP_1750</t>
  </si>
  <si>
    <t xml:space="preserve">PP_1751</t>
  </si>
  <si>
    <t xml:space="preserve">PP_1752</t>
  </si>
  <si>
    <t xml:space="preserve">PP_1753</t>
  </si>
  <si>
    <t xml:space="preserve">PP_1754</t>
  </si>
  <si>
    <t xml:space="preserve">PP_1755</t>
  </si>
  <si>
    <t xml:space="preserve">PP_1756</t>
  </si>
  <si>
    <t xml:space="preserve">PP_1757</t>
  </si>
  <si>
    <t xml:space="preserve">PP_1758</t>
  </si>
  <si>
    <t xml:space="preserve">PP_1759</t>
  </si>
  <si>
    <t xml:space="preserve">PP_1760</t>
  </si>
  <si>
    <t xml:space="preserve">PP_1761</t>
  </si>
  <si>
    <t xml:space="preserve">PP_1762</t>
  </si>
  <si>
    <t xml:space="preserve">PP_1763</t>
  </si>
  <si>
    <t xml:space="preserve">PP_1764</t>
  </si>
  <si>
    <t xml:space="preserve">PP_1765</t>
  </si>
  <si>
    <t xml:space="preserve">PP_1766</t>
  </si>
  <si>
    <t xml:space="preserve">PP_1767</t>
  </si>
  <si>
    <t xml:space="preserve">PP_1768</t>
  </si>
  <si>
    <t xml:space="preserve">PP_1769</t>
  </si>
  <si>
    <t xml:space="preserve">PP_1770</t>
  </si>
  <si>
    <t xml:space="preserve">PP_1771</t>
  </si>
  <si>
    <t xml:space="preserve">PP_1772</t>
  </si>
  <si>
    <t xml:space="preserve">PP_1773</t>
  </si>
  <si>
    <t xml:space="preserve">PP_1774</t>
  </si>
  <si>
    <t xml:space="preserve">PP_1775</t>
  </si>
  <si>
    <t xml:space="preserve">PP_1776</t>
  </si>
  <si>
    <t xml:space="preserve">PP_1777</t>
  </si>
  <si>
    <t xml:space="preserve">PP_1778</t>
  </si>
  <si>
    <t xml:space="preserve">PP_1779</t>
  </si>
  <si>
    <t xml:space="preserve">PP_1780</t>
  </si>
  <si>
    <t xml:space="preserve">PP_1781</t>
  </si>
  <si>
    <t xml:space="preserve">PP_1782</t>
  </si>
  <si>
    <t xml:space="preserve">PP_1783</t>
  </si>
  <si>
    <t xml:space="preserve">PP_1784</t>
  </si>
  <si>
    <t xml:space="preserve">PP_1785</t>
  </si>
  <si>
    <t xml:space="preserve">PP_1786</t>
  </si>
  <si>
    <t xml:space="preserve">PP_1787</t>
  </si>
  <si>
    <t xml:space="preserve">PP_1788</t>
  </si>
  <si>
    <t xml:space="preserve">PP_1789</t>
  </si>
  <si>
    <t xml:space="preserve">PP_1790</t>
  </si>
  <si>
    <t xml:space="preserve">PP_1791</t>
  </si>
  <si>
    <t xml:space="preserve">PP_1792</t>
  </si>
  <si>
    <t xml:space="preserve">PP_1793</t>
  </si>
  <si>
    <t xml:space="preserve">PP_1794</t>
  </si>
  <si>
    <t xml:space="preserve">PP_1795</t>
  </si>
  <si>
    <t xml:space="preserve">PP_1796</t>
  </si>
  <si>
    <t xml:space="preserve">PP_1797</t>
  </si>
  <si>
    <t xml:space="preserve">PP_1798</t>
  </si>
  <si>
    <t xml:space="preserve">PP_1799</t>
  </si>
  <si>
    <t xml:space="preserve">PP_1800</t>
  </si>
  <si>
    <t xml:space="preserve">PP_1801</t>
  </si>
  <si>
    <t xml:space="preserve">PP_1802</t>
  </si>
  <si>
    <t xml:space="preserve">PP_1803</t>
  </si>
  <si>
    <t xml:space="preserve">PP_1804</t>
  </si>
  <si>
    <t xml:space="preserve">PP_1805</t>
  </si>
  <si>
    <t xml:space="preserve">PP_1806</t>
  </si>
  <si>
    <t xml:space="preserve">PP_1807</t>
  </si>
  <si>
    <t xml:space="preserve">PP_1808</t>
  </si>
  <si>
    <t xml:space="preserve">PP_1809</t>
  </si>
  <si>
    <t xml:space="preserve">PP_1810</t>
  </si>
  <si>
    <t xml:space="preserve">PP_1811</t>
  </si>
  <si>
    <t xml:space="preserve">PP_1812</t>
  </si>
  <si>
    <t xml:space="preserve">PP_1813</t>
  </si>
  <si>
    <t xml:space="preserve">PP_1814</t>
  </si>
  <si>
    <t xml:space="preserve">PP_1815</t>
  </si>
  <si>
    <t xml:space="preserve">PP_1816</t>
  </si>
  <si>
    <t xml:space="preserve">PP_1817</t>
  </si>
  <si>
    <t xml:space="preserve">PP_1818</t>
  </si>
  <si>
    <t xml:space="preserve">PP_1819</t>
  </si>
  <si>
    <t xml:space="preserve">PP_1820</t>
  </si>
  <si>
    <t xml:space="preserve">PP_1821</t>
  </si>
  <si>
    <t xml:space="preserve">PP_1822</t>
  </si>
  <si>
    <t xml:space="preserve">PP_1823</t>
  </si>
  <si>
    <t xml:space="preserve">PP_1824</t>
  </si>
  <si>
    <t xml:space="preserve">PP_1825</t>
  </si>
  <si>
    <t xml:space="preserve">PP_1826</t>
  </si>
  <si>
    <t xml:space="preserve">PP_1827</t>
  </si>
  <si>
    <t xml:space="preserve">PP_1828</t>
  </si>
  <si>
    <t xml:space="preserve">PP_1829</t>
  </si>
  <si>
    <t xml:space="preserve">PP_1830</t>
  </si>
  <si>
    <t xml:space="preserve">PP_1831</t>
  </si>
  <si>
    <t xml:space="preserve">PP_1832</t>
  </si>
  <si>
    <t xml:space="preserve">PP_1833</t>
  </si>
  <si>
    <t xml:space="preserve">PP_1834</t>
  </si>
  <si>
    <t xml:space="preserve">PP_1835</t>
  </si>
  <si>
    <t xml:space="preserve">PP_1836</t>
  </si>
  <si>
    <t xml:space="preserve">PP_1837</t>
  </si>
  <si>
    <t xml:space="preserve">PP_1838</t>
  </si>
  <si>
    <t xml:space="preserve">PP_1839</t>
  </si>
  <si>
    <t xml:space="preserve">PP_1840</t>
  </si>
  <si>
    <t xml:space="preserve">PP_1841</t>
  </si>
  <si>
    <t xml:space="preserve">PP_1842</t>
  </si>
  <si>
    <t xml:space="preserve">PP_1843</t>
  </si>
  <si>
    <t xml:space="preserve">PP_1844</t>
  </si>
  <si>
    <t xml:space="preserve">PP_1845</t>
  </si>
  <si>
    <t xml:space="preserve">PP_1846</t>
  </si>
  <si>
    <t xml:space="preserve">PP_1847</t>
  </si>
  <si>
    <t xml:space="preserve">PP_1848</t>
  </si>
  <si>
    <t xml:space="preserve">PP_1849</t>
  </si>
  <si>
    <t xml:space="preserve">PP_1850</t>
  </si>
  <si>
    <t xml:space="preserve">PP_1851</t>
  </si>
  <si>
    <t xml:space="preserve">PP_1852</t>
  </si>
  <si>
    <t xml:space="preserve">PP_1853</t>
  </si>
  <si>
    <t xml:space="preserve">PP_1854</t>
  </si>
  <si>
    <t xml:space="preserve">PP_1855</t>
  </si>
  <si>
    <t xml:space="preserve">PP_1856</t>
  </si>
  <si>
    <t xml:space="preserve">PP_1857</t>
  </si>
  <si>
    <t xml:space="preserve">PP_1858</t>
  </si>
  <si>
    <t xml:space="preserve">PP_1859</t>
  </si>
  <si>
    <t xml:space="preserve">PP_1860</t>
  </si>
  <si>
    <t xml:space="preserve">PP_1861</t>
  </si>
  <si>
    <t xml:space="preserve">PP_1862</t>
  </si>
  <si>
    <t xml:space="preserve">PP_1863</t>
  </si>
  <si>
    <t xml:space="preserve">PP_1864</t>
  </si>
  <si>
    <t xml:space="preserve">PP_1865</t>
  </si>
  <si>
    <t xml:space="preserve">PP_1866</t>
  </si>
  <si>
    <t xml:space="preserve">PP_1867</t>
  </si>
  <si>
    <t xml:space="preserve">PP_1868</t>
  </si>
  <si>
    <t xml:space="preserve">PP_1869</t>
  </si>
  <si>
    <t xml:space="preserve">PP_1870</t>
  </si>
  <si>
    <t xml:space="preserve">PP_1871</t>
  </si>
  <si>
    <t xml:space="preserve">PP_1872</t>
  </si>
  <si>
    <t xml:space="preserve">PP_1873</t>
  </si>
  <si>
    <t xml:space="preserve">PP_1874</t>
  </si>
  <si>
    <t xml:space="preserve">PP_1875</t>
  </si>
  <si>
    <t xml:space="preserve">PP_1876</t>
  </si>
  <si>
    <t xml:space="preserve">PP_1877</t>
  </si>
  <si>
    <t xml:space="preserve">PP_1878</t>
  </si>
  <si>
    <t xml:space="preserve">PP_1879</t>
  </si>
  <si>
    <t xml:space="preserve">PP_1880</t>
  </si>
  <si>
    <t xml:space="preserve">PP_1881</t>
  </si>
  <si>
    <t xml:space="preserve">PP_1882</t>
  </si>
  <si>
    <t xml:space="preserve">PP_1883</t>
  </si>
  <si>
    <t xml:space="preserve">PP_1884</t>
  </si>
  <si>
    <t xml:space="preserve">PP_1885</t>
  </si>
  <si>
    <t xml:space="preserve">PP_1886</t>
  </si>
  <si>
    <t xml:space="preserve">PP_1887</t>
  </si>
  <si>
    <t xml:space="preserve">PP_1888</t>
  </si>
  <si>
    <t xml:space="preserve">PP_1889</t>
  </si>
  <si>
    <t xml:space="preserve">PP_1890</t>
  </si>
  <si>
    <t xml:space="preserve">PP_1891</t>
  </si>
  <si>
    <t xml:space="preserve">PP_1892</t>
  </si>
  <si>
    <t xml:space="preserve">PP_1893</t>
  </si>
  <si>
    <t xml:space="preserve">PP_1894</t>
  </si>
  <si>
    <t xml:space="preserve">PP_1895</t>
  </si>
  <si>
    <t xml:space="preserve">PP_1896</t>
  </si>
  <si>
    <t xml:space="preserve">PP_1897</t>
  </si>
  <si>
    <t xml:space="preserve">PP_1898</t>
  </si>
  <si>
    <t xml:space="preserve">PP_1899</t>
  </si>
  <si>
    <t xml:space="preserve">PP_1900</t>
  </si>
  <si>
    <t xml:space="preserve">Celular Donalis</t>
  </si>
  <si>
    <t xml:space="preserve">Ventas Mensuales — Tendencia y previsión (ene–mar 2023)</t>
  </si>
  <si>
    <t xml:space="preserve">Diciembre se normaliza a 30 días (solo hay datos hasta el 14) antes de calcular la tendencia. La previsión usa FORECAST (regresión lineal) sobre las ventas normalizadas.</t>
  </si>
  <si>
    <t xml:space="preserve">Transacciones</t>
  </si>
  <si>
    <t xml:space="preserve">Unidades</t>
  </si>
  <si>
    <t xml:space="preserve">Ventas Normalizada</t>
  </si>
  <si>
    <t xml:space="preserve">Tendencia / Previsión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</si>
  <si>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</si>
  <si>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</si>
  <si>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</si>
  <si>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</si>
  <si>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</si>
  <si>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</si>
  <si>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</si>
  <si>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</si>
  <si>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</si>
  <si>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</si>
  <si>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</si>
  <si>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</si>
  <si>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</si>
  <si>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</si>
  <si>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</si>
  <si>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Nota: la columna I (índice 1–15) es un auxiliar para la regresión; puede ocultarse.</t>
  </si>
  <si>
    <t xml:space="preserve">Producto y Marca — Ventas, utilidad y margen</t>
  </si>
  <si>
    <t xml:space="preserve">Ordenado de mayor a menor por ventas. El margen % revela qué productos son rentables de verdad, no solo los de mayor volumen.</t>
  </si>
  <si>
    <t xml:space="preserve">Ticket Promedio</t>
  </si>
  <si>
    <t xml:space="preserve">Ventas por Marca (proveedor)</t>
  </si>
  <si>
    <t xml:space="preserve">% del Total</t>
  </si>
  <si>
    <t xml:space="preserve">Clientes — Concentración de cartera</t>
  </si>
  <si>
    <t xml:space="preserve">Solo 4 clientes activos. El % acumulado y el índice HHI cuantifican qué tan expuesta está la empresa a perder uno de ellos.</t>
  </si>
  <si>
    <t xml:space="preserve">Ciudad</t>
  </si>
  <si>
    <t xml:space="preserve">% Participación</t>
  </si>
  <si>
    <t xml:space="preserve">% Acumulado</t>
  </si>
  <si>
    <t xml:space="preserve">Índice de concentración HHI (Herfindahl-Hirschman)</t>
  </si>
  <si>
    <t xml:space="preserve">Lectura: HHI &gt; 0,25 se considera alta concentración (equivalente a tener 4 o menos clientes de peso similar).</t>
  </si>
  <si>
    <t xml:space="preserve">Vendedores — Desempeño comercial</t>
  </si>
  <si>
    <t xml:space="preserve">Base objetiva para evaluar comisiones y detectar brechas de desempeño entre el equipo comercial.</t>
  </si>
  <si>
    <t xml:space="preserve">Ranking</t>
  </si>
  <si>
    <t xml:space="preserve">Segmentación — Ciudad, transporte, tipo de cliente y forma de pago</t>
  </si>
  <si>
    <t xml:space="preserve">Cruces operativos y de riesgo: dependencia logística y exposición a crédito.</t>
  </si>
  <si>
    <t xml:space="preserve">Por ciudad</t>
  </si>
  <si>
    <t xml:space="preserve">Categoría</t>
  </si>
  <si>
    <t xml:space="preserve">Por transportadora</t>
  </si>
  <si>
    <t xml:space="preserve">Por tipo de cliente</t>
  </si>
  <si>
    <t xml:space="preserve">Por forma de pago</t>
  </si>
  <si>
    <t xml:space="preserve">Ratios Financieros — Panel ejecutivo</t>
  </si>
  <si>
    <t xml:space="preserve">Todos los valores están enlazados (verde) a las demás hojas: se recalculan solos si cambian los datos.</t>
  </si>
  <si>
    <t xml:space="preserve">Indicador</t>
  </si>
  <si>
    <t xml:space="preserve">Valor</t>
  </si>
  <si>
    <t xml:space="preserve">Semáforo</t>
  </si>
  <si>
    <t xml:space="preserve">Ventas totales</t>
  </si>
  <si>
    <t xml:space="preserve">Ingreso total facturado en el período analizado.</t>
  </si>
  <si>
    <t xml:space="preserve">Utilidad bruta total</t>
  </si>
  <si>
    <t xml:space="preserve">Lo que queda tras cubrir el costo de los productos vendidos.</t>
  </si>
  <si>
    <t xml:space="preserve">Margen bruto global</t>
  </si>
  <si>
    <t xml:space="preserve">Rentabilidad real del negocio; un margen bajo deja poco margen de error ante descuentos o alzas de costo.</t>
  </si>
  <si>
    <t xml:space="preserve">Ticket promedio</t>
  </si>
  <si>
    <t xml:space="preserve">Tamaño típico de una venta; sirve para proyectar caja e informar metas comerciales.</t>
  </si>
  <si>
    <t xml:space="preserve">Transacciones totales</t>
  </si>
  <si>
    <t xml:space="preserve">Volumen de operación del período.</t>
  </si>
  <si>
    <t xml:space="preserve">Participación crédito</t>
  </si>
  <si>
    <t xml:space="preserve">Porcentaje de ventas cobradas a plazo; una cifra alta presiona el capital de trabajo.</t>
  </si>
  <si>
    <t xml:space="preserve">Concentración top cliente</t>
  </si>
  <si>
    <t xml:space="preserve">Parte del ingreso que depende de un solo cliente; alto = riesgo de dependencia.</t>
  </si>
  <si>
    <t xml:space="preserve">Índice HHI de clientes</t>
  </si>
  <si>
    <t xml:space="preserve">Mide la concentración de toda la cartera de clientes en un solo número (&gt;0,25 = alta).</t>
  </si>
  <si>
    <t xml:space="preserve">Variación mensual promedio</t>
  </si>
  <si>
    <t xml:space="preserve">Pendiente de la tendencia de ventas normalizada; negativo indica ventas en descenso mes a mes.</t>
  </si>
  <si>
    <t xml:space="preserve">Participación Portátiles</t>
  </si>
  <si>
    <t xml:space="preserve">Peso de la línea de producto más relevante en el ingreso total.</t>
  </si>
  <si>
    <t xml:space="preserve">Alertas de margen por producto</t>
  </si>
  <si>
    <t xml:space="preserve">Celdas amarillas = supuestos editables. Utilidad no capturada = (margen objetivo − margen real) × ventas, solo si el margen real es menor.</t>
  </si>
  <si>
    <t xml:space="preserve">Margen objetivo</t>
  </si>
  <si>
    <t xml:space="preserve">Supuesto del analista (cercano al margen global de 15,7%); modificar libremente.</t>
  </si>
  <si>
    <t xml:space="preserve">Margen crítico</t>
  </si>
  <si>
    <t xml:space="preserve">Por debajo de este valor el producto se marca CRÍTICO.</t>
  </si>
  <si>
    <t xml:space="preserve">Estado</t>
  </si>
  <si>
    <t xml:space="preserve">Utilidad no capturada</t>
  </si>
  <si>
    <t xml:space="preserve">% de ventas totales</t>
  </si>
  <si>
    <t xml:space="preserve">Total</t>
  </si>
  <si>
    <t xml:space="preserve">Escenarios — Impacto en utilidad</t>
  </si>
  <si>
    <t xml:space="preserve">Base = ventas y margen reales 2022. Celdas amarillas (Δ margen en puntos, Δ ventas %) son supuestos editables.</t>
  </si>
  <si>
    <t xml:space="preserve">Escenario</t>
  </si>
  <si>
    <t xml:space="preserve">Δ Margen (pts)</t>
  </si>
  <si>
    <t xml:space="preserve">Δ Ventas %</t>
  </si>
  <si>
    <t xml:space="preserve">Δ Utilidad vs base</t>
  </si>
  <si>
    <t xml:space="preserve">Base 2022</t>
  </si>
  <si>
    <t xml:space="preserve">Margen +1 punto</t>
  </si>
  <si>
    <t xml:space="preserve">Margen +2 puntos</t>
  </si>
  <si>
    <t xml:space="preserve">Ventas −10%</t>
  </si>
  <si>
    <t xml:space="preserve">Ventas −10% y margen +2 pts</t>
  </si>
  <si>
    <t xml:space="preserve">Ventas +10%</t>
  </si>
  <si>
    <t xml:space="preserve">Lectura: compara filas entre sí; un punto de margen equivale a 1% de las ventas base. No es una previsión, es un análisis de sensibilidad.</t>
  </si>
  <si>
    <t xml:space="preserve">Estacionalidad — Trimestres e índice mensual</t>
  </si>
  <si>
    <t xml:space="preserve">Usa ventas normalizadas (diciembre a 30 días). Con un solo año de datos, la estacionalidad es indicativa, no concluyente.</t>
  </si>
  <si>
    <t xml:space="preserve">Trimestre</t>
  </si>
  <si>
    <t xml:space="preserve">% del total</t>
  </si>
  <si>
    <t xml:space="preserve">T1 2022</t>
  </si>
  <si>
    <t xml:space="preserve">T2 2022</t>
  </si>
  <si>
    <t xml:space="preserve">T3 2022</t>
  </si>
  <si>
    <t xml:space="preserve">T4 2022</t>
  </si>
  <si>
    <t xml:space="preserve">Ventas normalizadas</t>
  </si>
  <si>
    <t xml:space="preserve">Índice vs promedio</t>
  </si>
  <si>
    <t xml:space="preserve">Índice 1,00 = mes promedio; &gt;1 = mes fuerte, &lt;1 = mes débil.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</si>
</sst>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#,##0"/>
    <numFmt numFmtId="167" formatCode="0.0%"/>
    <numFmt numFmtId="168" formatCode="0.000"/>
    <numFmt numFmtId="169" formatCode="#,##0;\(#,##0\);\-"/>
    <numFmt numFmtId="170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2937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EE2E2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EF3C7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4A7EBB"/>
      <rgbColor rgb="FF33CCCC"/>
      <rgbColor rgb="FF9BBB59"/>
      <rgbColor rgb="FFFFCC00"/>
      <rgbColor rgb="FFFF9900"/>
      <rgbColor rgb="FFFF6600"/>
      <rgbColor rgb="FF6B7280"/>
      <rgbColor rgb="FF8064A2"/>
      <rgbColor rgb="FF003366"/>
      <rgbColor rgb="FF4F81BD"/>
      <rgbColor rgb="FF003300"/>
      <rgbColor rgb="FF333300"/>
      <rgbColor rgb="FF993300"/>
      <rgbColor rgb="FFC0504D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mensuales: real vs. tendencia/previsión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'Ventas Mensuales'!B3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Mensuales'!$A$4:$A$18</c:f>
              <c:strCache>
                <c:ptCount val="15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</c:strCache>
            </c:strRef>
          </c:cat>
          <c:val>
            <c:numRef>
              <c:f>'Ventas Mensuales'!$B$4:$B$15</c:f>
              <c:numCache>
                <c:formatCode>#,##0</c:formatCode>
                <c:ptCount val="12"/>
                <c:pt idx="0">
                  <c:v>9738965526</c:v>
                </c:pt>
                <c:pt idx="1">
                  <c:v>7667494170</c:v>
                </c:pt>
                <c:pt idx="2">
                  <c:v>9139607974</c:v>
                </c:pt>
                <c:pt idx="3">
                  <c:v>11045631654</c:v>
                </c:pt>
                <c:pt idx="4">
                  <c:v>13800339040</c:v>
                </c:pt>
                <c:pt idx="5">
                  <c:v>8076808966</c:v>
                </c:pt>
                <c:pt idx="6">
                  <c:v>5985626746</c:v>
                </c:pt>
                <c:pt idx="7">
                  <c:v>7802299454</c:v>
                </c:pt>
                <c:pt idx="8">
                  <c:v>7381244630</c:v>
                </c:pt>
                <c:pt idx="9">
                  <c:v>8688965074</c:v>
                </c:pt>
                <c:pt idx="10">
                  <c:v>9978997204</c:v>
                </c:pt>
                <c:pt idx="11">
                  <c:v>4499428125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'Ventas Mensuales'!H3</c:f>
              <c:strCache>
                <c:ptCount val="1"/>
                <c:pt idx="0">
                  <c:v>Tendencia / Previsión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Mensuales'!$A$4:$A$18</c:f>
              <c:strCache>
                <c:ptCount val="15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</c:strCache>
            </c:strRef>
          </c:cat>
          <c:val>
            <c:numRef>
              <c:f>'Ventas Mensuales'!$H$4:$H$18</c:f>
              <c:numCache>
                <c:formatCode>#,##0</c:formatCode>
                <c:ptCount val="15"/>
                <c:pt idx="0">
                  <c:v>9498753855.12454</c:v>
                </c:pt>
                <c:pt idx="1">
                  <c:v>9422429095.62354</c:v>
                </c:pt>
                <c:pt idx="2">
                  <c:v>9346104336.12254</c:v>
                </c:pt>
                <c:pt idx="3">
                  <c:v>9269779576.62154</c:v>
                </c:pt>
                <c:pt idx="4">
                  <c:v>9193454817.12055</c:v>
                </c:pt>
                <c:pt idx="5">
                  <c:v>9117130057.61955</c:v>
                </c:pt>
                <c:pt idx="6">
                  <c:v>9040805298.11855</c:v>
                </c:pt>
                <c:pt idx="7">
                  <c:v>8964480538.61755</c:v>
                </c:pt>
                <c:pt idx="8">
                  <c:v>8888155779.11655</c:v>
                </c:pt>
                <c:pt idx="9">
                  <c:v>8811831019.61555</c:v>
                </c:pt>
                <c:pt idx="10">
                  <c:v>8735506260.11455</c:v>
                </c:pt>
                <c:pt idx="11">
                  <c:v>8659181500.61355</c:v>
                </c:pt>
                <c:pt idx="12">
                  <c:v>8582856741.11255</c:v>
                </c:pt>
                <c:pt idx="13">
                  <c:v>8506531981.61156</c:v>
                </c:pt>
                <c:pt idx="14">
                  <c:v>8430207222.11056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21757"/>
        <c:axId val="69713704"/>
      </c:lineChart>
      <c:catAx>
        <c:axId val="12217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713704"/>
        <c:crosses val="autoZero"/>
        <c:auto val="1"/>
        <c:lblAlgn val="ctr"/>
        <c:lblOffset val="100"/>
        <c:noMultiLvlLbl val="0"/>
      </c:catAx>
      <c:valAx>
        <c:axId val="697137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217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por marca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'Producto y Marca'!B27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'Producto y Marca'!$A$28:$A$36</c:f>
              <c:strCache>
                <c:ptCount val="9"/>
                <c:pt idx="0">
                  <c:v>Apple</c:v>
                </c:pt>
                <c:pt idx="1">
                  <c:v>Asus</c:v>
                </c:pt>
                <c:pt idx="2">
                  <c:v>Lenovo</c:v>
                </c:pt>
                <c:pt idx="3">
                  <c:v>Xiaomi</c:v>
                </c:pt>
                <c:pt idx="4">
                  <c:v>Intel</c:v>
                </c:pt>
                <c:pt idx="5">
                  <c:v>Samsum</c:v>
                </c:pt>
                <c:pt idx="6">
                  <c:v>Janus</c:v>
                </c:pt>
                <c:pt idx="7">
                  <c:v>Acer</c:v>
                </c:pt>
                <c:pt idx="8">
                  <c:v>Vivo</c:v>
                </c:pt>
              </c:strCache>
            </c:strRef>
          </c:cat>
          <c:val>
            <c:numRef>
              <c:f>'Producto y Marca'!$B$28:$B$36</c:f>
              <c:numCache>
                <c:formatCode>#,##0</c:formatCode>
                <c:ptCount val="9"/>
                <c:pt idx="0">
                  <c:v>27792445162</c:v>
                </c:pt>
                <c:pt idx="1">
                  <c:v>17323637504</c:v>
                </c:pt>
                <c:pt idx="2">
                  <c:v>16655742633</c:v>
                </c:pt>
                <c:pt idx="3">
                  <c:v>13079287232</c:v>
                </c:pt>
                <c:pt idx="4">
                  <c:v>9280914346</c:v>
                </c:pt>
                <c:pt idx="5">
                  <c:v>8142409784</c:v>
                </c:pt>
                <c:pt idx="6">
                  <c:v>4392824184</c:v>
                </c:pt>
                <c:pt idx="7">
                  <c:v>4194947718</c:v>
                </c:pt>
                <c:pt idx="8">
                  <c:v>2943200000</c:v>
                </c:pt>
              </c:numCache>
            </c:numRef>
          </c:val>
        </c:ser>
        <c:gapWidth val="150"/>
        <c:overlap val="0"/>
        <c:axId val="29930349"/>
        <c:axId val="28799656"/>
      </c:barChart>
      <c:catAx>
        <c:axId val="299303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799656"/>
        <c:crosses val="autoZero"/>
        <c:auto val="1"/>
        <c:lblAlgn val="ctr"/>
        <c:lblOffset val="100"/>
        <c:noMultiLvlLbl val="0"/>
      </c:catAx>
      <c:valAx>
        <c:axId val="287996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9303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por producto (Top 21)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'Producto y Marca'!B3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'Producto y Marca'!$A$4:$A$24</c:f>
              <c:strCache>
                <c:ptCount val="21"/>
                <c:pt idx="0">
                  <c:v>Lenovo 14IGL7</c:v>
                </c:pt>
                <c:pt idx="1">
                  <c:v>MacBook Pro</c:v>
                </c:pt>
                <c:pt idx="2">
                  <c:v>ASUS AIO V</c:v>
                </c:pt>
                <c:pt idx="3">
                  <c:v>Gaming F15</c:v>
                </c:pt>
                <c:pt idx="4">
                  <c:v>15 Pulgadas Ip1 Athlon</c:v>
                </c:pt>
                <c:pt idx="5">
                  <c:v>Xiaomi redmi 8</c:v>
                </c:pt>
                <c:pt idx="6">
                  <c:v>MacBook Air</c:v>
                </c:pt>
                <c:pt idx="7">
                  <c:v>Intel Corei7</c:v>
                </c:pt>
                <c:pt idx="8">
                  <c:v>Galaxy jpro</c:v>
                </c:pt>
                <c:pt idx="9">
                  <c:v>JANUS</c:v>
                </c:pt>
                <c:pt idx="10">
                  <c:v>13ultra</c:v>
                </c:pt>
                <c:pt idx="11">
                  <c:v>ASPIRE 3</c:v>
                </c:pt>
                <c:pt idx="12">
                  <c:v>INTEL CORE i3</c:v>
                </c:pt>
                <c:pt idx="13">
                  <c:v>iPhone 13 pro max</c:v>
                </c:pt>
                <c:pt idx="14">
                  <c:v>iPhone 11</c:v>
                </c:pt>
                <c:pt idx="15">
                  <c:v>Galaxy s23</c:v>
                </c:pt>
                <c:pt idx="16">
                  <c:v>iPhone 13 pro</c:v>
                </c:pt>
                <c:pt idx="17">
                  <c:v>Vivo x80</c:v>
                </c:pt>
                <c:pt idx="18">
                  <c:v>Xiaomi 13T</c:v>
                </c:pt>
                <c:pt idx="19">
                  <c:v>Apple MacBook</c:v>
                </c:pt>
                <c:pt idx="20">
                  <c:v>Celular Donalis</c:v>
                </c:pt>
              </c:strCache>
            </c:strRef>
          </c:cat>
          <c:val>
            <c:numRef>
              <c:f>'Producto y Marca'!$B$4:$B$24</c:f>
              <c:numCache>
                <c:formatCode>#,##0</c:formatCode>
                <c:ptCount val="21"/>
                <c:pt idx="0">
                  <c:v>9897540996</c:v>
                </c:pt>
                <c:pt idx="1">
                  <c:v>9468071808</c:v>
                </c:pt>
                <c:pt idx="2">
                  <c:v>8806137912</c:v>
                </c:pt>
                <c:pt idx="3">
                  <c:v>8517499592</c:v>
                </c:pt>
                <c:pt idx="4">
                  <c:v>6585570108</c:v>
                </c:pt>
                <c:pt idx="5">
                  <c:v>6367914400</c:v>
                </c:pt>
                <c:pt idx="6">
                  <c:v>6033325368</c:v>
                </c:pt>
                <c:pt idx="7">
                  <c:v>5161483346</c:v>
                </c:pt>
                <c:pt idx="8">
                  <c:v>4949845104</c:v>
                </c:pt>
                <c:pt idx="9">
                  <c:v>4392824184</c:v>
                </c:pt>
                <c:pt idx="10">
                  <c:v>4269152832</c:v>
                </c:pt>
                <c:pt idx="11">
                  <c:v>4194947718</c:v>
                </c:pt>
                <c:pt idx="12">
                  <c:v>4119431000</c:v>
                </c:pt>
                <c:pt idx="13">
                  <c:v>3701630640</c:v>
                </c:pt>
                <c:pt idx="14">
                  <c:v>3335553488</c:v>
                </c:pt>
                <c:pt idx="15">
                  <c:v>3192564680</c:v>
                </c:pt>
                <c:pt idx="16">
                  <c:v>3074250550</c:v>
                </c:pt>
                <c:pt idx="17">
                  <c:v>2943200000</c:v>
                </c:pt>
                <c:pt idx="18">
                  <c:v>2442220000</c:v>
                </c:pt>
                <c:pt idx="19">
                  <c:v>2179613308</c:v>
                </c:pt>
                <c:pt idx="20">
                  <c:v>172631529</c:v>
                </c:pt>
              </c:numCache>
            </c:numRef>
          </c:val>
        </c:ser>
        <c:gapWidth val="150"/>
        <c:overlap val="0"/>
        <c:axId val="45210606"/>
        <c:axId val="69396283"/>
      </c:barChart>
      <c:catAx>
        <c:axId val="452106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96283"/>
        <c:crosses val="autoZero"/>
        <c:auto val="1"/>
        <c:lblAlgn val="ctr"/>
        <c:lblOffset val="100"/>
        <c:noMultiLvlLbl val="0"/>
      </c:catAx>
      <c:valAx>
        <c:axId val="693962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106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Participación de ventas por cliente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Clientes!C3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Clientes!$A$4:$A$7</c:f>
              <c:strCache>
                <c:ptCount val="4"/>
                <c:pt idx="0">
                  <c:v>Asociados LTDA</c:v>
                </c:pt>
                <c:pt idx="1">
                  <c:v>Smart S.A.S</c:v>
                </c:pt>
                <c:pt idx="2">
                  <c:v>FullStark</c:v>
                </c:pt>
                <c:pt idx="3">
                  <c:v>Distribuidora Oriente</c:v>
                </c:pt>
              </c:strCache>
            </c:strRef>
          </c:cat>
          <c:val>
            <c:numRef>
              <c:f>Clientes!$C$4:$C$7</c:f>
              <c:numCache>
                <c:formatCode>#,##0</c:formatCode>
                <c:ptCount val="4"/>
                <c:pt idx="0">
                  <c:v>43739616368</c:v>
                </c:pt>
                <c:pt idx="1">
                  <c:v>20886432096</c:v>
                </c:pt>
                <c:pt idx="2">
                  <c:v>19664001853</c:v>
                </c:pt>
                <c:pt idx="3">
                  <c:v>19515358246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por vendedor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Vendedores!B3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Vendedores!$A$4:$A$13</c:f>
              <c:strCache>
                <c:ptCount val="10"/>
                <c:pt idx="0">
                  <c:v>Diego</c:v>
                </c:pt>
                <c:pt idx="1">
                  <c:v>Matias</c:v>
                </c:pt>
                <c:pt idx="2">
                  <c:v>Liliana</c:v>
                </c:pt>
                <c:pt idx="3">
                  <c:v>Alejandra</c:v>
                </c:pt>
                <c:pt idx="4">
                  <c:v>Martha</c:v>
                </c:pt>
                <c:pt idx="5">
                  <c:v>Juan</c:v>
                </c:pt>
                <c:pt idx="6">
                  <c:v>Hernan</c:v>
                </c:pt>
                <c:pt idx="7">
                  <c:v>Daniela</c:v>
                </c:pt>
                <c:pt idx="8">
                  <c:v>Lina</c:v>
                </c:pt>
                <c:pt idx="9">
                  <c:v>Paola</c:v>
                </c:pt>
              </c:strCache>
            </c:strRef>
          </c:cat>
          <c:val>
            <c:numRef>
              <c:f>Vendedores!$B$4:$B$13</c:f>
              <c:numCache>
                <c:formatCode>#,##0</c:formatCode>
                <c:ptCount val="10"/>
                <c:pt idx="0">
                  <c:v>12468916035</c:v>
                </c:pt>
                <c:pt idx="1">
                  <c:v>11001412676</c:v>
                </c:pt>
                <c:pt idx="2">
                  <c:v>10813613563</c:v>
                </c:pt>
                <c:pt idx="3">
                  <c:v>10746481941</c:v>
                </c:pt>
                <c:pt idx="4">
                  <c:v>10489264790</c:v>
                </c:pt>
                <c:pt idx="5">
                  <c:v>10240320591</c:v>
                </c:pt>
                <c:pt idx="6">
                  <c:v>9927646495</c:v>
                </c:pt>
                <c:pt idx="7">
                  <c:v>9457100593</c:v>
                </c:pt>
                <c:pt idx="8">
                  <c:v>9441530676</c:v>
                </c:pt>
                <c:pt idx="9">
                  <c:v>9219121203</c:v>
                </c:pt>
              </c:numCache>
            </c:numRef>
          </c:val>
        </c:ser>
        <c:gapWidth val="150"/>
        <c:overlap val="0"/>
        <c:axId val="19191661"/>
        <c:axId val="90662638"/>
      </c:barChart>
      <c:catAx>
        <c:axId val="191916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62638"/>
        <c:crosses val="autoZero"/>
        <c:auto val="1"/>
        <c:lblAlgn val="ctr"/>
        <c:lblOffset val="100"/>
        <c:noMultiLvlLbl val="0"/>
      </c:catAx>
      <c:valAx>
        <c:axId val="906626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916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por forma de pago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Segmentacion!B27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Segmentacion!$A$28:$A$29</c:f>
              <c:strCache>
                <c:ptCount val="2"/>
                <c:pt idx="0">
                  <c:v>Crédito</c:v>
                </c:pt>
                <c:pt idx="1">
                  <c:v>Contado</c:v>
                </c:pt>
              </c:strCache>
            </c:strRef>
          </c:cat>
          <c:val>
            <c:numRef>
              <c:f>Segmentacion!$B$28:$B$29</c:f>
              <c:numCache>
                <c:formatCode>#,##0</c:formatCode>
                <c:ptCount val="2"/>
                <c:pt idx="0">
                  <c:v>84141406710</c:v>
                </c:pt>
                <c:pt idx="1">
                  <c:v>19664001853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por ciudad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Segmentacion!B5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Segmentacion!$A$6:$A$9</c:f>
              <c:strCache>
                <c:ptCount val="4"/>
                <c:pt idx="0">
                  <c:v>Bogotá</c:v>
                </c:pt>
                <c:pt idx="1">
                  <c:v>Medellín</c:v>
                </c:pt>
                <c:pt idx="2">
                  <c:v>Bucaramanga</c:v>
                </c:pt>
                <c:pt idx="3">
                  <c:v>Cali</c:v>
                </c:pt>
              </c:strCache>
            </c:strRef>
          </c:cat>
          <c:val>
            <c:numRef>
              <c:f>Segmentacion!$B$6:$B$9</c:f>
              <c:numCache>
                <c:formatCode>#,##0</c:formatCode>
                <c:ptCount val="4"/>
                <c:pt idx="0">
                  <c:v>43739616368</c:v>
                </c:pt>
                <c:pt idx="1">
                  <c:v>20886432096</c:v>
                </c:pt>
                <c:pt idx="2">
                  <c:v>19664001853</c:v>
                </c:pt>
                <c:pt idx="3">
                  <c:v>19515358246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Índice de estacionalidad mensual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Estacionalidad!C11</c:f>
              <c:strCache>
                <c:ptCount val="1"/>
                <c:pt idx="0">
                  <c:v>Índice vs promedio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Estacionalidad!$A$12:$A$23</c:f>
              <c:strCache>
                <c:ptCount val="12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</c:strCache>
            </c:strRef>
          </c:cat>
          <c:val>
            <c:numRef>
              <c:f>Estacionalidad!$C$12:$C$23</c:f>
              <c:numCache>
                <c:formatCode>0.00</c:formatCode>
                <c:ptCount val="12"/>
                <c:pt idx="0">
                  <c:v>1.07269525253843</c:v>
                </c:pt>
                <c:pt idx="1">
                  <c:v>0.844533700531872</c:v>
                </c:pt>
                <c:pt idx="2">
                  <c:v>1.00667920608185</c:v>
                </c:pt>
                <c:pt idx="3">
                  <c:v>1.2166175765693</c:v>
                </c:pt>
                <c:pt idx="4">
                  <c:v>1.52003394324663</c:v>
                </c:pt>
                <c:pt idx="5">
                  <c:v>0.889617548225013</c:v>
                </c:pt>
                <c:pt idx="6">
                  <c:v>0.65928494938809</c:v>
                </c:pt>
                <c:pt idx="7">
                  <c:v>0.859381785554644</c:v>
                </c:pt>
                <c:pt idx="8">
                  <c:v>0.813004836220815</c:v>
                </c:pt>
                <c:pt idx="9">
                  <c:v>0.957043287551324</c:v>
                </c:pt>
                <c:pt idx="10">
                  <c:v>1.09913346517632</c:v>
                </c:pt>
                <c:pt idx="11">
                  <c:v>1.06197444891572</c:v>
                </c:pt>
              </c:numCache>
            </c:numRef>
          </c:val>
        </c:ser>
        <c:gapWidth val="150"/>
        <c:overlap val="0"/>
        <c:axId val="8142742"/>
        <c:axId val="70731998"/>
      </c:barChart>
      <c:catAx>
        <c:axId val="81427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31998"/>
        <c:crosses val="autoZero"/>
        <c:auto val="1"/>
        <c:lblAlgn val="ctr"/>
        <c:lblOffset val="100"/>
        <c:noMultiLvlLbl val="0"/>
      </c:catAx>
      <c:valAx>
        <c:axId val="707319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27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78120</xdr:rowOff>
    </xdr:from>
    <xdr:to>
      <xdr:col>9</xdr:col>
      <xdr:colOff>25200</xdr:colOff>
      <xdr:row>36</xdr:row>
      <xdr:rowOff>79200</xdr:rowOff>
    </xdr:to>
    <xdr:graphicFrame>
      <xdr:nvGraphicFramePr>
        <xdr:cNvPr id="0" name="Chart 1"/>
        <xdr:cNvGraphicFramePr/>
      </xdr:nvGraphicFramePr>
      <xdr:xfrm>
        <a:off x="0" y="39052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16</xdr:col>
      <xdr:colOff>255960</xdr:colOff>
      <xdr:row>19</xdr:row>
      <xdr:rowOff>1080</xdr:rowOff>
    </xdr:to>
    <xdr:graphicFrame>
      <xdr:nvGraphicFramePr>
        <xdr:cNvPr id="1" name="Chart 1"/>
        <xdr:cNvGraphicFramePr/>
      </xdr:nvGraphicFramePr>
      <xdr:xfrm>
        <a:off x="6814080" y="466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20</xdr:row>
      <xdr:rowOff>0</xdr:rowOff>
    </xdr:from>
    <xdr:to>
      <xdr:col>16</xdr:col>
      <xdr:colOff>255960</xdr:colOff>
      <xdr:row>46</xdr:row>
      <xdr:rowOff>86400</xdr:rowOff>
    </xdr:to>
    <xdr:graphicFrame>
      <xdr:nvGraphicFramePr>
        <xdr:cNvPr id="2" name="Chart 2"/>
        <xdr:cNvGraphicFramePr/>
      </xdr:nvGraphicFramePr>
      <xdr:xfrm>
        <a:off x="6814080" y="3895560"/>
        <a:ext cx="57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15</xdr:col>
      <xdr:colOff>147600</xdr:colOff>
      <xdr:row>19</xdr:row>
      <xdr:rowOff>1080</xdr:rowOff>
    </xdr:to>
    <xdr:graphicFrame>
      <xdr:nvGraphicFramePr>
        <xdr:cNvPr id="3" name="Chart 1"/>
        <xdr:cNvGraphicFramePr/>
      </xdr:nvGraphicFramePr>
      <xdr:xfrm>
        <a:off x="7378200" y="46656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7</xdr:col>
      <xdr:colOff>65520</xdr:colOff>
      <xdr:row>37</xdr:row>
      <xdr:rowOff>1080</xdr:rowOff>
    </xdr:to>
    <xdr:graphicFrame>
      <xdr:nvGraphicFramePr>
        <xdr:cNvPr id="4" name="Chart 1"/>
        <xdr:cNvGraphicFramePr/>
      </xdr:nvGraphicFramePr>
      <xdr:xfrm>
        <a:off x="0" y="38955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12</xdr:col>
      <xdr:colOff>39240</xdr:colOff>
      <xdr:row>18</xdr:row>
      <xdr:rowOff>22320</xdr:rowOff>
    </xdr:to>
    <xdr:graphicFrame>
      <xdr:nvGraphicFramePr>
        <xdr:cNvPr id="5" name="Chart 1"/>
        <xdr:cNvGraphicFramePr/>
      </xdr:nvGraphicFramePr>
      <xdr:xfrm>
        <a:off x="4629240" y="6573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19</xdr:row>
      <xdr:rowOff>0</xdr:rowOff>
    </xdr:from>
    <xdr:to>
      <xdr:col>12</xdr:col>
      <xdr:colOff>39240</xdr:colOff>
      <xdr:row>34</xdr:row>
      <xdr:rowOff>21960</xdr:rowOff>
    </xdr:to>
    <xdr:graphicFrame>
      <xdr:nvGraphicFramePr>
        <xdr:cNvPr id="6" name="Chart 2"/>
        <xdr:cNvGraphicFramePr/>
      </xdr:nvGraphicFramePr>
      <xdr:xfrm>
        <a:off x="4629240" y="37051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160920</xdr:rowOff>
    </xdr:from>
    <xdr:to>
      <xdr:col>13</xdr:col>
      <xdr:colOff>255960</xdr:colOff>
      <xdr:row>17</xdr:row>
      <xdr:rowOff>182880</xdr:rowOff>
    </xdr:to>
    <xdr:graphicFrame>
      <xdr:nvGraphicFramePr>
        <xdr:cNvPr id="7" name="Chart 1"/>
        <xdr:cNvGraphicFramePr/>
      </xdr:nvGraphicFramePr>
      <xdr:xfrm>
        <a:off x="441756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45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48" hidden="false" customHeight="true" outlineLevel="0" collapsed="false">
      <c r="A5" s="4" t="n">
        <v>0</v>
      </c>
      <c r="B5" s="5" t="s">
        <v>6</v>
      </c>
      <c r="C5" s="6" t="s">
        <v>7</v>
      </c>
      <c r="D5" s="6"/>
    </row>
    <row r="6" customFormat="false" ht="48" hidden="false" customHeight="true" outlineLevel="0" collapsed="false">
      <c r="A6" s="4" t="n">
        <v>1</v>
      </c>
      <c r="B6" s="5" t="s">
        <v>8</v>
      </c>
      <c r="C6" s="6" t="s">
        <v>9</v>
      </c>
      <c r="D6" s="6" t="s">
        <v>10</v>
      </c>
    </row>
    <row r="7" customFormat="false" ht="48" hidden="false" customHeight="true" outlineLevel="0" collapsed="false">
      <c r="A7" s="4" t="n">
        <v>2</v>
      </c>
      <c r="B7" s="5" t="s">
        <v>11</v>
      </c>
      <c r="C7" s="6" t="s">
        <v>12</v>
      </c>
      <c r="D7" s="6" t="s">
        <v>13</v>
      </c>
    </row>
    <row r="8" customFormat="false" ht="48" hidden="false" customHeight="true" outlineLevel="0" collapsed="false">
      <c r="A8" s="4" t="n">
        <v>3</v>
      </c>
      <c r="B8" s="5" t="s">
        <v>14</v>
      </c>
      <c r="C8" s="6" t="s">
        <v>15</v>
      </c>
      <c r="D8" s="6" t="s">
        <v>16</v>
      </c>
    </row>
    <row r="9" customFormat="false" ht="48" hidden="false" customHeight="true" outlineLevel="0" collapsed="false">
      <c r="A9" s="4" t="n">
        <v>4</v>
      </c>
      <c r="B9" s="5" t="s">
        <v>17</v>
      </c>
      <c r="C9" s="6" t="s">
        <v>18</v>
      </c>
      <c r="D9" s="6" t="s">
        <v>19</v>
      </c>
    </row>
    <row r="10" customFormat="false" ht="48" hidden="false" customHeight="true" outlineLevel="0" collapsed="false">
      <c r="A10" s="4" t="n">
        <v>5</v>
      </c>
      <c r="B10" s="5" t="s">
        <v>20</v>
      </c>
      <c r="C10" s="6" t="s">
        <v>21</v>
      </c>
      <c r="D10" s="6" t="s">
        <v>22</v>
      </c>
    </row>
    <row r="11" customFormat="false" ht="48" hidden="false" customHeight="true" outlineLevel="0" collapsed="false">
      <c r="A11" s="4" t="n">
        <v>6</v>
      </c>
      <c r="B11" s="5" t="s">
        <v>23</v>
      </c>
      <c r="C11" s="6" t="s">
        <v>24</v>
      </c>
      <c r="D11" s="6" t="s">
        <v>25</v>
      </c>
    </row>
    <row r="12" customFormat="false" ht="48" hidden="false" customHeight="true" outlineLevel="0" collapsed="false">
      <c r="A12" s="4" t="n">
        <v>7</v>
      </c>
      <c r="B12" s="5" t="s">
        <v>26</v>
      </c>
      <c r="C12" s="6" t="s">
        <v>27</v>
      </c>
      <c r="D12" s="6" t="s">
        <v>28</v>
      </c>
    </row>
    <row r="13" customFormat="false" ht="48" hidden="false" customHeight="true" outlineLevel="0" collapsed="false">
      <c r="A13" s="4" t="n">
        <v>8</v>
      </c>
      <c r="B13" s="5" t="s">
        <v>29</v>
      </c>
      <c r="C13" s="6" t="s">
        <v>30</v>
      </c>
      <c r="D13" s="6" t="s">
        <v>31</v>
      </c>
    </row>
    <row r="14" customFormat="false" ht="48" hidden="false" customHeight="true" outlineLevel="0" collapsed="false">
      <c r="A14" s="4" t="n">
        <v>9</v>
      </c>
      <c r="B14" s="5" t="s">
        <v>32</v>
      </c>
      <c r="C14" s="6" t="s">
        <v>33</v>
      </c>
      <c r="D14" s="6" t="s">
        <v>34</v>
      </c>
    </row>
    <row r="15" customFormat="false" ht="48" hidden="false" customHeight="true" outlineLevel="0" collapsed="false">
      <c r="A15" s="4" t="n">
        <v>10</v>
      </c>
      <c r="B15" s="5" t="s">
        <v>35</v>
      </c>
      <c r="C15" s="6" t="s">
        <v>36</v>
      </c>
      <c r="D15" s="6" t="s">
        <v>37</v>
      </c>
    </row>
    <row r="17" customFormat="false" ht="15" hidden="false" customHeight="false" outlineLevel="0" collapsed="false">
      <c r="A17" s="7" t="s">
        <v>38</v>
      </c>
      <c r="B17" s="7"/>
      <c r="C17" s="7"/>
      <c r="D17" s="7"/>
    </row>
    <row r="18" customFormat="false" ht="15" hidden="false" customHeight="false" outlineLevel="0" collapsed="false">
      <c r="A18" s="8" t="s">
        <v>39</v>
      </c>
      <c r="B18" s="8"/>
      <c r="C18" s="8"/>
      <c r="D18" s="8"/>
    </row>
    <row r="19" customFormat="false" ht="15" hidden="false" customHeight="false" outlineLevel="0" collapsed="false">
      <c r="A19" s="8" t="s">
        <v>40</v>
      </c>
      <c r="B19" s="8"/>
      <c r="C19" s="8"/>
      <c r="D19" s="8"/>
    </row>
    <row r="20" customFormat="false" ht="15" hidden="false" customHeight="false" outlineLevel="0" collapsed="false">
      <c r="A20" s="8" t="s">
        <v>41</v>
      </c>
      <c r="B20" s="8"/>
      <c r="C20" s="8"/>
      <c r="D20" s="8"/>
    </row>
    <row r="21" customFormat="false" ht="15" hidden="false" customHeight="false" outlineLevel="0" collapsed="false">
      <c r="A21" s="8" t="s">
        <v>42</v>
      </c>
      <c r="B21" s="8"/>
      <c r="C21" s="8"/>
      <c r="D21" s="8"/>
    </row>
  </sheetData>
  <mergeCells count="7">
    <mergeCell ref="A1:D1"/>
    <mergeCell ref="A2:D2"/>
    <mergeCell ref="A17:D17"/>
    <mergeCell ref="A18:D18"/>
    <mergeCell ref="A19:D19"/>
    <mergeCell ref="A20:D20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7"/>
    <col collapsed="false" customWidth="true" hidden="false" outlineLevel="0" max="5" min="4" style="0" width="9"/>
    <col collapsed="false" customWidth="true" hidden="false" outlineLevel="0" max="7" min="6" style="0" width="10"/>
    <col collapsed="false" customWidth="true" hidden="false" outlineLevel="0" max="8" min="8" style="0" width="7"/>
    <col collapsed="false" customWidth="true" hidden="false" outlineLevel="0" max="9" min="9" style="0" width="10"/>
    <col collapsed="false" customWidth="true" hidden="false" outlineLevel="0" max="10" min="10" style="0" width="17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4" min="13" style="0" width="9"/>
    <col collapsed="false" customWidth="true" hidden="false" outlineLevel="0" max="16" min="15" style="0" width="15"/>
    <col collapsed="false" customWidth="true" hidden="false" outlineLevel="0" max="19" min="17" style="0" width="11"/>
    <col collapsed="false" customWidth="true" hidden="false" outlineLevel="0" max="21" min="20" style="0" width="9"/>
  </cols>
  <sheetData>
    <row r="1" customFormat="false" ht="21.75" hidden="false" customHeight="true" outlineLevel="0" collapsed="false">
      <c r="A1" s="9" t="s">
        <v>43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customFormat="false" ht="23.85" hidden="false" customHeight="false" outlineLevel="0" collapsed="false">
      <c r="A2" s="3" t="s">
        <v>44</v>
      </c>
      <c r="B2" s="3" t="s">
        <v>45</v>
      </c>
      <c r="C2" s="3" t="s">
        <v>46</v>
      </c>
      <c r="D2" s="3" t="s">
        <v>47</v>
      </c>
      <c r="E2" s="3" t="s">
        <v>48</v>
      </c>
      <c r="F2" s="3" t="s">
        <v>49</v>
      </c>
      <c r="G2" s="3" t="s">
        <v>50</v>
      </c>
      <c r="H2" s="3" t="s">
        <v>51</v>
      </c>
      <c r="I2" s="3" t="s">
        <v>52</v>
      </c>
      <c r="J2" s="3" t="s">
        <v>53</v>
      </c>
      <c r="K2" s="3" t="s">
        <v>54</v>
      </c>
      <c r="L2" s="3" t="s">
        <v>55</v>
      </c>
      <c r="M2" s="3" t="s">
        <v>56</v>
      </c>
      <c r="N2" s="3" t="s">
        <v>57</v>
      </c>
      <c r="O2" s="3" t="s">
        <v>58</v>
      </c>
      <c r="P2" s="3" t="s">
        <v>59</v>
      </c>
      <c r="Q2" s="3" t="s">
        <v>60</v>
      </c>
      <c r="R2" s="3" t="s">
        <v>61</v>
      </c>
      <c r="S2" s="3" t="s">
        <v>62</v>
      </c>
      <c r="T2" s="3" t="s">
        <v>63</v>
      </c>
      <c r="U2" s="3" t="s">
        <v>64</v>
      </c>
    </row>
    <row r="3" customFormat="false" ht="15" hidden="false" customHeight="false" outlineLevel="0" collapsed="false">
      <c r="A3" s="10" t="n">
        <v>44562</v>
      </c>
      <c r="B3" s="11" t="s">
        <v>65</v>
      </c>
      <c r="C3" s="11" t="s">
        <v>66</v>
      </c>
      <c r="D3" s="11" t="s">
        <v>67</v>
      </c>
      <c r="E3" s="11" t="s">
        <v>68</v>
      </c>
      <c r="F3" s="12" t="n">
        <v>3048952</v>
      </c>
      <c r="G3" s="12" t="n">
        <v>2560000</v>
      </c>
      <c r="H3" s="11" t="n">
        <v>4</v>
      </c>
      <c r="I3" s="11" t="s">
        <v>69</v>
      </c>
      <c r="J3" s="11" t="s">
        <v>70</v>
      </c>
      <c r="K3" s="11" t="s">
        <v>71</v>
      </c>
      <c r="L3" s="11" t="s">
        <v>72</v>
      </c>
      <c r="M3" s="11" t="s">
        <v>73</v>
      </c>
      <c r="N3" s="11" t="s">
        <v>74</v>
      </c>
      <c r="O3" s="11" t="s">
        <v>75</v>
      </c>
      <c r="P3" s="11" t="s">
        <v>76</v>
      </c>
      <c r="Q3" s="13" t="n">
        <f aca="false">F3*H3</f>
        <v>12195808</v>
      </c>
      <c r="R3" s="13" t="n">
        <f aca="false">G3*H3</f>
        <v>10240000</v>
      </c>
      <c r="S3" s="13" t="n">
        <f aca="false">Q3-R3</f>
        <v>1955808</v>
      </c>
      <c r="T3" s="14" t="n">
        <f aca="false">IFERROR(S3/Q3,0)</f>
        <v>0.160367234380863</v>
      </c>
      <c r="U3" s="15" t="str">
        <f aca="false">TEXT(A3,"yyyy-mm")</f>
        <v>2022-01</v>
      </c>
    </row>
    <row r="4" customFormat="false" ht="15" hidden="false" customHeight="false" outlineLevel="0" collapsed="false">
      <c r="A4" s="10" t="n">
        <v>44562</v>
      </c>
      <c r="B4" s="11" t="s">
        <v>77</v>
      </c>
      <c r="C4" s="11" t="s">
        <v>78</v>
      </c>
      <c r="D4" s="11" t="s">
        <v>67</v>
      </c>
      <c r="E4" s="11" t="s">
        <v>79</v>
      </c>
      <c r="F4" s="12" t="n">
        <v>1870000</v>
      </c>
      <c r="G4" s="12" t="n">
        <v>1650000</v>
      </c>
      <c r="H4" s="11" t="n">
        <v>11</v>
      </c>
      <c r="I4" s="11" t="s">
        <v>69</v>
      </c>
      <c r="J4" s="11" t="s">
        <v>80</v>
      </c>
      <c r="K4" s="11" t="s">
        <v>81</v>
      </c>
      <c r="L4" s="11" t="s">
        <v>82</v>
      </c>
      <c r="M4" s="11" t="s">
        <v>73</v>
      </c>
      <c r="N4" s="11" t="s">
        <v>74</v>
      </c>
      <c r="O4" s="11" t="s">
        <v>75</v>
      </c>
      <c r="P4" s="11" t="s">
        <v>76</v>
      </c>
      <c r="Q4" s="13" t="n">
        <f aca="false">F4*H4</f>
        <v>20570000</v>
      </c>
      <c r="R4" s="13" t="n">
        <f aca="false">G4*H4</f>
        <v>18150000</v>
      </c>
      <c r="S4" s="13" t="n">
        <f aca="false">Q4-R4</f>
        <v>2420000</v>
      </c>
      <c r="T4" s="14" t="n">
        <f aca="false">IFERROR(S4/Q4,0)</f>
        <v>0.117647058823529</v>
      </c>
      <c r="U4" s="15" t="str">
        <f aca="false">TEXT(A4,"yyyy-mm")</f>
        <v>2022-01</v>
      </c>
    </row>
    <row r="5" customFormat="false" ht="15" hidden="false" customHeight="false" outlineLevel="0" collapsed="false">
      <c r="A5" s="10" t="n">
        <v>44562</v>
      </c>
      <c r="B5" s="11" t="s">
        <v>83</v>
      </c>
      <c r="C5" s="11" t="s">
        <v>84</v>
      </c>
      <c r="D5" s="11" t="s">
        <v>67</v>
      </c>
      <c r="E5" s="11" t="s">
        <v>85</v>
      </c>
      <c r="F5" s="12" t="n">
        <v>2600000</v>
      </c>
      <c r="G5" s="12" t="n">
        <v>2300000</v>
      </c>
      <c r="H5" s="11" t="n">
        <v>13</v>
      </c>
      <c r="I5" s="11" t="s">
        <v>86</v>
      </c>
      <c r="J5" s="11" t="s">
        <v>87</v>
      </c>
      <c r="K5" s="11" t="s">
        <v>88</v>
      </c>
      <c r="L5" s="11" t="s">
        <v>89</v>
      </c>
      <c r="M5" s="11" t="s">
        <v>90</v>
      </c>
      <c r="N5" s="11" t="s">
        <v>74</v>
      </c>
      <c r="O5" s="11" t="s">
        <v>75</v>
      </c>
      <c r="P5" s="11" t="s">
        <v>76</v>
      </c>
      <c r="Q5" s="13" t="n">
        <f aca="false">F5*H5</f>
        <v>33800000</v>
      </c>
      <c r="R5" s="13" t="n">
        <f aca="false">G5*H5</f>
        <v>29900000</v>
      </c>
      <c r="S5" s="13" t="n">
        <f aca="false">Q5-R5</f>
        <v>3900000</v>
      </c>
      <c r="T5" s="14" t="n">
        <f aca="false">IFERROR(S5/Q5,0)</f>
        <v>0.115384615384615</v>
      </c>
      <c r="U5" s="15" t="str">
        <f aca="false">TEXT(A5,"yyyy-mm")</f>
        <v>2022-01</v>
      </c>
    </row>
    <row r="6" customFormat="false" ht="15" hidden="false" customHeight="false" outlineLevel="0" collapsed="false">
      <c r="A6" s="10" t="n">
        <v>44563</v>
      </c>
      <c r="B6" s="11" t="s">
        <v>91</v>
      </c>
      <c r="C6" s="11" t="s">
        <v>92</v>
      </c>
      <c r="D6" s="11" t="s">
        <v>67</v>
      </c>
      <c r="E6" s="11" t="s">
        <v>79</v>
      </c>
      <c r="F6" s="12" t="n">
        <v>3577480</v>
      </c>
      <c r="G6" s="12" t="n">
        <v>3100000</v>
      </c>
      <c r="H6" s="11" t="n">
        <v>23</v>
      </c>
      <c r="I6" s="11" t="s">
        <v>69</v>
      </c>
      <c r="J6" s="11" t="s">
        <v>80</v>
      </c>
      <c r="K6" s="11" t="s">
        <v>81</v>
      </c>
      <c r="L6" s="11" t="s">
        <v>82</v>
      </c>
      <c r="M6" s="11" t="s">
        <v>73</v>
      </c>
      <c r="N6" s="11" t="s">
        <v>93</v>
      </c>
      <c r="O6" s="11" t="s">
        <v>94</v>
      </c>
      <c r="P6" s="11" t="s">
        <v>95</v>
      </c>
      <c r="Q6" s="13" t="n">
        <f aca="false">F6*H6</f>
        <v>82282040</v>
      </c>
      <c r="R6" s="13" t="n">
        <f aca="false">G6*H6</f>
        <v>71300000</v>
      </c>
      <c r="S6" s="13" t="n">
        <f aca="false">Q6-R6</f>
        <v>10982040</v>
      </c>
      <c r="T6" s="14" t="n">
        <f aca="false">IFERROR(S6/Q6,0)</f>
        <v>0.133468251394837</v>
      </c>
      <c r="U6" s="15" t="str">
        <f aca="false">TEXT(A6,"yyyy-mm")</f>
        <v>2022-01</v>
      </c>
    </row>
    <row r="7" customFormat="false" ht="15" hidden="false" customHeight="false" outlineLevel="0" collapsed="false">
      <c r="A7" s="10" t="n">
        <v>44563</v>
      </c>
      <c r="B7" s="11" t="s">
        <v>96</v>
      </c>
      <c r="C7" s="11" t="s">
        <v>97</v>
      </c>
      <c r="D7" s="11" t="s">
        <v>67</v>
      </c>
      <c r="E7" s="11" t="s">
        <v>98</v>
      </c>
      <c r="F7" s="12" t="n">
        <v>4969724</v>
      </c>
      <c r="G7" s="12" t="n">
        <v>4121560</v>
      </c>
      <c r="H7" s="11" t="n">
        <v>20</v>
      </c>
      <c r="I7" s="11" t="s">
        <v>69</v>
      </c>
      <c r="J7" s="11" t="s">
        <v>80</v>
      </c>
      <c r="K7" s="11" t="s">
        <v>81</v>
      </c>
      <c r="L7" s="11" t="s">
        <v>82</v>
      </c>
      <c r="M7" s="11" t="s">
        <v>73</v>
      </c>
      <c r="N7" s="11" t="s">
        <v>99</v>
      </c>
      <c r="O7" s="11" t="s">
        <v>100</v>
      </c>
      <c r="P7" s="11" t="s">
        <v>101</v>
      </c>
      <c r="Q7" s="13" t="n">
        <f aca="false">F7*H7</f>
        <v>99394480</v>
      </c>
      <c r="R7" s="13" t="n">
        <f aca="false">G7*H7</f>
        <v>82431200</v>
      </c>
      <c r="S7" s="13" t="n">
        <f aca="false">Q7-R7</f>
        <v>16963280</v>
      </c>
      <c r="T7" s="14" t="n">
        <f aca="false">IFERROR(S7/Q7,0)</f>
        <v>0.170666218083741</v>
      </c>
      <c r="U7" s="15" t="str">
        <f aca="false">TEXT(A7,"yyyy-mm")</f>
        <v>2022-01</v>
      </c>
    </row>
    <row r="8" customFormat="false" ht="15" hidden="false" customHeight="false" outlineLevel="0" collapsed="false">
      <c r="A8" s="10" t="n">
        <v>44564</v>
      </c>
      <c r="B8" s="11" t="s">
        <v>102</v>
      </c>
      <c r="C8" s="11" t="s">
        <v>103</v>
      </c>
      <c r="D8" s="11" t="s">
        <v>67</v>
      </c>
      <c r="E8" s="11" t="s">
        <v>68</v>
      </c>
      <c r="F8" s="12" t="n">
        <v>3319925</v>
      </c>
      <c r="G8" s="12" t="n">
        <v>2800000</v>
      </c>
      <c r="H8" s="11" t="n">
        <v>9</v>
      </c>
      <c r="I8" s="11" t="s">
        <v>86</v>
      </c>
      <c r="J8" s="11" t="s">
        <v>87</v>
      </c>
      <c r="K8" s="11" t="s">
        <v>88</v>
      </c>
      <c r="L8" s="11" t="s">
        <v>89</v>
      </c>
      <c r="M8" s="11" t="s">
        <v>90</v>
      </c>
      <c r="N8" s="11" t="s">
        <v>104</v>
      </c>
      <c r="O8" s="11" t="s">
        <v>105</v>
      </c>
      <c r="P8" s="11" t="s">
        <v>106</v>
      </c>
      <c r="Q8" s="13" t="n">
        <f aca="false">F8*H8</f>
        <v>29879325</v>
      </c>
      <c r="R8" s="13" t="n">
        <f aca="false">G8*H8</f>
        <v>25200000</v>
      </c>
      <c r="S8" s="13" t="n">
        <f aca="false">Q8-R8</f>
        <v>4679325</v>
      </c>
      <c r="T8" s="14" t="n">
        <f aca="false">IFERROR(S8/Q8,0)</f>
        <v>0.15660745348163</v>
      </c>
      <c r="U8" s="15" t="str">
        <f aca="false">TEXT(A8,"yyyy-mm")</f>
        <v>2022-01</v>
      </c>
    </row>
    <row r="9" customFormat="false" ht="15" hidden="false" customHeight="false" outlineLevel="0" collapsed="false">
      <c r="A9" s="10" t="n">
        <v>44564</v>
      </c>
      <c r="B9" s="11" t="s">
        <v>107</v>
      </c>
      <c r="C9" s="11" t="s">
        <v>108</v>
      </c>
      <c r="D9" s="11" t="s">
        <v>67</v>
      </c>
      <c r="E9" s="11" t="s">
        <v>68</v>
      </c>
      <c r="F9" s="12" t="n">
        <v>4757880</v>
      </c>
      <c r="G9" s="12" t="n">
        <v>3450000</v>
      </c>
      <c r="H9" s="11" t="n">
        <v>7</v>
      </c>
      <c r="I9" s="11" t="s">
        <v>69</v>
      </c>
      <c r="J9" s="11" t="s">
        <v>80</v>
      </c>
      <c r="K9" s="11" t="s">
        <v>81</v>
      </c>
      <c r="L9" s="11" t="s">
        <v>82</v>
      </c>
      <c r="M9" s="11" t="s">
        <v>73</v>
      </c>
      <c r="N9" s="11" t="s">
        <v>109</v>
      </c>
      <c r="O9" s="11" t="s">
        <v>75</v>
      </c>
      <c r="P9" s="11" t="s">
        <v>95</v>
      </c>
      <c r="Q9" s="13" t="n">
        <f aca="false">F9*H9</f>
        <v>33305160</v>
      </c>
      <c r="R9" s="13" t="n">
        <f aca="false">G9*H9</f>
        <v>24150000</v>
      </c>
      <c r="S9" s="13" t="n">
        <f aca="false">Q9-R9</f>
        <v>9155160</v>
      </c>
      <c r="T9" s="14" t="n">
        <f aca="false">IFERROR(S9/Q9,0)</f>
        <v>0.274887134606169</v>
      </c>
      <c r="U9" s="15" t="str">
        <f aca="false">TEXT(A9,"yyyy-mm")</f>
        <v>2022-01</v>
      </c>
    </row>
    <row r="10" customFormat="false" ht="15" hidden="false" customHeight="false" outlineLevel="0" collapsed="false">
      <c r="A10" s="10" t="n">
        <v>44564</v>
      </c>
      <c r="B10" s="11" t="s">
        <v>110</v>
      </c>
      <c r="C10" s="11" t="s">
        <v>111</v>
      </c>
      <c r="D10" s="11" t="s">
        <v>67</v>
      </c>
      <c r="E10" s="11" t="s">
        <v>79</v>
      </c>
      <c r="F10" s="12" t="n">
        <v>3545808</v>
      </c>
      <c r="G10" s="12" t="n">
        <v>3350000</v>
      </c>
      <c r="H10" s="11" t="n">
        <v>12</v>
      </c>
      <c r="I10" s="11" t="s">
        <v>69</v>
      </c>
      <c r="J10" s="11" t="s">
        <v>112</v>
      </c>
      <c r="K10" s="11" t="s">
        <v>113</v>
      </c>
      <c r="L10" s="11" t="s">
        <v>82</v>
      </c>
      <c r="M10" s="11" t="s">
        <v>73</v>
      </c>
      <c r="N10" s="11" t="s">
        <v>93</v>
      </c>
      <c r="O10" s="11" t="s">
        <v>94</v>
      </c>
      <c r="P10" s="11" t="s">
        <v>95</v>
      </c>
      <c r="Q10" s="13" t="n">
        <f aca="false">F10*H10</f>
        <v>42549696</v>
      </c>
      <c r="R10" s="13" t="n">
        <f aca="false">G10*H10</f>
        <v>40200000</v>
      </c>
      <c r="S10" s="13" t="n">
        <f aca="false">Q10-R10</f>
        <v>2349696</v>
      </c>
      <c r="T10" s="14" t="n">
        <f aca="false">IFERROR(S10/Q10,0)</f>
        <v>0.0552223921881839</v>
      </c>
      <c r="U10" s="15" t="str">
        <f aca="false">TEXT(A10,"yyyy-mm")</f>
        <v>2022-01</v>
      </c>
    </row>
    <row r="11" customFormat="false" ht="15" hidden="false" customHeight="false" outlineLevel="0" collapsed="false">
      <c r="A11" s="10" t="n">
        <v>44564</v>
      </c>
      <c r="B11" s="11" t="s">
        <v>114</v>
      </c>
      <c r="C11" s="11" t="s">
        <v>115</v>
      </c>
      <c r="D11" s="11" t="s">
        <v>67</v>
      </c>
      <c r="E11" s="11" t="s">
        <v>98</v>
      </c>
      <c r="F11" s="12" t="n">
        <v>4200743</v>
      </c>
      <c r="G11" s="12" t="n">
        <v>4101000</v>
      </c>
      <c r="H11" s="11" t="n">
        <v>12</v>
      </c>
      <c r="I11" s="11" t="s">
        <v>86</v>
      </c>
      <c r="J11" s="11" t="s">
        <v>87</v>
      </c>
      <c r="K11" s="11" t="s">
        <v>88</v>
      </c>
      <c r="L11" s="11" t="s">
        <v>89</v>
      </c>
      <c r="M11" s="11" t="s">
        <v>90</v>
      </c>
      <c r="N11" s="11" t="s">
        <v>74</v>
      </c>
      <c r="O11" s="11" t="s">
        <v>75</v>
      </c>
      <c r="P11" s="11" t="s">
        <v>76</v>
      </c>
      <c r="Q11" s="13" t="n">
        <f aca="false">F11*H11</f>
        <v>50408916</v>
      </c>
      <c r="R11" s="13" t="n">
        <f aca="false">G11*H11</f>
        <v>49212000</v>
      </c>
      <c r="S11" s="13" t="n">
        <f aca="false">Q11-R11</f>
        <v>1196916</v>
      </c>
      <c r="T11" s="14" t="n">
        <f aca="false">IFERROR(S11/Q11,0)</f>
        <v>0.023744132883159</v>
      </c>
      <c r="U11" s="15" t="str">
        <f aca="false">TEXT(A11,"yyyy-mm")</f>
        <v>2022-01</v>
      </c>
    </row>
    <row r="12" customFormat="false" ht="15" hidden="false" customHeight="false" outlineLevel="0" collapsed="false">
      <c r="A12" s="10" t="n">
        <v>44564</v>
      </c>
      <c r="B12" s="11" t="s">
        <v>116</v>
      </c>
      <c r="C12" s="11" t="s">
        <v>117</v>
      </c>
      <c r="D12" s="11" t="s">
        <v>118</v>
      </c>
      <c r="E12" s="11" t="s">
        <v>119</v>
      </c>
      <c r="F12" s="12" t="n">
        <v>8220549</v>
      </c>
      <c r="G12" s="12" t="n">
        <v>6500000</v>
      </c>
      <c r="H12" s="11" t="n">
        <v>13</v>
      </c>
      <c r="I12" s="11" t="s">
        <v>69</v>
      </c>
      <c r="J12" s="11" t="s">
        <v>80</v>
      </c>
      <c r="K12" s="11" t="s">
        <v>81</v>
      </c>
      <c r="L12" s="11" t="s">
        <v>82</v>
      </c>
      <c r="M12" s="11" t="s">
        <v>73</v>
      </c>
      <c r="N12" s="11" t="s">
        <v>93</v>
      </c>
      <c r="O12" s="11" t="s">
        <v>94</v>
      </c>
      <c r="P12" s="11" t="s">
        <v>95</v>
      </c>
      <c r="Q12" s="13" t="n">
        <f aca="false">F12*H12</f>
        <v>106867137</v>
      </c>
      <c r="R12" s="13" t="n">
        <f aca="false">G12*H12</f>
        <v>84500000</v>
      </c>
      <c r="S12" s="13" t="n">
        <f aca="false">Q12-R12</f>
        <v>22367137</v>
      </c>
      <c r="T12" s="14" t="n">
        <f aca="false">IFERROR(S12/Q12,0)</f>
        <v>0.209298551714733</v>
      </c>
      <c r="U12" s="15" t="str">
        <f aca="false">TEXT(A12,"yyyy-mm")</f>
        <v>2022-01</v>
      </c>
    </row>
    <row r="13" customFormat="false" ht="15" hidden="false" customHeight="false" outlineLevel="0" collapsed="false">
      <c r="A13" s="10" t="n">
        <v>44564</v>
      </c>
      <c r="B13" s="11" t="s">
        <v>120</v>
      </c>
      <c r="C13" s="11" t="s">
        <v>121</v>
      </c>
      <c r="D13" s="11" t="s">
        <v>118</v>
      </c>
      <c r="E13" s="11" t="s">
        <v>122</v>
      </c>
      <c r="F13" s="12" t="n">
        <v>7687274</v>
      </c>
      <c r="G13" s="12" t="n">
        <v>6500000</v>
      </c>
      <c r="H13" s="11" t="n">
        <v>9</v>
      </c>
      <c r="I13" s="11" t="s">
        <v>69</v>
      </c>
      <c r="J13" s="11" t="s">
        <v>80</v>
      </c>
      <c r="K13" s="11" t="s">
        <v>81</v>
      </c>
      <c r="L13" s="11" t="s">
        <v>82</v>
      </c>
      <c r="M13" s="11" t="s">
        <v>73</v>
      </c>
      <c r="N13" s="11" t="s">
        <v>123</v>
      </c>
      <c r="O13" s="11" t="s">
        <v>60</v>
      </c>
      <c r="P13" s="11" t="s">
        <v>106</v>
      </c>
      <c r="Q13" s="13" t="n">
        <f aca="false">F13*H13</f>
        <v>69185466</v>
      </c>
      <c r="R13" s="13" t="n">
        <f aca="false">G13*H13</f>
        <v>58500000</v>
      </c>
      <c r="S13" s="13" t="n">
        <f aca="false">Q13-R13</f>
        <v>10685466</v>
      </c>
      <c r="T13" s="14" t="n">
        <f aca="false">IFERROR(S13/Q13,0)</f>
        <v>0.154446686822923</v>
      </c>
      <c r="U13" s="15" t="str">
        <f aca="false">TEXT(A13,"yyyy-mm")</f>
        <v>2022-01</v>
      </c>
    </row>
    <row r="14" customFormat="false" ht="15" hidden="false" customHeight="false" outlineLevel="0" collapsed="false">
      <c r="A14" s="10" t="n">
        <v>44564</v>
      </c>
      <c r="B14" s="11" t="s">
        <v>124</v>
      </c>
      <c r="C14" s="11" t="s">
        <v>125</v>
      </c>
      <c r="D14" s="11" t="s">
        <v>118</v>
      </c>
      <c r="E14" s="11" t="s">
        <v>126</v>
      </c>
      <c r="F14" s="12" t="n">
        <v>5684211</v>
      </c>
      <c r="G14" s="12" t="n">
        <v>4300000</v>
      </c>
      <c r="H14" s="11" t="n">
        <v>9</v>
      </c>
      <c r="I14" s="11" t="s">
        <v>69</v>
      </c>
      <c r="J14" s="11" t="s">
        <v>80</v>
      </c>
      <c r="K14" s="11" t="s">
        <v>81</v>
      </c>
      <c r="L14" s="11" t="s">
        <v>82</v>
      </c>
      <c r="M14" s="11" t="s">
        <v>73</v>
      </c>
      <c r="N14" s="11" t="s">
        <v>109</v>
      </c>
      <c r="O14" s="11" t="s">
        <v>75</v>
      </c>
      <c r="P14" s="11" t="s">
        <v>95</v>
      </c>
      <c r="Q14" s="13" t="n">
        <f aca="false">F14*H14</f>
        <v>51157899</v>
      </c>
      <c r="R14" s="13" t="n">
        <f aca="false">G14*H14</f>
        <v>38700000</v>
      </c>
      <c r="S14" s="13" t="n">
        <f aca="false">Q14-R14</f>
        <v>12457899</v>
      </c>
      <c r="T14" s="14" t="n">
        <f aca="false">IFERROR(S14/Q14,0)</f>
        <v>0.243518581558637</v>
      </c>
      <c r="U14" s="15" t="str">
        <f aca="false">TEXT(A14,"yyyy-mm")</f>
        <v>2022-01</v>
      </c>
    </row>
    <row r="15" customFormat="false" ht="15" hidden="false" customHeight="false" outlineLevel="0" collapsed="false">
      <c r="A15" s="10" t="n">
        <v>44565</v>
      </c>
      <c r="B15" s="11" t="s">
        <v>127</v>
      </c>
      <c r="C15" s="11" t="s">
        <v>128</v>
      </c>
      <c r="D15" s="11" t="s">
        <v>118</v>
      </c>
      <c r="E15" s="11" t="s">
        <v>119</v>
      </c>
      <c r="F15" s="12" t="n">
        <v>3370302</v>
      </c>
      <c r="G15" s="12" t="n">
        <v>2100000</v>
      </c>
      <c r="H15" s="11" t="n">
        <v>32</v>
      </c>
      <c r="I15" s="11" t="s">
        <v>86</v>
      </c>
      <c r="J15" s="11" t="s">
        <v>87</v>
      </c>
      <c r="K15" s="11" t="s">
        <v>88</v>
      </c>
      <c r="L15" s="11" t="s">
        <v>89</v>
      </c>
      <c r="M15" s="11" t="s">
        <v>90</v>
      </c>
      <c r="N15" s="11" t="s">
        <v>104</v>
      </c>
      <c r="O15" s="11" t="s">
        <v>105</v>
      </c>
      <c r="P15" s="11" t="s">
        <v>106</v>
      </c>
      <c r="Q15" s="13" t="n">
        <f aca="false">F15*H15</f>
        <v>107849664</v>
      </c>
      <c r="R15" s="13" t="n">
        <f aca="false">G15*H15</f>
        <v>67200000</v>
      </c>
      <c r="S15" s="13" t="n">
        <f aca="false">Q15-R15</f>
        <v>40649664</v>
      </c>
      <c r="T15" s="14" t="n">
        <f aca="false">IFERROR(S15/Q15,0)</f>
        <v>0.37691043710623</v>
      </c>
      <c r="U15" s="15" t="str">
        <f aca="false">TEXT(A15,"yyyy-mm")</f>
        <v>2022-01</v>
      </c>
    </row>
    <row r="16" customFormat="false" ht="15" hidden="false" customHeight="false" outlineLevel="0" collapsed="false">
      <c r="A16" s="10" t="n">
        <v>44565</v>
      </c>
      <c r="B16" s="11" t="s">
        <v>129</v>
      </c>
      <c r="C16" s="11" t="s">
        <v>130</v>
      </c>
      <c r="D16" s="11" t="s">
        <v>118</v>
      </c>
      <c r="E16" s="11" t="s">
        <v>68</v>
      </c>
      <c r="F16" s="12" t="n">
        <v>2852897</v>
      </c>
      <c r="G16" s="12" t="n">
        <v>2450000</v>
      </c>
      <c r="H16" s="11" t="n">
        <v>2</v>
      </c>
      <c r="I16" s="11" t="s">
        <v>86</v>
      </c>
      <c r="J16" s="11" t="s">
        <v>87</v>
      </c>
      <c r="K16" s="11" t="s">
        <v>88</v>
      </c>
      <c r="L16" s="11" t="s">
        <v>89</v>
      </c>
      <c r="M16" s="11" t="s">
        <v>90</v>
      </c>
      <c r="N16" s="11" t="s">
        <v>74</v>
      </c>
      <c r="O16" s="11" t="s">
        <v>75</v>
      </c>
      <c r="P16" s="11" t="s">
        <v>76</v>
      </c>
      <c r="Q16" s="13" t="n">
        <f aca="false">F16*H16</f>
        <v>5705794</v>
      </c>
      <c r="R16" s="13" t="n">
        <f aca="false">G16*H16</f>
        <v>4900000</v>
      </c>
      <c r="S16" s="13" t="n">
        <f aca="false">Q16-R16</f>
        <v>805794</v>
      </c>
      <c r="T16" s="14" t="n">
        <f aca="false">IFERROR(S16/Q16,0)</f>
        <v>0.141223815651249</v>
      </c>
      <c r="U16" s="15" t="str">
        <f aca="false">TEXT(A16,"yyyy-mm")</f>
        <v>2022-01</v>
      </c>
    </row>
    <row r="17" customFormat="false" ht="15" hidden="false" customHeight="false" outlineLevel="0" collapsed="false">
      <c r="A17" s="10" t="n">
        <v>44565</v>
      </c>
      <c r="B17" s="11" t="s">
        <v>131</v>
      </c>
      <c r="C17" s="11" t="s">
        <v>132</v>
      </c>
      <c r="D17" s="11" t="s">
        <v>118</v>
      </c>
      <c r="E17" s="11" t="s">
        <v>68</v>
      </c>
      <c r="F17" s="12" t="n">
        <v>4803603</v>
      </c>
      <c r="G17" s="12" t="n">
        <v>4121000</v>
      </c>
      <c r="H17" s="11" t="n">
        <v>5</v>
      </c>
      <c r="I17" s="11" t="s">
        <v>69</v>
      </c>
      <c r="J17" s="11" t="s">
        <v>80</v>
      </c>
      <c r="K17" s="11" t="s">
        <v>81</v>
      </c>
      <c r="L17" s="11" t="s">
        <v>82</v>
      </c>
      <c r="M17" s="11" t="s">
        <v>73</v>
      </c>
      <c r="N17" s="11" t="s">
        <v>133</v>
      </c>
      <c r="O17" s="11" t="s">
        <v>60</v>
      </c>
      <c r="P17" s="11" t="s">
        <v>76</v>
      </c>
      <c r="Q17" s="13" t="n">
        <f aca="false">F17*H17</f>
        <v>24018015</v>
      </c>
      <c r="R17" s="13" t="n">
        <f aca="false">G17*H17</f>
        <v>20605000</v>
      </c>
      <c r="S17" s="13" t="n">
        <f aca="false">Q17-R17</f>
        <v>3413015</v>
      </c>
      <c r="T17" s="14" t="n">
        <f aca="false">IFERROR(S17/Q17,0)</f>
        <v>0.142102292799801</v>
      </c>
      <c r="U17" s="15" t="str">
        <f aca="false">TEXT(A17,"yyyy-mm")</f>
        <v>2022-01</v>
      </c>
    </row>
    <row r="18" customFormat="false" ht="15" hidden="false" customHeight="false" outlineLevel="0" collapsed="false">
      <c r="A18" s="10" t="n">
        <v>44565</v>
      </c>
      <c r="B18" s="11" t="s">
        <v>134</v>
      </c>
      <c r="C18" s="11" t="s">
        <v>135</v>
      </c>
      <c r="D18" s="11" t="s">
        <v>118</v>
      </c>
      <c r="E18" s="11" t="s">
        <v>68</v>
      </c>
      <c r="F18" s="12" t="n">
        <v>5689947</v>
      </c>
      <c r="G18" s="12" t="n">
        <v>5235000</v>
      </c>
      <c r="H18" s="11" t="n">
        <v>13</v>
      </c>
      <c r="I18" s="11" t="s">
        <v>69</v>
      </c>
      <c r="J18" s="11" t="s">
        <v>70</v>
      </c>
      <c r="K18" s="11" t="s">
        <v>71</v>
      </c>
      <c r="L18" s="11" t="s">
        <v>72</v>
      </c>
      <c r="M18" s="11" t="s">
        <v>73</v>
      </c>
      <c r="N18" s="11" t="s">
        <v>133</v>
      </c>
      <c r="O18" s="11" t="s">
        <v>60</v>
      </c>
      <c r="P18" s="11" t="s">
        <v>76</v>
      </c>
      <c r="Q18" s="13" t="n">
        <f aca="false">F18*H18</f>
        <v>73969311</v>
      </c>
      <c r="R18" s="13" t="n">
        <f aca="false">G18*H18</f>
        <v>68055000</v>
      </c>
      <c r="S18" s="13" t="n">
        <f aca="false">Q18-R18</f>
        <v>5914311</v>
      </c>
      <c r="T18" s="14" t="n">
        <f aca="false">IFERROR(S18/Q18,0)</f>
        <v>0.0799562807878527</v>
      </c>
      <c r="U18" s="15" t="str">
        <f aca="false">TEXT(A18,"yyyy-mm")</f>
        <v>2022-01</v>
      </c>
    </row>
    <row r="19" customFormat="false" ht="15" hidden="false" customHeight="false" outlineLevel="0" collapsed="false">
      <c r="A19" s="10" t="n">
        <v>44565</v>
      </c>
      <c r="B19" s="11" t="s">
        <v>136</v>
      </c>
      <c r="C19" s="11" t="s">
        <v>137</v>
      </c>
      <c r="D19" s="11" t="s">
        <v>138</v>
      </c>
      <c r="E19" s="11" t="s">
        <v>139</v>
      </c>
      <c r="F19" s="12" t="n">
        <v>5171827</v>
      </c>
      <c r="G19" s="12" t="n">
        <v>4890000</v>
      </c>
      <c r="H19" s="11" t="n">
        <v>9</v>
      </c>
      <c r="I19" s="11" t="s">
        <v>69</v>
      </c>
      <c r="J19" s="11" t="s">
        <v>80</v>
      </c>
      <c r="K19" s="11" t="s">
        <v>81</v>
      </c>
      <c r="L19" s="11" t="s">
        <v>82</v>
      </c>
      <c r="M19" s="11" t="s">
        <v>73</v>
      </c>
      <c r="N19" s="11" t="s">
        <v>123</v>
      </c>
      <c r="O19" s="11" t="s">
        <v>60</v>
      </c>
      <c r="P19" s="11" t="s">
        <v>106</v>
      </c>
      <c r="Q19" s="13" t="n">
        <f aca="false">F19*H19</f>
        <v>46546443</v>
      </c>
      <c r="R19" s="13" t="n">
        <f aca="false">G19*H19</f>
        <v>44010000</v>
      </c>
      <c r="S19" s="13" t="n">
        <f aca="false">Q19-R19</f>
        <v>2536443</v>
      </c>
      <c r="T19" s="14" t="n">
        <f aca="false">IFERROR(S19/Q19,0)</f>
        <v>0.0544927353525166</v>
      </c>
      <c r="U19" s="15" t="str">
        <f aca="false">TEXT(A19,"yyyy-mm")</f>
        <v>2022-01</v>
      </c>
    </row>
    <row r="20" customFormat="false" ht="15" hidden="false" customHeight="false" outlineLevel="0" collapsed="false">
      <c r="A20" s="10" t="n">
        <v>44565</v>
      </c>
      <c r="B20" s="11" t="s">
        <v>140</v>
      </c>
      <c r="C20" s="11" t="s">
        <v>141</v>
      </c>
      <c r="D20" s="11" t="s">
        <v>138</v>
      </c>
      <c r="E20" s="11" t="s">
        <v>142</v>
      </c>
      <c r="F20" s="12" t="n">
        <v>2805124</v>
      </c>
      <c r="G20" s="12" t="n">
        <v>2178000</v>
      </c>
      <c r="H20" s="11" t="n">
        <v>25</v>
      </c>
      <c r="I20" s="11" t="s">
        <v>69</v>
      </c>
      <c r="J20" s="11" t="s">
        <v>80</v>
      </c>
      <c r="K20" s="11" t="s">
        <v>81</v>
      </c>
      <c r="L20" s="11" t="s">
        <v>82</v>
      </c>
      <c r="M20" s="11" t="s">
        <v>73</v>
      </c>
      <c r="N20" s="11" t="s">
        <v>143</v>
      </c>
      <c r="O20" s="11" t="s">
        <v>144</v>
      </c>
      <c r="P20" s="11" t="s">
        <v>101</v>
      </c>
      <c r="Q20" s="13" t="n">
        <f aca="false">F20*H20</f>
        <v>70128100</v>
      </c>
      <c r="R20" s="13" t="n">
        <f aca="false">G20*H20</f>
        <v>54450000</v>
      </c>
      <c r="S20" s="13" t="n">
        <f aca="false">Q20-R20</f>
        <v>15678100</v>
      </c>
      <c r="T20" s="14" t="n">
        <f aca="false">IFERROR(S20/Q20,0)</f>
        <v>0.22356373550688</v>
      </c>
      <c r="U20" s="15" t="str">
        <f aca="false">TEXT(A20,"yyyy-mm")</f>
        <v>2022-01</v>
      </c>
    </row>
    <row r="21" customFormat="false" ht="15" hidden="false" customHeight="false" outlineLevel="0" collapsed="false">
      <c r="A21" s="10" t="n">
        <v>44566</v>
      </c>
      <c r="B21" s="11" t="s">
        <v>145</v>
      </c>
      <c r="C21" s="11" t="s">
        <v>146</v>
      </c>
      <c r="D21" s="11" t="s">
        <v>138</v>
      </c>
      <c r="E21" s="11" t="s">
        <v>139</v>
      </c>
      <c r="F21" s="12" t="n">
        <v>2728100</v>
      </c>
      <c r="G21" s="12" t="n">
        <v>2321000</v>
      </c>
      <c r="H21" s="11" t="n">
        <v>6</v>
      </c>
      <c r="I21" s="11" t="s">
        <v>69</v>
      </c>
      <c r="J21" s="11" t="s">
        <v>70</v>
      </c>
      <c r="K21" s="11" t="s">
        <v>71</v>
      </c>
      <c r="L21" s="11" t="s">
        <v>72</v>
      </c>
      <c r="M21" s="11" t="s">
        <v>73</v>
      </c>
      <c r="N21" s="11" t="s">
        <v>143</v>
      </c>
      <c r="O21" s="11" t="s">
        <v>144</v>
      </c>
      <c r="P21" s="11" t="s">
        <v>101</v>
      </c>
      <c r="Q21" s="13" t="n">
        <f aca="false">F21*H21</f>
        <v>16368600</v>
      </c>
      <c r="R21" s="13" t="n">
        <f aca="false">G21*H21</f>
        <v>13926000</v>
      </c>
      <c r="S21" s="13" t="n">
        <f aca="false">Q21-R21</f>
        <v>2442600</v>
      </c>
      <c r="T21" s="14" t="n">
        <f aca="false">IFERROR(S21/Q21,0)</f>
        <v>0.149224735163667</v>
      </c>
      <c r="U21" s="15" t="str">
        <f aca="false">TEXT(A21,"yyyy-mm")</f>
        <v>2022-01</v>
      </c>
    </row>
    <row r="22" customFormat="false" ht="15" hidden="false" customHeight="false" outlineLevel="0" collapsed="false">
      <c r="A22" s="10" t="n">
        <v>44566</v>
      </c>
      <c r="B22" s="11" t="s">
        <v>147</v>
      </c>
      <c r="C22" s="11" t="s">
        <v>148</v>
      </c>
      <c r="D22" s="11" t="s">
        <v>138</v>
      </c>
      <c r="E22" s="11" t="s">
        <v>122</v>
      </c>
      <c r="F22" s="12" t="n">
        <v>4941716</v>
      </c>
      <c r="G22" s="12" t="n">
        <v>4456000</v>
      </c>
      <c r="H22" s="11" t="n">
        <v>30</v>
      </c>
      <c r="I22" s="11" t="s">
        <v>69</v>
      </c>
      <c r="J22" s="11" t="s">
        <v>80</v>
      </c>
      <c r="K22" s="11" t="s">
        <v>81</v>
      </c>
      <c r="L22" s="11" t="s">
        <v>82</v>
      </c>
      <c r="M22" s="11" t="s">
        <v>73</v>
      </c>
      <c r="N22" s="11" t="s">
        <v>149</v>
      </c>
      <c r="O22" s="11" t="s">
        <v>150</v>
      </c>
      <c r="P22" s="11" t="s">
        <v>151</v>
      </c>
      <c r="Q22" s="13" t="n">
        <f aca="false">F22*H22</f>
        <v>148251480</v>
      </c>
      <c r="R22" s="13" t="n">
        <f aca="false">G22*H22</f>
        <v>133680000</v>
      </c>
      <c r="S22" s="13" t="n">
        <f aca="false">Q22-R22</f>
        <v>14571480</v>
      </c>
      <c r="T22" s="14" t="n">
        <f aca="false">IFERROR(S22/Q22,0)</f>
        <v>0.0982889344511097</v>
      </c>
      <c r="U22" s="15" t="str">
        <f aca="false">TEXT(A22,"yyyy-mm")</f>
        <v>2022-01</v>
      </c>
    </row>
    <row r="23" customFormat="false" ht="15" hidden="false" customHeight="false" outlineLevel="0" collapsed="false">
      <c r="A23" s="10" t="n">
        <v>44567</v>
      </c>
      <c r="B23" s="11" t="s">
        <v>152</v>
      </c>
      <c r="C23" s="11" t="s">
        <v>66</v>
      </c>
      <c r="D23" s="11" t="s">
        <v>67</v>
      </c>
      <c r="E23" s="11" t="s">
        <v>68</v>
      </c>
      <c r="F23" s="12" t="n">
        <v>3048952</v>
      </c>
      <c r="G23" s="12" t="n">
        <v>2560000</v>
      </c>
      <c r="H23" s="11" t="n">
        <v>6</v>
      </c>
      <c r="I23" s="11" t="s">
        <v>69</v>
      </c>
      <c r="J23" s="11" t="s">
        <v>80</v>
      </c>
      <c r="K23" s="11" t="s">
        <v>81</v>
      </c>
      <c r="L23" s="11" t="s">
        <v>82</v>
      </c>
      <c r="M23" s="11" t="s">
        <v>73</v>
      </c>
      <c r="N23" s="11" t="s">
        <v>99</v>
      </c>
      <c r="O23" s="11" t="s">
        <v>100</v>
      </c>
      <c r="P23" s="11" t="s">
        <v>101</v>
      </c>
      <c r="Q23" s="13" t="n">
        <f aca="false">F23*H23</f>
        <v>18293712</v>
      </c>
      <c r="R23" s="13" t="n">
        <f aca="false">G23*H23</f>
        <v>15360000</v>
      </c>
      <c r="S23" s="13" t="n">
        <f aca="false">Q23-R23</f>
        <v>2933712</v>
      </c>
      <c r="T23" s="14" t="n">
        <f aca="false">IFERROR(S23/Q23,0)</f>
        <v>0.160367234380863</v>
      </c>
      <c r="U23" s="15" t="str">
        <f aca="false">TEXT(A23,"yyyy-mm")</f>
        <v>2022-01</v>
      </c>
    </row>
    <row r="24" customFormat="false" ht="15" hidden="false" customHeight="false" outlineLevel="0" collapsed="false">
      <c r="A24" s="10" t="n">
        <v>44567</v>
      </c>
      <c r="B24" s="11" t="s">
        <v>153</v>
      </c>
      <c r="C24" s="11" t="s">
        <v>78</v>
      </c>
      <c r="D24" s="11" t="s">
        <v>67</v>
      </c>
      <c r="E24" s="11" t="s">
        <v>79</v>
      </c>
      <c r="F24" s="12" t="n">
        <v>1870000</v>
      </c>
      <c r="G24" s="12" t="n">
        <v>1650000</v>
      </c>
      <c r="H24" s="11" t="n">
        <v>6</v>
      </c>
      <c r="I24" s="11" t="s">
        <v>69</v>
      </c>
      <c r="J24" s="11" t="s">
        <v>80</v>
      </c>
      <c r="K24" s="11" t="s">
        <v>81</v>
      </c>
      <c r="L24" s="11" t="s">
        <v>82</v>
      </c>
      <c r="M24" s="11" t="s">
        <v>73</v>
      </c>
      <c r="N24" s="11" t="s">
        <v>123</v>
      </c>
      <c r="O24" s="11" t="s">
        <v>60</v>
      </c>
      <c r="P24" s="11" t="s">
        <v>106</v>
      </c>
      <c r="Q24" s="13" t="n">
        <f aca="false">F24*H24</f>
        <v>11220000</v>
      </c>
      <c r="R24" s="13" t="n">
        <f aca="false">G24*H24</f>
        <v>9900000</v>
      </c>
      <c r="S24" s="13" t="n">
        <f aca="false">Q24-R24</f>
        <v>1320000</v>
      </c>
      <c r="T24" s="14" t="n">
        <f aca="false">IFERROR(S24/Q24,0)</f>
        <v>0.117647058823529</v>
      </c>
      <c r="U24" s="15" t="str">
        <f aca="false">TEXT(A24,"yyyy-mm")</f>
        <v>2022-01</v>
      </c>
    </row>
    <row r="25" customFormat="false" ht="15" hidden="false" customHeight="false" outlineLevel="0" collapsed="false">
      <c r="A25" s="10" t="n">
        <v>44567</v>
      </c>
      <c r="B25" s="11" t="s">
        <v>154</v>
      </c>
      <c r="C25" s="11" t="s">
        <v>84</v>
      </c>
      <c r="D25" s="11" t="s">
        <v>67</v>
      </c>
      <c r="E25" s="11" t="s">
        <v>85</v>
      </c>
      <c r="F25" s="12" t="n">
        <v>2600000</v>
      </c>
      <c r="G25" s="12" t="n">
        <v>2300000</v>
      </c>
      <c r="H25" s="11" t="n">
        <v>19</v>
      </c>
      <c r="I25" s="11" t="s">
        <v>69</v>
      </c>
      <c r="J25" s="11" t="s">
        <v>80</v>
      </c>
      <c r="K25" s="11" t="s">
        <v>81</v>
      </c>
      <c r="L25" s="11" t="s">
        <v>82</v>
      </c>
      <c r="M25" s="11" t="s">
        <v>73</v>
      </c>
      <c r="N25" s="11" t="s">
        <v>133</v>
      </c>
      <c r="O25" s="11" t="s">
        <v>60</v>
      </c>
      <c r="P25" s="11" t="s">
        <v>76</v>
      </c>
      <c r="Q25" s="13" t="n">
        <f aca="false">F25*H25</f>
        <v>49400000</v>
      </c>
      <c r="R25" s="13" t="n">
        <f aca="false">G25*H25</f>
        <v>43700000</v>
      </c>
      <c r="S25" s="13" t="n">
        <f aca="false">Q25-R25</f>
        <v>5700000</v>
      </c>
      <c r="T25" s="14" t="n">
        <f aca="false">IFERROR(S25/Q25,0)</f>
        <v>0.115384615384615</v>
      </c>
      <c r="U25" s="15" t="str">
        <f aca="false">TEXT(A25,"yyyy-mm")</f>
        <v>2022-01</v>
      </c>
    </row>
    <row r="26" customFormat="false" ht="15" hidden="false" customHeight="false" outlineLevel="0" collapsed="false">
      <c r="A26" s="10" t="n">
        <v>44567</v>
      </c>
      <c r="B26" s="11" t="s">
        <v>155</v>
      </c>
      <c r="C26" s="11" t="s">
        <v>92</v>
      </c>
      <c r="D26" s="11" t="s">
        <v>67</v>
      </c>
      <c r="E26" s="11" t="s">
        <v>79</v>
      </c>
      <c r="F26" s="12" t="n">
        <v>3577480</v>
      </c>
      <c r="G26" s="12" t="n">
        <v>3100000</v>
      </c>
      <c r="H26" s="11" t="n">
        <v>6</v>
      </c>
      <c r="I26" s="11" t="s">
        <v>69</v>
      </c>
      <c r="J26" s="11" t="s">
        <v>80</v>
      </c>
      <c r="K26" s="11" t="s">
        <v>81</v>
      </c>
      <c r="L26" s="11" t="s">
        <v>82</v>
      </c>
      <c r="M26" s="11" t="s">
        <v>73</v>
      </c>
      <c r="N26" s="11" t="s">
        <v>74</v>
      </c>
      <c r="O26" s="11" t="s">
        <v>75</v>
      </c>
      <c r="P26" s="11" t="s">
        <v>76</v>
      </c>
      <c r="Q26" s="13" t="n">
        <f aca="false">F26*H26</f>
        <v>21464880</v>
      </c>
      <c r="R26" s="13" t="n">
        <f aca="false">G26*H26</f>
        <v>18600000</v>
      </c>
      <c r="S26" s="13" t="n">
        <f aca="false">Q26-R26</f>
        <v>2864880</v>
      </c>
      <c r="T26" s="14" t="n">
        <f aca="false">IFERROR(S26/Q26,0)</f>
        <v>0.133468251394837</v>
      </c>
      <c r="U26" s="15" t="str">
        <f aca="false">TEXT(A26,"yyyy-mm")</f>
        <v>2022-01</v>
      </c>
    </row>
    <row r="27" customFormat="false" ht="15" hidden="false" customHeight="false" outlineLevel="0" collapsed="false">
      <c r="A27" s="10" t="n">
        <v>44568</v>
      </c>
      <c r="B27" s="11" t="s">
        <v>156</v>
      </c>
      <c r="C27" s="11" t="s">
        <v>97</v>
      </c>
      <c r="D27" s="11" t="s">
        <v>67</v>
      </c>
      <c r="E27" s="11" t="s">
        <v>98</v>
      </c>
      <c r="F27" s="12" t="n">
        <v>4969724</v>
      </c>
      <c r="G27" s="12" t="n">
        <v>4121560</v>
      </c>
      <c r="H27" s="11" t="n">
        <v>11</v>
      </c>
      <c r="I27" s="11" t="s">
        <v>69</v>
      </c>
      <c r="J27" s="11" t="s">
        <v>112</v>
      </c>
      <c r="K27" s="11" t="s">
        <v>113</v>
      </c>
      <c r="L27" s="11" t="s">
        <v>82</v>
      </c>
      <c r="M27" s="11" t="s">
        <v>157</v>
      </c>
      <c r="N27" s="11" t="s">
        <v>133</v>
      </c>
      <c r="O27" s="11" t="s">
        <v>60</v>
      </c>
      <c r="P27" s="11" t="s">
        <v>76</v>
      </c>
      <c r="Q27" s="13" t="n">
        <f aca="false">F27*H27</f>
        <v>54666964</v>
      </c>
      <c r="R27" s="13" t="n">
        <f aca="false">G27*H27</f>
        <v>45337160</v>
      </c>
      <c r="S27" s="13" t="n">
        <f aca="false">Q27-R27</f>
        <v>9329804</v>
      </c>
      <c r="T27" s="14" t="n">
        <f aca="false">IFERROR(S27/Q27,0)</f>
        <v>0.170666218083741</v>
      </c>
      <c r="U27" s="15" t="str">
        <f aca="false">TEXT(A27,"yyyy-mm")</f>
        <v>2022-01</v>
      </c>
    </row>
    <row r="28" customFormat="false" ht="15" hidden="false" customHeight="false" outlineLevel="0" collapsed="false">
      <c r="A28" s="10" t="n">
        <v>44568</v>
      </c>
      <c r="B28" s="11" t="s">
        <v>158</v>
      </c>
      <c r="C28" s="11" t="s">
        <v>103</v>
      </c>
      <c r="D28" s="11" t="s">
        <v>67</v>
      </c>
      <c r="E28" s="11" t="s">
        <v>68</v>
      </c>
      <c r="F28" s="12" t="n">
        <v>3319925</v>
      </c>
      <c r="G28" s="12" t="n">
        <v>2800000</v>
      </c>
      <c r="H28" s="11" t="n">
        <v>3</v>
      </c>
      <c r="I28" s="11" t="s">
        <v>69</v>
      </c>
      <c r="J28" s="11" t="s">
        <v>112</v>
      </c>
      <c r="K28" s="11" t="s">
        <v>113</v>
      </c>
      <c r="L28" s="11" t="s">
        <v>82</v>
      </c>
      <c r="M28" s="11" t="s">
        <v>157</v>
      </c>
      <c r="N28" s="11" t="s">
        <v>104</v>
      </c>
      <c r="O28" s="11" t="s">
        <v>105</v>
      </c>
      <c r="P28" s="11" t="s">
        <v>106</v>
      </c>
      <c r="Q28" s="13" t="n">
        <f aca="false">F28*H28</f>
        <v>9959775</v>
      </c>
      <c r="R28" s="13" t="n">
        <f aca="false">G28*H28</f>
        <v>8400000</v>
      </c>
      <c r="S28" s="13" t="n">
        <f aca="false">Q28-R28</f>
        <v>1559775</v>
      </c>
      <c r="T28" s="14" t="n">
        <f aca="false">IFERROR(S28/Q28,0)</f>
        <v>0.15660745348163</v>
      </c>
      <c r="U28" s="15" t="str">
        <f aca="false">TEXT(A28,"yyyy-mm")</f>
        <v>2022-01</v>
      </c>
    </row>
    <row r="29" customFormat="false" ht="15" hidden="false" customHeight="false" outlineLevel="0" collapsed="false">
      <c r="A29" s="10" t="n">
        <v>44568</v>
      </c>
      <c r="B29" s="11" t="s">
        <v>159</v>
      </c>
      <c r="C29" s="11" t="s">
        <v>108</v>
      </c>
      <c r="D29" s="11" t="s">
        <v>67</v>
      </c>
      <c r="E29" s="11" t="s">
        <v>68</v>
      </c>
      <c r="F29" s="12" t="n">
        <v>4757880</v>
      </c>
      <c r="G29" s="12" t="n">
        <v>3450000</v>
      </c>
      <c r="H29" s="11" t="n">
        <v>15</v>
      </c>
      <c r="I29" s="11" t="s">
        <v>86</v>
      </c>
      <c r="J29" s="11" t="s">
        <v>87</v>
      </c>
      <c r="K29" s="11" t="s">
        <v>88</v>
      </c>
      <c r="L29" s="11" t="s">
        <v>89</v>
      </c>
      <c r="M29" s="11" t="s">
        <v>90</v>
      </c>
      <c r="N29" s="11" t="s">
        <v>149</v>
      </c>
      <c r="O29" s="11" t="s">
        <v>150</v>
      </c>
      <c r="P29" s="11" t="s">
        <v>151</v>
      </c>
      <c r="Q29" s="13" t="n">
        <f aca="false">F29*H29</f>
        <v>71368200</v>
      </c>
      <c r="R29" s="13" t="n">
        <f aca="false">G29*H29</f>
        <v>51750000</v>
      </c>
      <c r="S29" s="13" t="n">
        <f aca="false">Q29-R29</f>
        <v>19618200</v>
      </c>
      <c r="T29" s="14" t="n">
        <f aca="false">IFERROR(S29/Q29,0)</f>
        <v>0.274887134606169</v>
      </c>
      <c r="U29" s="15" t="str">
        <f aca="false">TEXT(A29,"yyyy-mm")</f>
        <v>2022-01</v>
      </c>
    </row>
    <row r="30" customFormat="false" ht="15" hidden="false" customHeight="false" outlineLevel="0" collapsed="false">
      <c r="A30" s="10" t="n">
        <v>44568</v>
      </c>
      <c r="B30" s="11" t="s">
        <v>160</v>
      </c>
      <c r="C30" s="11" t="s">
        <v>111</v>
      </c>
      <c r="D30" s="11" t="s">
        <v>67</v>
      </c>
      <c r="E30" s="11" t="s">
        <v>79</v>
      </c>
      <c r="F30" s="12" t="n">
        <v>3545808</v>
      </c>
      <c r="G30" s="12" t="n">
        <v>3350000</v>
      </c>
      <c r="H30" s="11" t="n">
        <v>11</v>
      </c>
      <c r="I30" s="11" t="s">
        <v>69</v>
      </c>
      <c r="J30" s="11" t="s">
        <v>112</v>
      </c>
      <c r="K30" s="11" t="s">
        <v>113</v>
      </c>
      <c r="L30" s="11" t="s">
        <v>82</v>
      </c>
      <c r="M30" s="11" t="s">
        <v>157</v>
      </c>
      <c r="N30" s="11" t="s">
        <v>93</v>
      </c>
      <c r="O30" s="11" t="s">
        <v>94</v>
      </c>
      <c r="P30" s="11" t="s">
        <v>95</v>
      </c>
      <c r="Q30" s="13" t="n">
        <f aca="false">F30*H30</f>
        <v>39003888</v>
      </c>
      <c r="R30" s="13" t="n">
        <f aca="false">G30*H30</f>
        <v>36850000</v>
      </c>
      <c r="S30" s="13" t="n">
        <f aca="false">Q30-R30</f>
        <v>2153888</v>
      </c>
      <c r="T30" s="14" t="n">
        <f aca="false">IFERROR(S30/Q30,0)</f>
        <v>0.0552223921881839</v>
      </c>
      <c r="U30" s="15" t="str">
        <f aca="false">TEXT(A30,"yyyy-mm")</f>
        <v>2022-01</v>
      </c>
    </row>
    <row r="31" customFormat="false" ht="15" hidden="false" customHeight="false" outlineLevel="0" collapsed="false">
      <c r="A31" s="10" t="n">
        <v>44568</v>
      </c>
      <c r="B31" s="11" t="s">
        <v>161</v>
      </c>
      <c r="C31" s="11" t="s">
        <v>115</v>
      </c>
      <c r="D31" s="11" t="s">
        <v>67</v>
      </c>
      <c r="E31" s="11" t="s">
        <v>98</v>
      </c>
      <c r="F31" s="12" t="n">
        <v>4200743</v>
      </c>
      <c r="G31" s="12" t="n">
        <v>4101000</v>
      </c>
      <c r="H31" s="11" t="n">
        <v>3</v>
      </c>
      <c r="I31" s="11" t="s">
        <v>69</v>
      </c>
      <c r="J31" s="11" t="s">
        <v>70</v>
      </c>
      <c r="K31" s="11" t="s">
        <v>71</v>
      </c>
      <c r="L31" s="11" t="s">
        <v>72</v>
      </c>
      <c r="M31" s="11" t="s">
        <v>73</v>
      </c>
      <c r="N31" s="11" t="s">
        <v>149</v>
      </c>
      <c r="O31" s="11" t="s">
        <v>150</v>
      </c>
      <c r="P31" s="11" t="s">
        <v>151</v>
      </c>
      <c r="Q31" s="13" t="n">
        <f aca="false">F31*H31</f>
        <v>12602229</v>
      </c>
      <c r="R31" s="13" t="n">
        <f aca="false">G31*H31</f>
        <v>12303000</v>
      </c>
      <c r="S31" s="13" t="n">
        <f aca="false">Q31-R31</f>
        <v>299229</v>
      </c>
      <c r="T31" s="14" t="n">
        <f aca="false">IFERROR(S31/Q31,0)</f>
        <v>0.023744132883159</v>
      </c>
      <c r="U31" s="15" t="str">
        <f aca="false">TEXT(A31,"yyyy-mm")</f>
        <v>2022-01</v>
      </c>
    </row>
    <row r="32" customFormat="false" ht="15" hidden="false" customHeight="false" outlineLevel="0" collapsed="false">
      <c r="A32" s="10" t="n">
        <v>44569</v>
      </c>
      <c r="B32" s="11" t="s">
        <v>162</v>
      </c>
      <c r="C32" s="11" t="s">
        <v>117</v>
      </c>
      <c r="D32" s="11" t="s">
        <v>118</v>
      </c>
      <c r="E32" s="11" t="s">
        <v>119</v>
      </c>
      <c r="F32" s="12" t="n">
        <v>8220549</v>
      </c>
      <c r="G32" s="12" t="n">
        <v>6500000</v>
      </c>
      <c r="H32" s="11" t="n">
        <v>21</v>
      </c>
      <c r="I32" s="11" t="s">
        <v>69</v>
      </c>
      <c r="J32" s="11" t="s">
        <v>112</v>
      </c>
      <c r="K32" s="11" t="s">
        <v>113</v>
      </c>
      <c r="L32" s="11" t="s">
        <v>82</v>
      </c>
      <c r="M32" s="11" t="s">
        <v>157</v>
      </c>
      <c r="N32" s="11" t="s">
        <v>104</v>
      </c>
      <c r="O32" s="11" t="s">
        <v>105</v>
      </c>
      <c r="P32" s="11" t="s">
        <v>106</v>
      </c>
      <c r="Q32" s="13" t="n">
        <f aca="false">F32*H32</f>
        <v>172631529</v>
      </c>
      <c r="R32" s="13" t="n">
        <f aca="false">G32*H32</f>
        <v>136500000</v>
      </c>
      <c r="S32" s="13" t="n">
        <f aca="false">Q32-R32</f>
        <v>36131529</v>
      </c>
      <c r="T32" s="14" t="n">
        <f aca="false">IFERROR(S32/Q32,0)</f>
        <v>0.209298551714733</v>
      </c>
      <c r="U32" s="15" t="str">
        <f aca="false">TEXT(A32,"yyyy-mm")</f>
        <v>2022-01</v>
      </c>
    </row>
    <row r="33" customFormat="false" ht="15" hidden="false" customHeight="false" outlineLevel="0" collapsed="false">
      <c r="A33" s="10" t="n">
        <v>44569</v>
      </c>
      <c r="B33" s="11" t="s">
        <v>163</v>
      </c>
      <c r="C33" s="11" t="s">
        <v>121</v>
      </c>
      <c r="D33" s="11" t="s">
        <v>118</v>
      </c>
      <c r="E33" s="11" t="s">
        <v>122</v>
      </c>
      <c r="F33" s="12" t="n">
        <v>7687274</v>
      </c>
      <c r="G33" s="12" t="n">
        <v>6500000</v>
      </c>
      <c r="H33" s="11" t="n">
        <v>20</v>
      </c>
      <c r="I33" s="11" t="s">
        <v>69</v>
      </c>
      <c r="J33" s="11" t="s">
        <v>80</v>
      </c>
      <c r="K33" s="11" t="s">
        <v>81</v>
      </c>
      <c r="L33" s="11" t="s">
        <v>82</v>
      </c>
      <c r="M33" s="11" t="s">
        <v>73</v>
      </c>
      <c r="N33" s="11" t="s">
        <v>109</v>
      </c>
      <c r="O33" s="11" t="s">
        <v>75</v>
      </c>
      <c r="P33" s="11" t="s">
        <v>95</v>
      </c>
      <c r="Q33" s="13" t="n">
        <f aca="false">F33*H33</f>
        <v>153745480</v>
      </c>
      <c r="R33" s="13" t="n">
        <f aca="false">G33*H33</f>
        <v>130000000</v>
      </c>
      <c r="S33" s="13" t="n">
        <f aca="false">Q33-R33</f>
        <v>23745480</v>
      </c>
      <c r="T33" s="14" t="n">
        <f aca="false">IFERROR(S33/Q33,0)</f>
        <v>0.154446686822923</v>
      </c>
      <c r="U33" s="15" t="str">
        <f aca="false">TEXT(A33,"yyyy-mm")</f>
        <v>2022-01</v>
      </c>
    </row>
    <row r="34" customFormat="false" ht="15" hidden="false" customHeight="false" outlineLevel="0" collapsed="false">
      <c r="A34" s="10" t="n">
        <v>44569</v>
      </c>
      <c r="B34" s="11" t="s">
        <v>164</v>
      </c>
      <c r="C34" s="11" t="s">
        <v>125</v>
      </c>
      <c r="D34" s="11" t="s">
        <v>118</v>
      </c>
      <c r="E34" s="11" t="s">
        <v>126</v>
      </c>
      <c r="F34" s="12" t="n">
        <v>5684211</v>
      </c>
      <c r="G34" s="12" t="n">
        <v>4300000</v>
      </c>
      <c r="H34" s="11" t="n">
        <v>1</v>
      </c>
      <c r="I34" s="11" t="s">
        <v>69</v>
      </c>
      <c r="J34" s="11" t="s">
        <v>70</v>
      </c>
      <c r="K34" s="11" t="s">
        <v>71</v>
      </c>
      <c r="L34" s="11" t="s">
        <v>72</v>
      </c>
      <c r="M34" s="11" t="s">
        <v>73</v>
      </c>
      <c r="N34" s="11" t="s">
        <v>99</v>
      </c>
      <c r="O34" s="11" t="s">
        <v>100</v>
      </c>
      <c r="P34" s="11" t="s">
        <v>101</v>
      </c>
      <c r="Q34" s="13" t="n">
        <f aca="false">F34*H34</f>
        <v>5684211</v>
      </c>
      <c r="R34" s="13" t="n">
        <f aca="false">G34*H34</f>
        <v>4300000</v>
      </c>
      <c r="S34" s="13" t="n">
        <f aca="false">Q34-R34</f>
        <v>1384211</v>
      </c>
      <c r="T34" s="14" t="n">
        <f aca="false">IFERROR(S34/Q34,0)</f>
        <v>0.243518581558637</v>
      </c>
      <c r="U34" s="15" t="str">
        <f aca="false">TEXT(A34,"yyyy-mm")</f>
        <v>2022-01</v>
      </c>
    </row>
    <row r="35" customFormat="false" ht="15" hidden="false" customHeight="false" outlineLevel="0" collapsed="false">
      <c r="A35" s="10" t="n">
        <v>44569</v>
      </c>
      <c r="B35" s="11" t="s">
        <v>165</v>
      </c>
      <c r="C35" s="11" t="s">
        <v>128</v>
      </c>
      <c r="D35" s="11" t="s">
        <v>118</v>
      </c>
      <c r="E35" s="11" t="s">
        <v>119</v>
      </c>
      <c r="F35" s="12" t="n">
        <v>3370302</v>
      </c>
      <c r="G35" s="12" t="n">
        <v>2100000</v>
      </c>
      <c r="H35" s="11" t="n">
        <v>17</v>
      </c>
      <c r="I35" s="11" t="s">
        <v>86</v>
      </c>
      <c r="J35" s="11" t="s">
        <v>87</v>
      </c>
      <c r="K35" s="11" t="s">
        <v>88</v>
      </c>
      <c r="L35" s="11" t="s">
        <v>89</v>
      </c>
      <c r="M35" s="11" t="s">
        <v>90</v>
      </c>
      <c r="N35" s="11" t="s">
        <v>74</v>
      </c>
      <c r="O35" s="11" t="s">
        <v>75</v>
      </c>
      <c r="P35" s="11" t="s">
        <v>76</v>
      </c>
      <c r="Q35" s="13" t="n">
        <f aca="false">F35*H35</f>
        <v>57295134</v>
      </c>
      <c r="R35" s="13" t="n">
        <f aca="false">G35*H35</f>
        <v>35700000</v>
      </c>
      <c r="S35" s="13" t="n">
        <f aca="false">Q35-R35</f>
        <v>21595134</v>
      </c>
      <c r="T35" s="14" t="n">
        <f aca="false">IFERROR(S35/Q35,0)</f>
        <v>0.37691043710623</v>
      </c>
      <c r="U35" s="15" t="str">
        <f aca="false">TEXT(A35,"yyyy-mm")</f>
        <v>2022-01</v>
      </c>
    </row>
    <row r="36" customFormat="false" ht="15" hidden="false" customHeight="false" outlineLevel="0" collapsed="false">
      <c r="A36" s="10" t="n">
        <v>44569</v>
      </c>
      <c r="B36" s="11" t="s">
        <v>166</v>
      </c>
      <c r="C36" s="11" t="s">
        <v>130</v>
      </c>
      <c r="D36" s="11" t="s">
        <v>118</v>
      </c>
      <c r="E36" s="11" t="s">
        <v>68</v>
      </c>
      <c r="F36" s="12" t="n">
        <v>2852897</v>
      </c>
      <c r="G36" s="12" t="n">
        <v>2450000</v>
      </c>
      <c r="H36" s="11" t="n">
        <v>13</v>
      </c>
      <c r="I36" s="11" t="s">
        <v>69</v>
      </c>
      <c r="J36" s="11" t="s">
        <v>80</v>
      </c>
      <c r="K36" s="11" t="s">
        <v>81</v>
      </c>
      <c r="L36" s="11" t="s">
        <v>82</v>
      </c>
      <c r="M36" s="11" t="s">
        <v>73</v>
      </c>
      <c r="N36" s="11" t="s">
        <v>133</v>
      </c>
      <c r="O36" s="11" t="s">
        <v>60</v>
      </c>
      <c r="P36" s="11" t="s">
        <v>76</v>
      </c>
      <c r="Q36" s="13" t="n">
        <f aca="false">F36*H36</f>
        <v>37087661</v>
      </c>
      <c r="R36" s="13" t="n">
        <f aca="false">G36*H36</f>
        <v>31850000</v>
      </c>
      <c r="S36" s="13" t="n">
        <f aca="false">Q36-R36</f>
        <v>5237661</v>
      </c>
      <c r="T36" s="14" t="n">
        <f aca="false">IFERROR(S36/Q36,0)</f>
        <v>0.141223815651249</v>
      </c>
      <c r="U36" s="15" t="str">
        <f aca="false">TEXT(A36,"yyyy-mm")</f>
        <v>2022-01</v>
      </c>
    </row>
    <row r="37" customFormat="false" ht="15" hidden="false" customHeight="false" outlineLevel="0" collapsed="false">
      <c r="A37" s="10" t="n">
        <v>44571</v>
      </c>
      <c r="B37" s="11" t="s">
        <v>167</v>
      </c>
      <c r="C37" s="11" t="s">
        <v>132</v>
      </c>
      <c r="D37" s="11" t="s">
        <v>118</v>
      </c>
      <c r="E37" s="11" t="s">
        <v>68</v>
      </c>
      <c r="F37" s="12" t="n">
        <v>4803603</v>
      </c>
      <c r="G37" s="12" t="n">
        <v>4121000</v>
      </c>
      <c r="H37" s="11" t="n">
        <v>5</v>
      </c>
      <c r="I37" s="11" t="s">
        <v>69</v>
      </c>
      <c r="J37" s="11" t="s">
        <v>80</v>
      </c>
      <c r="K37" s="11" t="s">
        <v>81</v>
      </c>
      <c r="L37" s="11" t="s">
        <v>82</v>
      </c>
      <c r="M37" s="11" t="s">
        <v>73</v>
      </c>
      <c r="N37" s="11" t="s">
        <v>149</v>
      </c>
      <c r="O37" s="11" t="s">
        <v>150</v>
      </c>
      <c r="P37" s="11" t="s">
        <v>151</v>
      </c>
      <c r="Q37" s="13" t="n">
        <f aca="false">F37*H37</f>
        <v>24018015</v>
      </c>
      <c r="R37" s="13" t="n">
        <f aca="false">G37*H37</f>
        <v>20605000</v>
      </c>
      <c r="S37" s="13" t="n">
        <f aca="false">Q37-R37</f>
        <v>3413015</v>
      </c>
      <c r="T37" s="14" t="n">
        <f aca="false">IFERROR(S37/Q37,0)</f>
        <v>0.142102292799801</v>
      </c>
      <c r="U37" s="15" t="str">
        <f aca="false">TEXT(A37,"yyyy-mm")</f>
        <v>2022-01</v>
      </c>
    </row>
    <row r="38" customFormat="false" ht="15" hidden="false" customHeight="false" outlineLevel="0" collapsed="false">
      <c r="A38" s="10" t="n">
        <v>44571</v>
      </c>
      <c r="B38" s="11" t="s">
        <v>168</v>
      </c>
      <c r="C38" s="11" t="s">
        <v>135</v>
      </c>
      <c r="D38" s="11" t="s">
        <v>118</v>
      </c>
      <c r="E38" s="11" t="s">
        <v>68</v>
      </c>
      <c r="F38" s="12" t="n">
        <v>5689947</v>
      </c>
      <c r="G38" s="12" t="n">
        <v>5235000</v>
      </c>
      <c r="H38" s="11" t="n">
        <v>21</v>
      </c>
      <c r="I38" s="11" t="s">
        <v>69</v>
      </c>
      <c r="J38" s="11" t="s">
        <v>112</v>
      </c>
      <c r="K38" s="11" t="s">
        <v>113</v>
      </c>
      <c r="L38" s="11" t="s">
        <v>82</v>
      </c>
      <c r="M38" s="11" t="s">
        <v>157</v>
      </c>
      <c r="N38" s="11" t="s">
        <v>74</v>
      </c>
      <c r="O38" s="11" t="s">
        <v>75</v>
      </c>
      <c r="P38" s="11" t="s">
        <v>76</v>
      </c>
      <c r="Q38" s="13" t="n">
        <f aca="false">F38*H38</f>
        <v>119488887</v>
      </c>
      <c r="R38" s="13" t="n">
        <f aca="false">G38*H38</f>
        <v>109935000</v>
      </c>
      <c r="S38" s="13" t="n">
        <f aca="false">Q38-R38</f>
        <v>9553887</v>
      </c>
      <c r="T38" s="14" t="n">
        <f aca="false">IFERROR(S38/Q38,0)</f>
        <v>0.0799562807878527</v>
      </c>
      <c r="U38" s="15" t="str">
        <f aca="false">TEXT(A38,"yyyy-mm")</f>
        <v>2022-01</v>
      </c>
    </row>
    <row r="39" customFormat="false" ht="15" hidden="false" customHeight="false" outlineLevel="0" collapsed="false">
      <c r="A39" s="10" t="n">
        <v>44571</v>
      </c>
      <c r="B39" s="11" t="s">
        <v>169</v>
      </c>
      <c r="C39" s="11" t="s">
        <v>137</v>
      </c>
      <c r="D39" s="11" t="s">
        <v>138</v>
      </c>
      <c r="E39" s="11" t="s">
        <v>139</v>
      </c>
      <c r="F39" s="12" t="n">
        <v>5171827</v>
      </c>
      <c r="G39" s="12" t="n">
        <v>4890000</v>
      </c>
      <c r="H39" s="11" t="n">
        <v>16</v>
      </c>
      <c r="I39" s="11" t="s">
        <v>69</v>
      </c>
      <c r="J39" s="11" t="s">
        <v>80</v>
      </c>
      <c r="K39" s="11" t="s">
        <v>81</v>
      </c>
      <c r="L39" s="11" t="s">
        <v>82</v>
      </c>
      <c r="M39" s="11" t="s">
        <v>73</v>
      </c>
      <c r="N39" s="11" t="s">
        <v>93</v>
      </c>
      <c r="O39" s="11" t="s">
        <v>94</v>
      </c>
      <c r="P39" s="11" t="s">
        <v>95</v>
      </c>
      <c r="Q39" s="13" t="n">
        <f aca="false">F39*H39</f>
        <v>82749232</v>
      </c>
      <c r="R39" s="13" t="n">
        <f aca="false">G39*H39</f>
        <v>78240000</v>
      </c>
      <c r="S39" s="13" t="n">
        <f aca="false">Q39-R39</f>
        <v>4509232</v>
      </c>
      <c r="T39" s="14" t="n">
        <f aca="false">IFERROR(S39/Q39,0)</f>
        <v>0.0544927353525166</v>
      </c>
      <c r="U39" s="15" t="str">
        <f aca="false">TEXT(A39,"yyyy-mm")</f>
        <v>2022-01</v>
      </c>
    </row>
    <row r="40" customFormat="false" ht="15" hidden="false" customHeight="false" outlineLevel="0" collapsed="false">
      <c r="A40" s="10" t="n">
        <v>44572</v>
      </c>
      <c r="B40" s="11" t="s">
        <v>170</v>
      </c>
      <c r="C40" s="11" t="s">
        <v>141</v>
      </c>
      <c r="D40" s="11" t="s">
        <v>138</v>
      </c>
      <c r="E40" s="11" t="s">
        <v>142</v>
      </c>
      <c r="F40" s="12" t="n">
        <v>2805124</v>
      </c>
      <c r="G40" s="12" t="n">
        <v>2178000</v>
      </c>
      <c r="H40" s="11" t="n">
        <v>25</v>
      </c>
      <c r="I40" s="11" t="s">
        <v>69</v>
      </c>
      <c r="J40" s="11" t="s">
        <v>80</v>
      </c>
      <c r="K40" s="11" t="s">
        <v>81</v>
      </c>
      <c r="L40" s="11" t="s">
        <v>82</v>
      </c>
      <c r="M40" s="11" t="s">
        <v>73</v>
      </c>
      <c r="N40" s="11" t="s">
        <v>93</v>
      </c>
      <c r="O40" s="11" t="s">
        <v>94</v>
      </c>
      <c r="P40" s="11" t="s">
        <v>95</v>
      </c>
      <c r="Q40" s="13" t="n">
        <f aca="false">F40*H40</f>
        <v>70128100</v>
      </c>
      <c r="R40" s="13" t="n">
        <f aca="false">G40*H40</f>
        <v>54450000</v>
      </c>
      <c r="S40" s="13" t="n">
        <f aca="false">Q40-R40</f>
        <v>15678100</v>
      </c>
      <c r="T40" s="14" t="n">
        <f aca="false">IFERROR(S40/Q40,0)</f>
        <v>0.22356373550688</v>
      </c>
      <c r="U40" s="15" t="str">
        <f aca="false">TEXT(A40,"yyyy-mm")</f>
        <v>2022-01</v>
      </c>
    </row>
    <row r="41" customFormat="false" ht="15" hidden="false" customHeight="false" outlineLevel="0" collapsed="false">
      <c r="A41" s="10" t="n">
        <v>44572</v>
      </c>
      <c r="B41" s="11" t="s">
        <v>171</v>
      </c>
      <c r="C41" s="11" t="s">
        <v>146</v>
      </c>
      <c r="D41" s="11" t="s">
        <v>138</v>
      </c>
      <c r="E41" s="11" t="s">
        <v>139</v>
      </c>
      <c r="F41" s="12" t="n">
        <v>2728100</v>
      </c>
      <c r="G41" s="12" t="n">
        <v>2321000</v>
      </c>
      <c r="H41" s="11" t="n">
        <v>10</v>
      </c>
      <c r="I41" s="11" t="s">
        <v>69</v>
      </c>
      <c r="J41" s="11" t="s">
        <v>80</v>
      </c>
      <c r="K41" s="11" t="s">
        <v>81</v>
      </c>
      <c r="L41" s="11" t="s">
        <v>82</v>
      </c>
      <c r="M41" s="11" t="s">
        <v>73</v>
      </c>
      <c r="N41" s="11" t="s">
        <v>123</v>
      </c>
      <c r="O41" s="11" t="s">
        <v>60</v>
      </c>
      <c r="P41" s="11" t="s">
        <v>106</v>
      </c>
      <c r="Q41" s="13" t="n">
        <f aca="false">F41*H41</f>
        <v>27281000</v>
      </c>
      <c r="R41" s="13" t="n">
        <f aca="false">G41*H41</f>
        <v>23210000</v>
      </c>
      <c r="S41" s="13" t="n">
        <f aca="false">Q41-R41</f>
        <v>4071000</v>
      </c>
      <c r="T41" s="14" t="n">
        <f aca="false">IFERROR(S41/Q41,0)</f>
        <v>0.149224735163667</v>
      </c>
      <c r="U41" s="15" t="str">
        <f aca="false">TEXT(A41,"yyyy-mm")</f>
        <v>2022-01</v>
      </c>
    </row>
    <row r="42" customFormat="false" ht="15" hidden="false" customHeight="false" outlineLevel="0" collapsed="false">
      <c r="A42" s="10" t="n">
        <v>44573</v>
      </c>
      <c r="B42" s="11" t="s">
        <v>172</v>
      </c>
      <c r="C42" s="11" t="s">
        <v>148</v>
      </c>
      <c r="D42" s="11" t="s">
        <v>138</v>
      </c>
      <c r="E42" s="11" t="s">
        <v>122</v>
      </c>
      <c r="F42" s="12" t="n">
        <v>4941716</v>
      </c>
      <c r="G42" s="12" t="n">
        <v>4456000</v>
      </c>
      <c r="H42" s="11" t="n">
        <v>17</v>
      </c>
      <c r="I42" s="11" t="s">
        <v>69</v>
      </c>
      <c r="J42" s="11" t="s">
        <v>112</v>
      </c>
      <c r="K42" s="11" t="s">
        <v>113</v>
      </c>
      <c r="L42" s="11" t="s">
        <v>82</v>
      </c>
      <c r="M42" s="11" t="s">
        <v>157</v>
      </c>
      <c r="N42" s="11" t="s">
        <v>173</v>
      </c>
      <c r="O42" s="11" t="s">
        <v>174</v>
      </c>
      <c r="P42" s="11" t="s">
        <v>95</v>
      </c>
      <c r="Q42" s="13" t="n">
        <f aca="false">F42*H42</f>
        <v>84009172</v>
      </c>
      <c r="R42" s="13" t="n">
        <f aca="false">G42*H42</f>
        <v>75752000</v>
      </c>
      <c r="S42" s="13" t="n">
        <f aca="false">Q42-R42</f>
        <v>8257172</v>
      </c>
      <c r="T42" s="14" t="n">
        <f aca="false">IFERROR(S42/Q42,0)</f>
        <v>0.0982889344511097</v>
      </c>
      <c r="U42" s="15" t="str">
        <f aca="false">TEXT(A42,"yyyy-mm")</f>
        <v>2022-01</v>
      </c>
    </row>
    <row r="43" customFormat="false" ht="15" hidden="false" customHeight="false" outlineLevel="0" collapsed="false">
      <c r="A43" s="10" t="n">
        <v>44573</v>
      </c>
      <c r="B43" s="11" t="s">
        <v>175</v>
      </c>
      <c r="C43" s="11" t="s">
        <v>66</v>
      </c>
      <c r="D43" s="11" t="s">
        <v>67</v>
      </c>
      <c r="E43" s="11" t="s">
        <v>68</v>
      </c>
      <c r="F43" s="12" t="n">
        <v>3048952</v>
      </c>
      <c r="G43" s="12" t="n">
        <v>2560000</v>
      </c>
      <c r="H43" s="11" t="n">
        <v>7</v>
      </c>
      <c r="I43" s="11" t="s">
        <v>69</v>
      </c>
      <c r="J43" s="11" t="s">
        <v>70</v>
      </c>
      <c r="K43" s="11" t="s">
        <v>71</v>
      </c>
      <c r="L43" s="11" t="s">
        <v>72</v>
      </c>
      <c r="M43" s="11" t="s">
        <v>73</v>
      </c>
      <c r="N43" s="11" t="s">
        <v>104</v>
      </c>
      <c r="O43" s="11" t="s">
        <v>105</v>
      </c>
      <c r="P43" s="11" t="s">
        <v>106</v>
      </c>
      <c r="Q43" s="13" t="n">
        <f aca="false">F43*H43</f>
        <v>21342664</v>
      </c>
      <c r="R43" s="13" t="n">
        <f aca="false">G43*H43</f>
        <v>17920000</v>
      </c>
      <c r="S43" s="13" t="n">
        <f aca="false">Q43-R43</f>
        <v>3422664</v>
      </c>
      <c r="T43" s="14" t="n">
        <f aca="false">IFERROR(S43/Q43,0)</f>
        <v>0.160367234380863</v>
      </c>
      <c r="U43" s="15" t="str">
        <f aca="false">TEXT(A43,"yyyy-mm")</f>
        <v>2022-01</v>
      </c>
    </row>
    <row r="44" customFormat="false" ht="15" hidden="false" customHeight="false" outlineLevel="0" collapsed="false">
      <c r="A44" s="10" t="n">
        <v>44573</v>
      </c>
      <c r="B44" s="11" t="s">
        <v>176</v>
      </c>
      <c r="C44" s="11" t="s">
        <v>78</v>
      </c>
      <c r="D44" s="11" t="s">
        <v>67</v>
      </c>
      <c r="E44" s="11" t="s">
        <v>79</v>
      </c>
      <c r="F44" s="12" t="n">
        <v>1870000</v>
      </c>
      <c r="G44" s="12" t="n">
        <v>1650000</v>
      </c>
      <c r="H44" s="11" t="n">
        <v>23</v>
      </c>
      <c r="I44" s="11" t="s">
        <v>69</v>
      </c>
      <c r="J44" s="11" t="s">
        <v>80</v>
      </c>
      <c r="K44" s="11" t="s">
        <v>81</v>
      </c>
      <c r="L44" s="11" t="s">
        <v>82</v>
      </c>
      <c r="M44" s="11" t="s">
        <v>73</v>
      </c>
      <c r="N44" s="11" t="s">
        <v>93</v>
      </c>
      <c r="O44" s="11" t="s">
        <v>94</v>
      </c>
      <c r="P44" s="11" t="s">
        <v>95</v>
      </c>
      <c r="Q44" s="13" t="n">
        <f aca="false">F44*H44</f>
        <v>43010000</v>
      </c>
      <c r="R44" s="13" t="n">
        <f aca="false">G44*H44</f>
        <v>37950000</v>
      </c>
      <c r="S44" s="13" t="n">
        <f aca="false">Q44-R44</f>
        <v>5060000</v>
      </c>
      <c r="T44" s="14" t="n">
        <f aca="false">IFERROR(S44/Q44,0)</f>
        <v>0.117647058823529</v>
      </c>
      <c r="U44" s="15" t="str">
        <f aca="false">TEXT(A44,"yyyy-mm")</f>
        <v>2022-01</v>
      </c>
    </row>
    <row r="45" customFormat="false" ht="15" hidden="false" customHeight="false" outlineLevel="0" collapsed="false">
      <c r="A45" s="10" t="n">
        <v>44573</v>
      </c>
      <c r="B45" s="11" t="s">
        <v>177</v>
      </c>
      <c r="C45" s="11" t="s">
        <v>84</v>
      </c>
      <c r="D45" s="11" t="s">
        <v>67</v>
      </c>
      <c r="E45" s="11" t="s">
        <v>85</v>
      </c>
      <c r="F45" s="12" t="n">
        <v>2600000</v>
      </c>
      <c r="G45" s="12" t="n">
        <v>2300000</v>
      </c>
      <c r="H45" s="11" t="n">
        <v>10</v>
      </c>
      <c r="I45" s="11" t="s">
        <v>86</v>
      </c>
      <c r="J45" s="11" t="s">
        <v>87</v>
      </c>
      <c r="K45" s="11" t="s">
        <v>88</v>
      </c>
      <c r="L45" s="11" t="s">
        <v>89</v>
      </c>
      <c r="M45" s="11" t="s">
        <v>90</v>
      </c>
      <c r="N45" s="11" t="s">
        <v>149</v>
      </c>
      <c r="O45" s="11" t="s">
        <v>150</v>
      </c>
      <c r="P45" s="11" t="s">
        <v>151</v>
      </c>
      <c r="Q45" s="13" t="n">
        <f aca="false">F45*H45</f>
        <v>26000000</v>
      </c>
      <c r="R45" s="13" t="n">
        <f aca="false">G45*H45</f>
        <v>23000000</v>
      </c>
      <c r="S45" s="13" t="n">
        <f aca="false">Q45-R45</f>
        <v>3000000</v>
      </c>
      <c r="T45" s="14" t="n">
        <f aca="false">IFERROR(S45/Q45,0)</f>
        <v>0.115384615384615</v>
      </c>
      <c r="U45" s="15" t="str">
        <f aca="false">TEXT(A45,"yyyy-mm")</f>
        <v>2022-01</v>
      </c>
    </row>
    <row r="46" customFormat="false" ht="15" hidden="false" customHeight="false" outlineLevel="0" collapsed="false">
      <c r="A46" s="10" t="n">
        <v>44574</v>
      </c>
      <c r="B46" s="11" t="s">
        <v>178</v>
      </c>
      <c r="C46" s="11" t="s">
        <v>92</v>
      </c>
      <c r="D46" s="11" t="s">
        <v>67</v>
      </c>
      <c r="E46" s="11" t="s">
        <v>79</v>
      </c>
      <c r="F46" s="12" t="n">
        <v>3577480</v>
      </c>
      <c r="G46" s="12" t="n">
        <v>3100000</v>
      </c>
      <c r="H46" s="11" t="n">
        <v>13</v>
      </c>
      <c r="I46" s="11" t="s">
        <v>69</v>
      </c>
      <c r="J46" s="11" t="s">
        <v>80</v>
      </c>
      <c r="K46" s="11" t="s">
        <v>81</v>
      </c>
      <c r="L46" s="11" t="s">
        <v>82</v>
      </c>
      <c r="M46" s="11" t="s">
        <v>73</v>
      </c>
      <c r="N46" s="11" t="s">
        <v>93</v>
      </c>
      <c r="O46" s="11" t="s">
        <v>94</v>
      </c>
      <c r="P46" s="11" t="s">
        <v>95</v>
      </c>
      <c r="Q46" s="13" t="n">
        <f aca="false">F46*H46</f>
        <v>46507240</v>
      </c>
      <c r="R46" s="13" t="n">
        <f aca="false">G46*H46</f>
        <v>40300000</v>
      </c>
      <c r="S46" s="13" t="n">
        <f aca="false">Q46-R46</f>
        <v>6207240</v>
      </c>
      <c r="T46" s="14" t="n">
        <f aca="false">IFERROR(S46/Q46,0)</f>
        <v>0.133468251394837</v>
      </c>
      <c r="U46" s="15" t="str">
        <f aca="false">TEXT(A46,"yyyy-mm")</f>
        <v>2022-01</v>
      </c>
    </row>
    <row r="47" customFormat="false" ht="15" hidden="false" customHeight="false" outlineLevel="0" collapsed="false">
      <c r="A47" s="10" t="n">
        <v>44574</v>
      </c>
      <c r="B47" s="11" t="s">
        <v>179</v>
      </c>
      <c r="C47" s="11" t="s">
        <v>97</v>
      </c>
      <c r="D47" s="11" t="s">
        <v>67</v>
      </c>
      <c r="E47" s="11" t="s">
        <v>98</v>
      </c>
      <c r="F47" s="12" t="n">
        <v>4969724</v>
      </c>
      <c r="G47" s="12" t="n">
        <v>4121560</v>
      </c>
      <c r="H47" s="11" t="n">
        <v>2</v>
      </c>
      <c r="I47" s="11" t="s">
        <v>69</v>
      </c>
      <c r="J47" s="11" t="s">
        <v>112</v>
      </c>
      <c r="K47" s="11" t="s">
        <v>113</v>
      </c>
      <c r="L47" s="11" t="s">
        <v>82</v>
      </c>
      <c r="M47" s="11" t="s">
        <v>157</v>
      </c>
      <c r="N47" s="11" t="s">
        <v>109</v>
      </c>
      <c r="O47" s="11" t="s">
        <v>75</v>
      </c>
      <c r="P47" s="11" t="s">
        <v>95</v>
      </c>
      <c r="Q47" s="13" t="n">
        <f aca="false">F47*H47</f>
        <v>9939448</v>
      </c>
      <c r="R47" s="13" t="n">
        <f aca="false">G47*H47</f>
        <v>8243120</v>
      </c>
      <c r="S47" s="13" t="n">
        <f aca="false">Q47-R47</f>
        <v>1696328</v>
      </c>
      <c r="T47" s="14" t="n">
        <f aca="false">IFERROR(S47/Q47,0)</f>
        <v>0.170666218083741</v>
      </c>
      <c r="U47" s="15" t="str">
        <f aca="false">TEXT(A47,"yyyy-mm")</f>
        <v>2022-01</v>
      </c>
    </row>
    <row r="48" customFormat="false" ht="15" hidden="false" customHeight="false" outlineLevel="0" collapsed="false">
      <c r="A48" s="10" t="n">
        <v>44574</v>
      </c>
      <c r="B48" s="11" t="s">
        <v>180</v>
      </c>
      <c r="C48" s="11" t="s">
        <v>103</v>
      </c>
      <c r="D48" s="11" t="s">
        <v>67</v>
      </c>
      <c r="E48" s="11" t="s">
        <v>68</v>
      </c>
      <c r="F48" s="12" t="n">
        <v>3319925</v>
      </c>
      <c r="G48" s="12" t="n">
        <v>2800000</v>
      </c>
      <c r="H48" s="11" t="n">
        <v>10</v>
      </c>
      <c r="I48" s="11" t="s">
        <v>69</v>
      </c>
      <c r="J48" s="11" t="s">
        <v>70</v>
      </c>
      <c r="K48" s="11" t="s">
        <v>71</v>
      </c>
      <c r="L48" s="11" t="s">
        <v>72</v>
      </c>
      <c r="M48" s="11" t="s">
        <v>73</v>
      </c>
      <c r="N48" s="11" t="s">
        <v>74</v>
      </c>
      <c r="O48" s="11" t="s">
        <v>75</v>
      </c>
      <c r="P48" s="11" t="s">
        <v>76</v>
      </c>
      <c r="Q48" s="13" t="n">
        <f aca="false">F48*H48</f>
        <v>33199250</v>
      </c>
      <c r="R48" s="13" t="n">
        <f aca="false">G48*H48</f>
        <v>28000000</v>
      </c>
      <c r="S48" s="13" t="n">
        <f aca="false">Q48-R48</f>
        <v>5199250</v>
      </c>
      <c r="T48" s="14" t="n">
        <f aca="false">IFERROR(S48/Q48,0)</f>
        <v>0.15660745348163</v>
      </c>
      <c r="U48" s="15" t="str">
        <f aca="false">TEXT(A48,"yyyy-mm")</f>
        <v>2022-01</v>
      </c>
    </row>
    <row r="49" customFormat="false" ht="15" hidden="false" customHeight="false" outlineLevel="0" collapsed="false">
      <c r="A49" s="10" t="n">
        <v>44575</v>
      </c>
      <c r="B49" s="11" t="s">
        <v>181</v>
      </c>
      <c r="C49" s="11" t="s">
        <v>108</v>
      </c>
      <c r="D49" s="11" t="s">
        <v>67</v>
      </c>
      <c r="E49" s="11" t="s">
        <v>68</v>
      </c>
      <c r="F49" s="12" t="n">
        <v>4757880</v>
      </c>
      <c r="G49" s="12" t="n">
        <v>3450000</v>
      </c>
      <c r="H49" s="11" t="n">
        <v>14</v>
      </c>
      <c r="I49" s="11" t="s">
        <v>69</v>
      </c>
      <c r="J49" s="11" t="s">
        <v>80</v>
      </c>
      <c r="K49" s="11" t="s">
        <v>81</v>
      </c>
      <c r="L49" s="11" t="s">
        <v>82</v>
      </c>
      <c r="M49" s="11" t="s">
        <v>73</v>
      </c>
      <c r="N49" s="11" t="s">
        <v>104</v>
      </c>
      <c r="O49" s="11" t="s">
        <v>105</v>
      </c>
      <c r="P49" s="11" t="s">
        <v>106</v>
      </c>
      <c r="Q49" s="13" t="n">
        <f aca="false">F49*H49</f>
        <v>66610320</v>
      </c>
      <c r="R49" s="13" t="n">
        <f aca="false">G49*H49</f>
        <v>48300000</v>
      </c>
      <c r="S49" s="13" t="n">
        <f aca="false">Q49-R49</f>
        <v>18310320</v>
      </c>
      <c r="T49" s="14" t="n">
        <f aca="false">IFERROR(S49/Q49,0)</f>
        <v>0.274887134606169</v>
      </c>
      <c r="U49" s="15" t="str">
        <f aca="false">TEXT(A49,"yyyy-mm")</f>
        <v>2022-01</v>
      </c>
    </row>
    <row r="50" customFormat="false" ht="15" hidden="false" customHeight="false" outlineLevel="0" collapsed="false">
      <c r="A50" s="10" t="n">
        <v>44575</v>
      </c>
      <c r="B50" s="11" t="s">
        <v>182</v>
      </c>
      <c r="C50" s="11" t="s">
        <v>111</v>
      </c>
      <c r="D50" s="11" t="s">
        <v>67</v>
      </c>
      <c r="E50" s="11" t="s">
        <v>79</v>
      </c>
      <c r="F50" s="12" t="n">
        <v>3545808</v>
      </c>
      <c r="G50" s="12" t="n">
        <v>3350000</v>
      </c>
      <c r="H50" s="11" t="n">
        <v>19</v>
      </c>
      <c r="I50" s="11" t="s">
        <v>69</v>
      </c>
      <c r="J50" s="11" t="s">
        <v>80</v>
      </c>
      <c r="K50" s="11" t="s">
        <v>81</v>
      </c>
      <c r="L50" s="11" t="s">
        <v>82</v>
      </c>
      <c r="M50" s="11" t="s">
        <v>73</v>
      </c>
      <c r="N50" s="11" t="s">
        <v>74</v>
      </c>
      <c r="O50" s="11" t="s">
        <v>75</v>
      </c>
      <c r="P50" s="11" t="s">
        <v>76</v>
      </c>
      <c r="Q50" s="13" t="n">
        <f aca="false">F50*H50</f>
        <v>67370352</v>
      </c>
      <c r="R50" s="13" t="n">
        <f aca="false">G50*H50</f>
        <v>63650000</v>
      </c>
      <c r="S50" s="13" t="n">
        <f aca="false">Q50-R50</f>
        <v>3720352</v>
      </c>
      <c r="T50" s="14" t="n">
        <f aca="false">IFERROR(S50/Q50,0)</f>
        <v>0.0552223921881839</v>
      </c>
      <c r="U50" s="15" t="str">
        <f aca="false">TEXT(A50,"yyyy-mm")</f>
        <v>2022-01</v>
      </c>
    </row>
    <row r="51" customFormat="false" ht="15" hidden="false" customHeight="false" outlineLevel="0" collapsed="false">
      <c r="A51" s="10" t="n">
        <v>44575</v>
      </c>
      <c r="B51" s="11" t="s">
        <v>183</v>
      </c>
      <c r="C51" s="11" t="s">
        <v>115</v>
      </c>
      <c r="D51" s="11" t="s">
        <v>67</v>
      </c>
      <c r="E51" s="11" t="s">
        <v>98</v>
      </c>
      <c r="F51" s="12" t="n">
        <v>4200743</v>
      </c>
      <c r="G51" s="12" t="n">
        <v>4101000</v>
      </c>
      <c r="H51" s="11" t="n">
        <v>9</v>
      </c>
      <c r="I51" s="11" t="s">
        <v>69</v>
      </c>
      <c r="J51" s="11" t="s">
        <v>80</v>
      </c>
      <c r="K51" s="11" t="s">
        <v>81</v>
      </c>
      <c r="L51" s="11" t="s">
        <v>82</v>
      </c>
      <c r="M51" s="11" t="s">
        <v>73</v>
      </c>
      <c r="N51" s="11" t="s">
        <v>133</v>
      </c>
      <c r="O51" s="11" t="s">
        <v>60</v>
      </c>
      <c r="P51" s="11" t="s">
        <v>76</v>
      </c>
      <c r="Q51" s="13" t="n">
        <f aca="false">F51*H51</f>
        <v>37806687</v>
      </c>
      <c r="R51" s="13" t="n">
        <f aca="false">G51*H51</f>
        <v>36909000</v>
      </c>
      <c r="S51" s="13" t="n">
        <f aca="false">Q51-R51</f>
        <v>897687</v>
      </c>
      <c r="T51" s="14" t="n">
        <f aca="false">IFERROR(S51/Q51,0)</f>
        <v>0.023744132883159</v>
      </c>
      <c r="U51" s="15" t="str">
        <f aca="false">TEXT(A51,"yyyy-mm")</f>
        <v>2022-01</v>
      </c>
    </row>
    <row r="52" customFormat="false" ht="15" hidden="false" customHeight="false" outlineLevel="0" collapsed="false">
      <c r="A52" s="10" t="n">
        <v>44576</v>
      </c>
      <c r="B52" s="11" t="s">
        <v>184</v>
      </c>
      <c r="C52" s="11" t="s">
        <v>117</v>
      </c>
      <c r="D52" s="11" t="s">
        <v>118</v>
      </c>
      <c r="E52" s="11" t="s">
        <v>119</v>
      </c>
      <c r="F52" s="12" t="n">
        <v>8220549</v>
      </c>
      <c r="G52" s="12" t="n">
        <v>6500000</v>
      </c>
      <c r="H52" s="11" t="n">
        <v>10</v>
      </c>
      <c r="I52" s="11" t="s">
        <v>69</v>
      </c>
      <c r="J52" s="11" t="s">
        <v>112</v>
      </c>
      <c r="K52" s="11" t="s">
        <v>113</v>
      </c>
      <c r="L52" s="11" t="s">
        <v>82</v>
      </c>
      <c r="M52" s="11" t="s">
        <v>157</v>
      </c>
      <c r="N52" s="11" t="s">
        <v>109</v>
      </c>
      <c r="O52" s="11" t="s">
        <v>75</v>
      </c>
      <c r="P52" s="11" t="s">
        <v>95</v>
      </c>
      <c r="Q52" s="13" t="n">
        <f aca="false">F52*H52</f>
        <v>82205490</v>
      </c>
      <c r="R52" s="13" t="n">
        <f aca="false">G52*H52</f>
        <v>65000000</v>
      </c>
      <c r="S52" s="13" t="n">
        <f aca="false">Q52-R52</f>
        <v>17205490</v>
      </c>
      <c r="T52" s="14" t="n">
        <f aca="false">IFERROR(S52/Q52,0)</f>
        <v>0.209298551714733</v>
      </c>
      <c r="U52" s="15" t="str">
        <f aca="false">TEXT(A52,"yyyy-mm")</f>
        <v>2022-01</v>
      </c>
    </row>
    <row r="53" customFormat="false" ht="15" hidden="false" customHeight="false" outlineLevel="0" collapsed="false">
      <c r="A53" s="10" t="n">
        <v>44576</v>
      </c>
      <c r="B53" s="11" t="s">
        <v>185</v>
      </c>
      <c r="C53" s="11" t="s">
        <v>121</v>
      </c>
      <c r="D53" s="11" t="s">
        <v>118</v>
      </c>
      <c r="E53" s="11" t="s">
        <v>122</v>
      </c>
      <c r="F53" s="12" t="n">
        <v>7687274</v>
      </c>
      <c r="G53" s="12" t="n">
        <v>6500000</v>
      </c>
      <c r="H53" s="11" t="n">
        <v>3</v>
      </c>
      <c r="I53" s="11" t="s">
        <v>69</v>
      </c>
      <c r="J53" s="11" t="s">
        <v>80</v>
      </c>
      <c r="K53" s="11" t="s">
        <v>81</v>
      </c>
      <c r="L53" s="11" t="s">
        <v>82</v>
      </c>
      <c r="M53" s="11" t="s">
        <v>73</v>
      </c>
      <c r="N53" s="11" t="s">
        <v>123</v>
      </c>
      <c r="O53" s="11" t="s">
        <v>60</v>
      </c>
      <c r="P53" s="11" t="s">
        <v>106</v>
      </c>
      <c r="Q53" s="13" t="n">
        <f aca="false">F53*H53</f>
        <v>23061822</v>
      </c>
      <c r="R53" s="13" t="n">
        <f aca="false">G53*H53</f>
        <v>19500000</v>
      </c>
      <c r="S53" s="13" t="n">
        <f aca="false">Q53-R53</f>
        <v>3561822</v>
      </c>
      <c r="T53" s="14" t="n">
        <f aca="false">IFERROR(S53/Q53,0)</f>
        <v>0.154446686822923</v>
      </c>
      <c r="U53" s="15" t="str">
        <f aca="false">TEXT(A53,"yyyy-mm")</f>
        <v>2022-01</v>
      </c>
    </row>
    <row r="54" customFormat="false" ht="15" hidden="false" customHeight="false" outlineLevel="0" collapsed="false">
      <c r="A54" s="10" t="n">
        <v>44576</v>
      </c>
      <c r="B54" s="11" t="s">
        <v>186</v>
      </c>
      <c r="C54" s="11" t="s">
        <v>125</v>
      </c>
      <c r="D54" s="11" t="s">
        <v>118</v>
      </c>
      <c r="E54" s="11" t="s">
        <v>126</v>
      </c>
      <c r="F54" s="12" t="n">
        <v>5684211</v>
      </c>
      <c r="G54" s="12" t="n">
        <v>4300000</v>
      </c>
      <c r="H54" s="11" t="n">
        <v>15</v>
      </c>
      <c r="I54" s="11" t="s">
        <v>86</v>
      </c>
      <c r="J54" s="11" t="s">
        <v>87</v>
      </c>
      <c r="K54" s="11" t="s">
        <v>88</v>
      </c>
      <c r="L54" s="11" t="s">
        <v>89</v>
      </c>
      <c r="M54" s="11" t="s">
        <v>90</v>
      </c>
      <c r="N54" s="11" t="s">
        <v>133</v>
      </c>
      <c r="O54" s="11" t="s">
        <v>60</v>
      </c>
      <c r="P54" s="11" t="s">
        <v>76</v>
      </c>
      <c r="Q54" s="13" t="n">
        <f aca="false">F54*H54</f>
        <v>85263165</v>
      </c>
      <c r="R54" s="13" t="n">
        <f aca="false">G54*H54</f>
        <v>64500000</v>
      </c>
      <c r="S54" s="13" t="n">
        <f aca="false">Q54-R54</f>
        <v>20763165</v>
      </c>
      <c r="T54" s="14" t="n">
        <f aca="false">IFERROR(S54/Q54,0)</f>
        <v>0.243518581558637</v>
      </c>
      <c r="U54" s="15" t="str">
        <f aca="false">TEXT(A54,"yyyy-mm")</f>
        <v>2022-01</v>
      </c>
    </row>
    <row r="55" customFormat="false" ht="15" hidden="false" customHeight="false" outlineLevel="0" collapsed="false">
      <c r="A55" s="10" t="n">
        <v>44577</v>
      </c>
      <c r="B55" s="11" t="s">
        <v>187</v>
      </c>
      <c r="C55" s="11" t="s">
        <v>128</v>
      </c>
      <c r="D55" s="11" t="s">
        <v>118</v>
      </c>
      <c r="E55" s="11" t="s">
        <v>119</v>
      </c>
      <c r="F55" s="12" t="n">
        <v>3370302</v>
      </c>
      <c r="G55" s="12" t="n">
        <v>2100000</v>
      </c>
      <c r="H55" s="11" t="n">
        <v>8</v>
      </c>
      <c r="I55" s="11" t="s">
        <v>69</v>
      </c>
      <c r="J55" s="11" t="s">
        <v>80</v>
      </c>
      <c r="K55" s="11" t="s">
        <v>81</v>
      </c>
      <c r="L55" s="11" t="s">
        <v>82</v>
      </c>
      <c r="M55" s="11" t="s">
        <v>73</v>
      </c>
      <c r="N55" s="11" t="s">
        <v>143</v>
      </c>
      <c r="O55" s="11" t="s">
        <v>144</v>
      </c>
      <c r="P55" s="11" t="s">
        <v>101</v>
      </c>
      <c r="Q55" s="13" t="n">
        <f aca="false">F55*H55</f>
        <v>26962416</v>
      </c>
      <c r="R55" s="13" t="n">
        <f aca="false">G55*H55</f>
        <v>16800000</v>
      </c>
      <c r="S55" s="13" t="n">
        <f aca="false">Q55-R55</f>
        <v>10162416</v>
      </c>
      <c r="T55" s="14" t="n">
        <f aca="false">IFERROR(S55/Q55,0)</f>
        <v>0.37691043710623</v>
      </c>
      <c r="U55" s="15" t="str">
        <f aca="false">TEXT(A55,"yyyy-mm")</f>
        <v>2022-01</v>
      </c>
    </row>
    <row r="56" customFormat="false" ht="15" hidden="false" customHeight="false" outlineLevel="0" collapsed="false">
      <c r="A56" s="10" t="n">
        <v>44577</v>
      </c>
      <c r="B56" s="11" t="s">
        <v>188</v>
      </c>
      <c r="C56" s="11" t="s">
        <v>130</v>
      </c>
      <c r="D56" s="11" t="s">
        <v>118</v>
      </c>
      <c r="E56" s="11" t="s">
        <v>68</v>
      </c>
      <c r="F56" s="12" t="n">
        <v>2852897</v>
      </c>
      <c r="G56" s="12" t="n">
        <v>2450000</v>
      </c>
      <c r="H56" s="11" t="n">
        <v>12</v>
      </c>
      <c r="I56" s="11" t="s">
        <v>69</v>
      </c>
      <c r="J56" s="11" t="s">
        <v>112</v>
      </c>
      <c r="K56" s="11" t="s">
        <v>113</v>
      </c>
      <c r="L56" s="11" t="s">
        <v>82</v>
      </c>
      <c r="M56" s="11" t="s">
        <v>157</v>
      </c>
      <c r="N56" s="11" t="s">
        <v>109</v>
      </c>
      <c r="O56" s="11" t="s">
        <v>75</v>
      </c>
      <c r="P56" s="11" t="s">
        <v>95</v>
      </c>
      <c r="Q56" s="13" t="n">
        <f aca="false">F56*H56</f>
        <v>34234764</v>
      </c>
      <c r="R56" s="13" t="n">
        <f aca="false">G56*H56</f>
        <v>29400000</v>
      </c>
      <c r="S56" s="13" t="n">
        <f aca="false">Q56-R56</f>
        <v>4834764</v>
      </c>
      <c r="T56" s="14" t="n">
        <f aca="false">IFERROR(S56/Q56,0)</f>
        <v>0.141223815651249</v>
      </c>
      <c r="U56" s="15" t="str">
        <f aca="false">TEXT(A56,"yyyy-mm")</f>
        <v>2022-01</v>
      </c>
    </row>
    <row r="57" customFormat="false" ht="15" hidden="false" customHeight="false" outlineLevel="0" collapsed="false">
      <c r="A57" s="10" t="n">
        <v>44578</v>
      </c>
      <c r="B57" s="11" t="s">
        <v>189</v>
      </c>
      <c r="C57" s="11" t="s">
        <v>132</v>
      </c>
      <c r="D57" s="11" t="s">
        <v>118</v>
      </c>
      <c r="E57" s="11" t="s">
        <v>68</v>
      </c>
      <c r="F57" s="12" t="n">
        <v>4803603</v>
      </c>
      <c r="G57" s="12" t="n">
        <v>4121000</v>
      </c>
      <c r="H57" s="11" t="n">
        <v>15</v>
      </c>
      <c r="I57" s="11" t="s">
        <v>69</v>
      </c>
      <c r="J57" s="11" t="s">
        <v>80</v>
      </c>
      <c r="K57" s="11" t="s">
        <v>81</v>
      </c>
      <c r="L57" s="11" t="s">
        <v>82</v>
      </c>
      <c r="M57" s="11" t="s">
        <v>73</v>
      </c>
      <c r="N57" s="11" t="s">
        <v>109</v>
      </c>
      <c r="O57" s="11" t="s">
        <v>75</v>
      </c>
      <c r="P57" s="11" t="s">
        <v>95</v>
      </c>
      <c r="Q57" s="13" t="n">
        <f aca="false">F57*H57</f>
        <v>72054045</v>
      </c>
      <c r="R57" s="13" t="n">
        <f aca="false">G57*H57</f>
        <v>61815000</v>
      </c>
      <c r="S57" s="13" t="n">
        <f aca="false">Q57-R57</f>
        <v>10239045</v>
      </c>
      <c r="T57" s="14" t="n">
        <f aca="false">IFERROR(S57/Q57,0)</f>
        <v>0.142102292799801</v>
      </c>
      <c r="U57" s="15" t="str">
        <f aca="false">TEXT(A57,"yyyy-mm")</f>
        <v>2022-01</v>
      </c>
    </row>
    <row r="58" customFormat="false" ht="15" hidden="false" customHeight="false" outlineLevel="0" collapsed="false">
      <c r="A58" s="10" t="n">
        <v>44578</v>
      </c>
      <c r="B58" s="11" t="s">
        <v>190</v>
      </c>
      <c r="C58" s="11" t="s">
        <v>135</v>
      </c>
      <c r="D58" s="11" t="s">
        <v>118</v>
      </c>
      <c r="E58" s="11" t="s">
        <v>68</v>
      </c>
      <c r="F58" s="12" t="n">
        <v>5689947</v>
      </c>
      <c r="G58" s="12" t="n">
        <v>5235000</v>
      </c>
      <c r="H58" s="11" t="n">
        <v>18</v>
      </c>
      <c r="I58" s="11" t="s">
        <v>69</v>
      </c>
      <c r="J58" s="11" t="s">
        <v>112</v>
      </c>
      <c r="K58" s="11" t="s">
        <v>113</v>
      </c>
      <c r="L58" s="11" t="s">
        <v>82</v>
      </c>
      <c r="M58" s="11" t="s">
        <v>157</v>
      </c>
      <c r="N58" s="11" t="s">
        <v>93</v>
      </c>
      <c r="O58" s="11" t="s">
        <v>94</v>
      </c>
      <c r="P58" s="11" t="s">
        <v>95</v>
      </c>
      <c r="Q58" s="13" t="n">
        <f aca="false">F58*H58</f>
        <v>102419046</v>
      </c>
      <c r="R58" s="13" t="n">
        <f aca="false">G58*H58</f>
        <v>94230000</v>
      </c>
      <c r="S58" s="13" t="n">
        <f aca="false">Q58-R58</f>
        <v>8189046</v>
      </c>
      <c r="T58" s="14" t="n">
        <f aca="false">IFERROR(S58/Q58,0)</f>
        <v>0.0799562807878527</v>
      </c>
      <c r="U58" s="15" t="str">
        <f aca="false">TEXT(A58,"yyyy-mm")</f>
        <v>2022-01</v>
      </c>
    </row>
    <row r="59" customFormat="false" ht="15" hidden="false" customHeight="false" outlineLevel="0" collapsed="false">
      <c r="A59" s="10" t="n">
        <v>44578</v>
      </c>
      <c r="B59" s="11" t="s">
        <v>191</v>
      </c>
      <c r="C59" s="11" t="s">
        <v>137</v>
      </c>
      <c r="D59" s="11" t="s">
        <v>138</v>
      </c>
      <c r="E59" s="11" t="s">
        <v>139</v>
      </c>
      <c r="F59" s="12" t="n">
        <v>5171827</v>
      </c>
      <c r="G59" s="12" t="n">
        <v>4890000</v>
      </c>
      <c r="H59" s="11" t="n">
        <v>17</v>
      </c>
      <c r="I59" s="11" t="s">
        <v>69</v>
      </c>
      <c r="J59" s="11" t="s">
        <v>80</v>
      </c>
      <c r="K59" s="11" t="s">
        <v>81</v>
      </c>
      <c r="L59" s="11" t="s">
        <v>82</v>
      </c>
      <c r="M59" s="11" t="s">
        <v>73</v>
      </c>
      <c r="N59" s="11" t="s">
        <v>109</v>
      </c>
      <c r="O59" s="11" t="s">
        <v>75</v>
      </c>
      <c r="P59" s="11" t="s">
        <v>95</v>
      </c>
      <c r="Q59" s="13" t="n">
        <f aca="false">F59*H59</f>
        <v>87921059</v>
      </c>
      <c r="R59" s="13" t="n">
        <f aca="false">G59*H59</f>
        <v>83130000</v>
      </c>
      <c r="S59" s="13" t="n">
        <f aca="false">Q59-R59</f>
        <v>4791059</v>
      </c>
      <c r="T59" s="14" t="n">
        <f aca="false">IFERROR(S59/Q59,0)</f>
        <v>0.0544927353525166</v>
      </c>
      <c r="U59" s="15" t="str">
        <f aca="false">TEXT(A59,"yyyy-mm")</f>
        <v>2022-01</v>
      </c>
    </row>
    <row r="60" customFormat="false" ht="15" hidden="false" customHeight="false" outlineLevel="0" collapsed="false">
      <c r="A60" s="10" t="n">
        <v>44580</v>
      </c>
      <c r="B60" s="11" t="s">
        <v>192</v>
      </c>
      <c r="C60" s="11" t="s">
        <v>141</v>
      </c>
      <c r="D60" s="11" t="s">
        <v>138</v>
      </c>
      <c r="E60" s="11" t="s">
        <v>142</v>
      </c>
      <c r="F60" s="12" t="n">
        <v>2805124</v>
      </c>
      <c r="G60" s="12" t="n">
        <v>2178000</v>
      </c>
      <c r="H60" s="11" t="n">
        <v>11</v>
      </c>
      <c r="I60" s="11" t="s">
        <v>86</v>
      </c>
      <c r="J60" s="11" t="s">
        <v>87</v>
      </c>
      <c r="K60" s="11" t="s">
        <v>88</v>
      </c>
      <c r="L60" s="11" t="s">
        <v>89</v>
      </c>
      <c r="M60" s="11" t="s">
        <v>90</v>
      </c>
      <c r="N60" s="11" t="s">
        <v>133</v>
      </c>
      <c r="O60" s="11" t="s">
        <v>60</v>
      </c>
      <c r="P60" s="11" t="s">
        <v>76</v>
      </c>
      <c r="Q60" s="13" t="n">
        <f aca="false">F60*H60</f>
        <v>30856364</v>
      </c>
      <c r="R60" s="13" t="n">
        <f aca="false">G60*H60</f>
        <v>23958000</v>
      </c>
      <c r="S60" s="13" t="n">
        <f aca="false">Q60-R60</f>
        <v>6898364</v>
      </c>
      <c r="T60" s="14" t="n">
        <f aca="false">IFERROR(S60/Q60,0)</f>
        <v>0.22356373550688</v>
      </c>
      <c r="U60" s="15" t="str">
        <f aca="false">TEXT(A60,"yyyy-mm")</f>
        <v>2022-01</v>
      </c>
    </row>
    <row r="61" customFormat="false" ht="15" hidden="false" customHeight="false" outlineLevel="0" collapsed="false">
      <c r="A61" s="10" t="n">
        <v>44580</v>
      </c>
      <c r="B61" s="11" t="s">
        <v>193</v>
      </c>
      <c r="C61" s="11" t="s">
        <v>146</v>
      </c>
      <c r="D61" s="11" t="s">
        <v>138</v>
      </c>
      <c r="E61" s="11" t="s">
        <v>139</v>
      </c>
      <c r="F61" s="12" t="n">
        <v>2728100</v>
      </c>
      <c r="G61" s="12" t="n">
        <v>2321000</v>
      </c>
      <c r="H61" s="11" t="n">
        <v>12</v>
      </c>
      <c r="I61" s="11" t="s">
        <v>69</v>
      </c>
      <c r="J61" s="11" t="s">
        <v>80</v>
      </c>
      <c r="K61" s="11" t="s">
        <v>81</v>
      </c>
      <c r="L61" s="11" t="s">
        <v>82</v>
      </c>
      <c r="M61" s="11" t="s">
        <v>73</v>
      </c>
      <c r="N61" s="11" t="s">
        <v>104</v>
      </c>
      <c r="O61" s="11" t="s">
        <v>105</v>
      </c>
      <c r="P61" s="11" t="s">
        <v>106</v>
      </c>
      <c r="Q61" s="13" t="n">
        <f aca="false">F61*H61</f>
        <v>32737200</v>
      </c>
      <c r="R61" s="13" t="n">
        <f aca="false">G61*H61</f>
        <v>27852000</v>
      </c>
      <c r="S61" s="13" t="n">
        <f aca="false">Q61-R61</f>
        <v>4885200</v>
      </c>
      <c r="T61" s="14" t="n">
        <f aca="false">IFERROR(S61/Q61,0)</f>
        <v>0.149224735163667</v>
      </c>
      <c r="U61" s="15" t="str">
        <f aca="false">TEXT(A61,"yyyy-mm")</f>
        <v>2022-01</v>
      </c>
    </row>
    <row r="62" customFormat="false" ht="15" hidden="false" customHeight="false" outlineLevel="0" collapsed="false">
      <c r="A62" s="10" t="n">
        <v>44580</v>
      </c>
      <c r="B62" s="11" t="s">
        <v>194</v>
      </c>
      <c r="C62" s="11" t="s">
        <v>148</v>
      </c>
      <c r="D62" s="11" t="s">
        <v>138</v>
      </c>
      <c r="E62" s="11" t="s">
        <v>122</v>
      </c>
      <c r="F62" s="12" t="n">
        <v>4941716</v>
      </c>
      <c r="G62" s="12" t="n">
        <v>4456000</v>
      </c>
      <c r="H62" s="11" t="n">
        <v>19</v>
      </c>
      <c r="I62" s="11" t="s">
        <v>69</v>
      </c>
      <c r="J62" s="11" t="s">
        <v>70</v>
      </c>
      <c r="K62" s="11" t="s">
        <v>71</v>
      </c>
      <c r="L62" s="11" t="s">
        <v>72</v>
      </c>
      <c r="M62" s="11" t="s">
        <v>73</v>
      </c>
      <c r="N62" s="11" t="s">
        <v>109</v>
      </c>
      <c r="O62" s="11" t="s">
        <v>75</v>
      </c>
      <c r="P62" s="11" t="s">
        <v>95</v>
      </c>
      <c r="Q62" s="13" t="n">
        <f aca="false">F62*H62</f>
        <v>93892604</v>
      </c>
      <c r="R62" s="13" t="n">
        <f aca="false">G62*H62</f>
        <v>84664000</v>
      </c>
      <c r="S62" s="13" t="n">
        <f aca="false">Q62-R62</f>
        <v>9228604</v>
      </c>
      <c r="T62" s="14" t="n">
        <f aca="false">IFERROR(S62/Q62,0)</f>
        <v>0.0982889344511097</v>
      </c>
      <c r="U62" s="15" t="str">
        <f aca="false">TEXT(A62,"yyyy-mm")</f>
        <v>2022-01</v>
      </c>
    </row>
    <row r="63" customFormat="false" ht="15" hidden="false" customHeight="false" outlineLevel="0" collapsed="false">
      <c r="A63" s="10" t="n">
        <v>44580</v>
      </c>
      <c r="B63" s="11" t="s">
        <v>195</v>
      </c>
      <c r="C63" s="11" t="s">
        <v>66</v>
      </c>
      <c r="D63" s="11" t="s">
        <v>67</v>
      </c>
      <c r="E63" s="11" t="s">
        <v>68</v>
      </c>
      <c r="F63" s="12" t="n">
        <v>3048952</v>
      </c>
      <c r="G63" s="12" t="n">
        <v>2560000</v>
      </c>
      <c r="H63" s="11" t="n">
        <v>20</v>
      </c>
      <c r="I63" s="11" t="s">
        <v>69</v>
      </c>
      <c r="J63" s="11" t="s">
        <v>70</v>
      </c>
      <c r="K63" s="11" t="s">
        <v>71</v>
      </c>
      <c r="L63" s="11" t="s">
        <v>72</v>
      </c>
      <c r="M63" s="11" t="s">
        <v>73</v>
      </c>
      <c r="N63" s="11" t="s">
        <v>104</v>
      </c>
      <c r="O63" s="11" t="s">
        <v>105</v>
      </c>
      <c r="P63" s="11" t="s">
        <v>106</v>
      </c>
      <c r="Q63" s="13" t="n">
        <f aca="false">F63*H63</f>
        <v>60979040</v>
      </c>
      <c r="R63" s="13" t="n">
        <f aca="false">G63*H63</f>
        <v>51200000</v>
      </c>
      <c r="S63" s="13" t="n">
        <f aca="false">Q63-R63</f>
        <v>9779040</v>
      </c>
      <c r="T63" s="14" t="n">
        <f aca="false">IFERROR(S63/Q63,0)</f>
        <v>0.160367234380863</v>
      </c>
      <c r="U63" s="15" t="str">
        <f aca="false">TEXT(A63,"yyyy-mm")</f>
        <v>2022-01</v>
      </c>
    </row>
    <row r="64" customFormat="false" ht="15" hidden="false" customHeight="false" outlineLevel="0" collapsed="false">
      <c r="A64" s="10" t="n">
        <v>44580</v>
      </c>
      <c r="B64" s="11" t="s">
        <v>196</v>
      </c>
      <c r="C64" s="11" t="s">
        <v>78</v>
      </c>
      <c r="D64" s="11" t="s">
        <v>67</v>
      </c>
      <c r="E64" s="11" t="s">
        <v>79</v>
      </c>
      <c r="F64" s="12" t="n">
        <v>1870000</v>
      </c>
      <c r="G64" s="12" t="n">
        <v>1650000</v>
      </c>
      <c r="H64" s="11" t="n">
        <v>16</v>
      </c>
      <c r="I64" s="11" t="s">
        <v>69</v>
      </c>
      <c r="J64" s="11" t="s">
        <v>112</v>
      </c>
      <c r="K64" s="11" t="s">
        <v>113</v>
      </c>
      <c r="L64" s="11" t="s">
        <v>82</v>
      </c>
      <c r="M64" s="11" t="s">
        <v>157</v>
      </c>
      <c r="N64" s="11" t="s">
        <v>99</v>
      </c>
      <c r="O64" s="11" t="s">
        <v>100</v>
      </c>
      <c r="P64" s="11" t="s">
        <v>101</v>
      </c>
      <c r="Q64" s="13" t="n">
        <f aca="false">F64*H64</f>
        <v>29920000</v>
      </c>
      <c r="R64" s="13" t="n">
        <f aca="false">G64*H64</f>
        <v>26400000</v>
      </c>
      <c r="S64" s="13" t="n">
        <f aca="false">Q64-R64</f>
        <v>3520000</v>
      </c>
      <c r="T64" s="14" t="n">
        <f aca="false">IFERROR(S64/Q64,0)</f>
        <v>0.117647058823529</v>
      </c>
      <c r="U64" s="15" t="str">
        <f aca="false">TEXT(A64,"yyyy-mm")</f>
        <v>2022-01</v>
      </c>
    </row>
    <row r="65" customFormat="false" ht="15" hidden="false" customHeight="false" outlineLevel="0" collapsed="false">
      <c r="A65" s="10" t="n">
        <v>44580</v>
      </c>
      <c r="B65" s="11" t="s">
        <v>197</v>
      </c>
      <c r="C65" s="11" t="s">
        <v>84</v>
      </c>
      <c r="D65" s="11" t="s">
        <v>67</v>
      </c>
      <c r="E65" s="11" t="s">
        <v>85</v>
      </c>
      <c r="F65" s="12" t="n">
        <v>2600000</v>
      </c>
      <c r="G65" s="12" t="n">
        <v>2300000</v>
      </c>
      <c r="H65" s="11" t="n">
        <v>16</v>
      </c>
      <c r="I65" s="11" t="s">
        <v>69</v>
      </c>
      <c r="J65" s="11" t="s">
        <v>80</v>
      </c>
      <c r="K65" s="11" t="s">
        <v>81</v>
      </c>
      <c r="L65" s="11" t="s">
        <v>82</v>
      </c>
      <c r="M65" s="11" t="s">
        <v>73</v>
      </c>
      <c r="N65" s="11" t="s">
        <v>123</v>
      </c>
      <c r="O65" s="11" t="s">
        <v>60</v>
      </c>
      <c r="P65" s="11" t="s">
        <v>106</v>
      </c>
      <c r="Q65" s="13" t="n">
        <f aca="false">F65*H65</f>
        <v>41600000</v>
      </c>
      <c r="R65" s="13" t="n">
        <f aca="false">G65*H65</f>
        <v>36800000</v>
      </c>
      <c r="S65" s="13" t="n">
        <f aca="false">Q65-R65</f>
        <v>4800000</v>
      </c>
      <c r="T65" s="14" t="n">
        <f aca="false">IFERROR(S65/Q65,0)</f>
        <v>0.115384615384615</v>
      </c>
      <c r="U65" s="15" t="str">
        <f aca="false">TEXT(A65,"yyyy-mm")</f>
        <v>2022-01</v>
      </c>
    </row>
    <row r="66" customFormat="false" ht="15" hidden="false" customHeight="false" outlineLevel="0" collapsed="false">
      <c r="A66" s="10" t="n">
        <v>44580</v>
      </c>
      <c r="B66" s="11" t="s">
        <v>198</v>
      </c>
      <c r="C66" s="11" t="s">
        <v>92</v>
      </c>
      <c r="D66" s="11" t="s">
        <v>67</v>
      </c>
      <c r="E66" s="11" t="s">
        <v>79</v>
      </c>
      <c r="F66" s="12" t="n">
        <v>3577480</v>
      </c>
      <c r="G66" s="12" t="n">
        <v>3100000</v>
      </c>
      <c r="H66" s="11" t="n">
        <v>13</v>
      </c>
      <c r="I66" s="11" t="s">
        <v>86</v>
      </c>
      <c r="J66" s="11" t="s">
        <v>87</v>
      </c>
      <c r="K66" s="11" t="s">
        <v>88</v>
      </c>
      <c r="L66" s="11" t="s">
        <v>89</v>
      </c>
      <c r="M66" s="11" t="s">
        <v>90</v>
      </c>
      <c r="N66" s="11" t="s">
        <v>104</v>
      </c>
      <c r="O66" s="11" t="s">
        <v>105</v>
      </c>
      <c r="P66" s="11" t="s">
        <v>106</v>
      </c>
      <c r="Q66" s="13" t="n">
        <f aca="false">F66*H66</f>
        <v>46507240</v>
      </c>
      <c r="R66" s="13" t="n">
        <f aca="false">G66*H66</f>
        <v>40300000</v>
      </c>
      <c r="S66" s="13" t="n">
        <f aca="false">Q66-R66</f>
        <v>6207240</v>
      </c>
      <c r="T66" s="14" t="n">
        <f aca="false">IFERROR(S66/Q66,0)</f>
        <v>0.133468251394837</v>
      </c>
      <c r="U66" s="15" t="str">
        <f aca="false">TEXT(A66,"yyyy-mm")</f>
        <v>2022-01</v>
      </c>
    </row>
    <row r="67" customFormat="false" ht="15" hidden="false" customHeight="false" outlineLevel="0" collapsed="false">
      <c r="A67" s="10" t="n">
        <v>44582</v>
      </c>
      <c r="B67" s="11" t="s">
        <v>199</v>
      </c>
      <c r="C67" s="11" t="s">
        <v>97</v>
      </c>
      <c r="D67" s="11" t="s">
        <v>67</v>
      </c>
      <c r="E67" s="11" t="s">
        <v>98</v>
      </c>
      <c r="F67" s="12" t="n">
        <v>4969724</v>
      </c>
      <c r="G67" s="12" t="n">
        <v>4121560</v>
      </c>
      <c r="H67" s="11" t="n">
        <v>4</v>
      </c>
      <c r="I67" s="11" t="s">
        <v>69</v>
      </c>
      <c r="J67" s="11" t="s">
        <v>80</v>
      </c>
      <c r="K67" s="11" t="s">
        <v>81</v>
      </c>
      <c r="L67" s="11" t="s">
        <v>82</v>
      </c>
      <c r="M67" s="11" t="s">
        <v>73</v>
      </c>
      <c r="N67" s="11" t="s">
        <v>109</v>
      </c>
      <c r="O67" s="11" t="s">
        <v>75</v>
      </c>
      <c r="P67" s="11" t="s">
        <v>95</v>
      </c>
      <c r="Q67" s="13" t="n">
        <f aca="false">F67*H67</f>
        <v>19878896</v>
      </c>
      <c r="R67" s="13" t="n">
        <f aca="false">G67*H67</f>
        <v>16486240</v>
      </c>
      <c r="S67" s="13" t="n">
        <f aca="false">Q67-R67</f>
        <v>3392656</v>
      </c>
      <c r="T67" s="14" t="n">
        <f aca="false">IFERROR(S67/Q67,0)</f>
        <v>0.170666218083741</v>
      </c>
      <c r="U67" s="15" t="str">
        <f aca="false">TEXT(A67,"yyyy-mm")</f>
        <v>2022-01</v>
      </c>
    </row>
    <row r="68" customFormat="false" ht="15" hidden="false" customHeight="false" outlineLevel="0" collapsed="false">
      <c r="A68" s="10" t="n">
        <v>44583</v>
      </c>
      <c r="B68" s="11" t="s">
        <v>200</v>
      </c>
      <c r="C68" s="11" t="s">
        <v>103</v>
      </c>
      <c r="D68" s="11" t="s">
        <v>67</v>
      </c>
      <c r="E68" s="11" t="s">
        <v>68</v>
      </c>
      <c r="F68" s="12" t="n">
        <v>3319925</v>
      </c>
      <c r="G68" s="12" t="n">
        <v>2800000</v>
      </c>
      <c r="H68" s="11" t="n">
        <v>14</v>
      </c>
      <c r="I68" s="11" t="s">
        <v>69</v>
      </c>
      <c r="J68" s="11" t="s">
        <v>80</v>
      </c>
      <c r="K68" s="11" t="s">
        <v>81</v>
      </c>
      <c r="L68" s="11" t="s">
        <v>82</v>
      </c>
      <c r="M68" s="11" t="s">
        <v>73</v>
      </c>
      <c r="N68" s="11" t="s">
        <v>143</v>
      </c>
      <c r="O68" s="11" t="s">
        <v>144</v>
      </c>
      <c r="P68" s="11" t="s">
        <v>101</v>
      </c>
      <c r="Q68" s="13" t="n">
        <f aca="false">F68*H68</f>
        <v>46478950</v>
      </c>
      <c r="R68" s="13" t="n">
        <f aca="false">G68*H68</f>
        <v>39200000</v>
      </c>
      <c r="S68" s="13" t="n">
        <f aca="false">Q68-R68</f>
        <v>7278950</v>
      </c>
      <c r="T68" s="14" t="n">
        <f aca="false">IFERROR(S68/Q68,0)</f>
        <v>0.15660745348163</v>
      </c>
      <c r="U68" s="15" t="str">
        <f aca="false">TEXT(A68,"yyyy-mm")</f>
        <v>2022-01</v>
      </c>
    </row>
    <row r="69" customFormat="false" ht="15" hidden="false" customHeight="false" outlineLevel="0" collapsed="false">
      <c r="A69" s="10" t="n">
        <v>44583</v>
      </c>
      <c r="B69" s="11" t="s">
        <v>201</v>
      </c>
      <c r="C69" s="11" t="s">
        <v>108</v>
      </c>
      <c r="D69" s="11" t="s">
        <v>67</v>
      </c>
      <c r="E69" s="11" t="s">
        <v>68</v>
      </c>
      <c r="F69" s="12" t="n">
        <v>4757880</v>
      </c>
      <c r="G69" s="12" t="n">
        <v>3450000</v>
      </c>
      <c r="H69" s="11" t="n">
        <v>7</v>
      </c>
      <c r="I69" s="11" t="s">
        <v>69</v>
      </c>
      <c r="J69" s="11" t="s">
        <v>70</v>
      </c>
      <c r="K69" s="11" t="s">
        <v>71</v>
      </c>
      <c r="L69" s="11" t="s">
        <v>72</v>
      </c>
      <c r="M69" s="11" t="s">
        <v>73</v>
      </c>
      <c r="N69" s="11" t="s">
        <v>133</v>
      </c>
      <c r="O69" s="11" t="s">
        <v>60</v>
      </c>
      <c r="P69" s="11" t="s">
        <v>76</v>
      </c>
      <c r="Q69" s="13" t="n">
        <f aca="false">F69*H69</f>
        <v>33305160</v>
      </c>
      <c r="R69" s="13" t="n">
        <f aca="false">G69*H69</f>
        <v>24150000</v>
      </c>
      <c r="S69" s="13" t="n">
        <f aca="false">Q69-R69</f>
        <v>9155160</v>
      </c>
      <c r="T69" s="14" t="n">
        <f aca="false">IFERROR(S69/Q69,0)</f>
        <v>0.274887134606169</v>
      </c>
      <c r="U69" s="15" t="str">
        <f aca="false">TEXT(A69,"yyyy-mm")</f>
        <v>2022-01</v>
      </c>
    </row>
    <row r="70" customFormat="false" ht="15" hidden="false" customHeight="false" outlineLevel="0" collapsed="false">
      <c r="A70" s="10" t="n">
        <v>44584</v>
      </c>
      <c r="B70" s="11" t="s">
        <v>202</v>
      </c>
      <c r="C70" s="11" t="s">
        <v>111</v>
      </c>
      <c r="D70" s="11" t="s">
        <v>67</v>
      </c>
      <c r="E70" s="11" t="s">
        <v>79</v>
      </c>
      <c r="F70" s="12" t="n">
        <v>3545808</v>
      </c>
      <c r="G70" s="12" t="n">
        <v>3350000</v>
      </c>
      <c r="H70" s="11" t="n">
        <v>7</v>
      </c>
      <c r="I70" s="11" t="s">
        <v>69</v>
      </c>
      <c r="J70" s="11" t="s">
        <v>112</v>
      </c>
      <c r="K70" s="11" t="s">
        <v>113</v>
      </c>
      <c r="L70" s="11" t="s">
        <v>82</v>
      </c>
      <c r="M70" s="11" t="s">
        <v>157</v>
      </c>
      <c r="N70" s="11" t="s">
        <v>104</v>
      </c>
      <c r="O70" s="11" t="s">
        <v>105</v>
      </c>
      <c r="P70" s="11" t="s">
        <v>106</v>
      </c>
      <c r="Q70" s="13" t="n">
        <f aca="false">F70*H70</f>
        <v>24820656</v>
      </c>
      <c r="R70" s="13" t="n">
        <f aca="false">G70*H70</f>
        <v>23450000</v>
      </c>
      <c r="S70" s="13" t="n">
        <f aca="false">Q70-R70</f>
        <v>1370656</v>
      </c>
      <c r="T70" s="14" t="n">
        <f aca="false">IFERROR(S70/Q70,0)</f>
        <v>0.0552223921881839</v>
      </c>
      <c r="U70" s="15" t="str">
        <f aca="false">TEXT(A70,"yyyy-mm")</f>
        <v>2022-01</v>
      </c>
    </row>
    <row r="71" customFormat="false" ht="15" hidden="false" customHeight="false" outlineLevel="0" collapsed="false">
      <c r="A71" s="10" t="n">
        <v>44584</v>
      </c>
      <c r="B71" s="11" t="s">
        <v>203</v>
      </c>
      <c r="C71" s="11" t="s">
        <v>115</v>
      </c>
      <c r="D71" s="11" t="s">
        <v>67</v>
      </c>
      <c r="E71" s="11" t="s">
        <v>98</v>
      </c>
      <c r="F71" s="12" t="n">
        <v>4200743</v>
      </c>
      <c r="G71" s="12" t="n">
        <v>4101000</v>
      </c>
      <c r="H71" s="11" t="n">
        <v>4</v>
      </c>
      <c r="I71" s="11" t="s">
        <v>69</v>
      </c>
      <c r="J71" s="11" t="s">
        <v>80</v>
      </c>
      <c r="K71" s="11" t="s">
        <v>81</v>
      </c>
      <c r="L71" s="11" t="s">
        <v>82</v>
      </c>
      <c r="M71" s="11" t="s">
        <v>73</v>
      </c>
      <c r="N71" s="11" t="s">
        <v>109</v>
      </c>
      <c r="O71" s="11" t="s">
        <v>75</v>
      </c>
      <c r="P71" s="11" t="s">
        <v>95</v>
      </c>
      <c r="Q71" s="13" t="n">
        <f aca="false">F71*H71</f>
        <v>16802972</v>
      </c>
      <c r="R71" s="13" t="n">
        <f aca="false">G71*H71</f>
        <v>16404000</v>
      </c>
      <c r="S71" s="13" t="n">
        <f aca="false">Q71-R71</f>
        <v>398972</v>
      </c>
      <c r="T71" s="14" t="n">
        <f aca="false">IFERROR(S71/Q71,0)</f>
        <v>0.023744132883159</v>
      </c>
      <c r="U71" s="15" t="str">
        <f aca="false">TEXT(A71,"yyyy-mm")</f>
        <v>2022-01</v>
      </c>
    </row>
    <row r="72" customFormat="false" ht="15" hidden="false" customHeight="false" outlineLevel="0" collapsed="false">
      <c r="A72" s="10" t="n">
        <v>44584</v>
      </c>
      <c r="B72" s="11" t="s">
        <v>204</v>
      </c>
      <c r="C72" s="11" t="s">
        <v>117</v>
      </c>
      <c r="D72" s="11" t="s">
        <v>118</v>
      </c>
      <c r="E72" s="11" t="s">
        <v>119</v>
      </c>
      <c r="F72" s="12" t="n">
        <v>8220549</v>
      </c>
      <c r="G72" s="12" t="n">
        <v>6500000</v>
      </c>
      <c r="H72" s="11" t="n">
        <v>25</v>
      </c>
      <c r="I72" s="11" t="s">
        <v>69</v>
      </c>
      <c r="J72" s="11" t="s">
        <v>80</v>
      </c>
      <c r="K72" s="11" t="s">
        <v>81</v>
      </c>
      <c r="L72" s="11" t="s">
        <v>82</v>
      </c>
      <c r="M72" s="11" t="s">
        <v>73</v>
      </c>
      <c r="N72" s="11" t="s">
        <v>74</v>
      </c>
      <c r="O72" s="11" t="s">
        <v>75</v>
      </c>
      <c r="P72" s="11" t="s">
        <v>76</v>
      </c>
      <c r="Q72" s="13" t="n">
        <f aca="false">F72*H72</f>
        <v>205513725</v>
      </c>
      <c r="R72" s="13" t="n">
        <f aca="false">G72*H72</f>
        <v>162500000</v>
      </c>
      <c r="S72" s="13" t="n">
        <f aca="false">Q72-R72</f>
        <v>43013725</v>
      </c>
      <c r="T72" s="14" t="n">
        <f aca="false">IFERROR(S72/Q72,0)</f>
        <v>0.209298551714733</v>
      </c>
      <c r="U72" s="15" t="str">
        <f aca="false">TEXT(A72,"yyyy-mm")</f>
        <v>2022-01</v>
      </c>
    </row>
    <row r="73" customFormat="false" ht="15" hidden="false" customHeight="false" outlineLevel="0" collapsed="false">
      <c r="A73" s="10" t="n">
        <v>44584</v>
      </c>
      <c r="B73" s="11" t="s">
        <v>205</v>
      </c>
      <c r="C73" s="11" t="s">
        <v>121</v>
      </c>
      <c r="D73" s="11" t="s">
        <v>118</v>
      </c>
      <c r="E73" s="11" t="s">
        <v>122</v>
      </c>
      <c r="F73" s="12" t="n">
        <v>7687274</v>
      </c>
      <c r="G73" s="12" t="n">
        <v>6500000</v>
      </c>
      <c r="H73" s="11" t="n">
        <v>13</v>
      </c>
      <c r="I73" s="11" t="s">
        <v>86</v>
      </c>
      <c r="J73" s="11" t="s">
        <v>87</v>
      </c>
      <c r="K73" s="11" t="s">
        <v>88</v>
      </c>
      <c r="L73" s="11" t="s">
        <v>89</v>
      </c>
      <c r="M73" s="11" t="s">
        <v>90</v>
      </c>
      <c r="N73" s="11" t="s">
        <v>74</v>
      </c>
      <c r="O73" s="11" t="s">
        <v>75</v>
      </c>
      <c r="P73" s="11" t="s">
        <v>76</v>
      </c>
      <c r="Q73" s="13" t="n">
        <f aca="false">F73*H73</f>
        <v>99934562</v>
      </c>
      <c r="R73" s="13" t="n">
        <f aca="false">G73*H73</f>
        <v>84500000</v>
      </c>
      <c r="S73" s="13" t="n">
        <f aca="false">Q73-R73</f>
        <v>15434562</v>
      </c>
      <c r="T73" s="14" t="n">
        <f aca="false">IFERROR(S73/Q73,0)</f>
        <v>0.154446686822923</v>
      </c>
      <c r="U73" s="15" t="str">
        <f aca="false">TEXT(A73,"yyyy-mm")</f>
        <v>2022-01</v>
      </c>
    </row>
    <row r="74" customFormat="false" ht="15" hidden="false" customHeight="false" outlineLevel="0" collapsed="false">
      <c r="A74" s="10" t="n">
        <v>44584</v>
      </c>
      <c r="B74" s="11" t="s">
        <v>206</v>
      </c>
      <c r="C74" s="11" t="s">
        <v>125</v>
      </c>
      <c r="D74" s="11" t="s">
        <v>118</v>
      </c>
      <c r="E74" s="11" t="s">
        <v>126</v>
      </c>
      <c r="F74" s="12" t="n">
        <v>5684211</v>
      </c>
      <c r="G74" s="12" t="n">
        <v>4300000</v>
      </c>
      <c r="H74" s="11" t="n">
        <v>1</v>
      </c>
      <c r="I74" s="11" t="s">
        <v>69</v>
      </c>
      <c r="J74" s="11" t="s">
        <v>80</v>
      </c>
      <c r="K74" s="11" t="s">
        <v>81</v>
      </c>
      <c r="L74" s="11" t="s">
        <v>82</v>
      </c>
      <c r="M74" s="11" t="s">
        <v>73</v>
      </c>
      <c r="N74" s="11" t="s">
        <v>149</v>
      </c>
      <c r="O74" s="11" t="s">
        <v>150</v>
      </c>
      <c r="P74" s="11" t="s">
        <v>151</v>
      </c>
      <c r="Q74" s="13" t="n">
        <f aca="false">F74*H74</f>
        <v>5684211</v>
      </c>
      <c r="R74" s="13" t="n">
        <f aca="false">G74*H74</f>
        <v>4300000</v>
      </c>
      <c r="S74" s="13" t="n">
        <f aca="false">Q74-R74</f>
        <v>1384211</v>
      </c>
      <c r="T74" s="14" t="n">
        <f aca="false">IFERROR(S74/Q74,0)</f>
        <v>0.243518581558637</v>
      </c>
      <c r="U74" s="15" t="str">
        <f aca="false">TEXT(A74,"yyyy-mm")</f>
        <v>2022-01</v>
      </c>
    </row>
    <row r="75" customFormat="false" ht="15" hidden="false" customHeight="false" outlineLevel="0" collapsed="false">
      <c r="A75" s="10" t="n">
        <v>44586</v>
      </c>
      <c r="B75" s="11" t="s">
        <v>207</v>
      </c>
      <c r="C75" s="11" t="s">
        <v>128</v>
      </c>
      <c r="D75" s="11" t="s">
        <v>118</v>
      </c>
      <c r="E75" s="11" t="s">
        <v>119</v>
      </c>
      <c r="F75" s="12" t="n">
        <v>3370302</v>
      </c>
      <c r="G75" s="12" t="n">
        <v>2100000</v>
      </c>
      <c r="H75" s="11" t="n">
        <v>15</v>
      </c>
      <c r="I75" s="11" t="s">
        <v>86</v>
      </c>
      <c r="J75" s="11" t="s">
        <v>87</v>
      </c>
      <c r="K75" s="11" t="s">
        <v>88</v>
      </c>
      <c r="L75" s="11" t="s">
        <v>89</v>
      </c>
      <c r="M75" s="11" t="s">
        <v>90</v>
      </c>
      <c r="N75" s="11" t="s">
        <v>109</v>
      </c>
      <c r="O75" s="11" t="s">
        <v>75</v>
      </c>
      <c r="P75" s="11" t="s">
        <v>95</v>
      </c>
      <c r="Q75" s="13" t="n">
        <f aca="false">F75*H75</f>
        <v>50554530</v>
      </c>
      <c r="R75" s="13" t="n">
        <f aca="false">G75*H75</f>
        <v>31500000</v>
      </c>
      <c r="S75" s="13" t="n">
        <f aca="false">Q75-R75</f>
        <v>19054530</v>
      </c>
      <c r="T75" s="14" t="n">
        <f aca="false">IFERROR(S75/Q75,0)</f>
        <v>0.37691043710623</v>
      </c>
      <c r="U75" s="15" t="str">
        <f aca="false">TEXT(A75,"yyyy-mm")</f>
        <v>2022-01</v>
      </c>
    </row>
    <row r="76" customFormat="false" ht="15" hidden="false" customHeight="false" outlineLevel="0" collapsed="false">
      <c r="A76" s="10" t="n">
        <v>44586</v>
      </c>
      <c r="B76" s="11" t="s">
        <v>208</v>
      </c>
      <c r="C76" s="11" t="s">
        <v>130</v>
      </c>
      <c r="D76" s="11" t="s">
        <v>118</v>
      </c>
      <c r="E76" s="11" t="s">
        <v>68</v>
      </c>
      <c r="F76" s="12" t="n">
        <v>2852897</v>
      </c>
      <c r="G76" s="12" t="n">
        <v>2450000</v>
      </c>
      <c r="H76" s="11" t="n">
        <v>12</v>
      </c>
      <c r="I76" s="11" t="s">
        <v>69</v>
      </c>
      <c r="J76" s="11" t="s">
        <v>70</v>
      </c>
      <c r="K76" s="11" t="s">
        <v>71</v>
      </c>
      <c r="L76" s="11" t="s">
        <v>72</v>
      </c>
      <c r="M76" s="11" t="s">
        <v>73</v>
      </c>
      <c r="N76" s="11" t="s">
        <v>104</v>
      </c>
      <c r="O76" s="11" t="s">
        <v>105</v>
      </c>
      <c r="P76" s="11" t="s">
        <v>106</v>
      </c>
      <c r="Q76" s="13" t="n">
        <f aca="false">F76*H76</f>
        <v>34234764</v>
      </c>
      <c r="R76" s="13" t="n">
        <f aca="false">G76*H76</f>
        <v>29400000</v>
      </c>
      <c r="S76" s="13" t="n">
        <f aca="false">Q76-R76</f>
        <v>4834764</v>
      </c>
      <c r="T76" s="14" t="n">
        <f aca="false">IFERROR(S76/Q76,0)</f>
        <v>0.141223815651249</v>
      </c>
      <c r="U76" s="15" t="str">
        <f aca="false">TEXT(A76,"yyyy-mm")</f>
        <v>2022-01</v>
      </c>
    </row>
    <row r="77" customFormat="false" ht="15" hidden="false" customHeight="false" outlineLevel="0" collapsed="false">
      <c r="A77" s="10" t="n">
        <v>44586</v>
      </c>
      <c r="B77" s="11" t="s">
        <v>209</v>
      </c>
      <c r="C77" s="11" t="s">
        <v>132</v>
      </c>
      <c r="D77" s="11" t="s">
        <v>118</v>
      </c>
      <c r="E77" s="11" t="s">
        <v>68</v>
      </c>
      <c r="F77" s="12" t="n">
        <v>4803603</v>
      </c>
      <c r="G77" s="12" t="n">
        <v>4121000</v>
      </c>
      <c r="H77" s="11" t="n">
        <v>22</v>
      </c>
      <c r="I77" s="11" t="s">
        <v>69</v>
      </c>
      <c r="J77" s="11" t="s">
        <v>80</v>
      </c>
      <c r="K77" s="11" t="s">
        <v>81</v>
      </c>
      <c r="L77" s="11" t="s">
        <v>82</v>
      </c>
      <c r="M77" s="11" t="s">
        <v>73</v>
      </c>
      <c r="N77" s="11" t="s">
        <v>99</v>
      </c>
      <c r="O77" s="11" t="s">
        <v>100</v>
      </c>
      <c r="P77" s="11" t="s">
        <v>101</v>
      </c>
      <c r="Q77" s="13" t="n">
        <f aca="false">F77*H77</f>
        <v>105679266</v>
      </c>
      <c r="R77" s="13" t="n">
        <f aca="false">G77*H77</f>
        <v>90662000</v>
      </c>
      <c r="S77" s="13" t="n">
        <f aca="false">Q77-R77</f>
        <v>15017266</v>
      </c>
      <c r="T77" s="14" t="n">
        <f aca="false">IFERROR(S77/Q77,0)</f>
        <v>0.142102292799801</v>
      </c>
      <c r="U77" s="15" t="str">
        <f aca="false">TEXT(A77,"yyyy-mm")</f>
        <v>2022-01</v>
      </c>
    </row>
    <row r="78" customFormat="false" ht="15" hidden="false" customHeight="false" outlineLevel="0" collapsed="false">
      <c r="A78" s="10" t="n">
        <v>44587</v>
      </c>
      <c r="B78" s="11" t="s">
        <v>210</v>
      </c>
      <c r="C78" s="11" t="s">
        <v>135</v>
      </c>
      <c r="D78" s="11" t="s">
        <v>118</v>
      </c>
      <c r="E78" s="11" t="s">
        <v>68</v>
      </c>
      <c r="F78" s="12" t="n">
        <v>5689947</v>
      </c>
      <c r="G78" s="12" t="n">
        <v>5235000</v>
      </c>
      <c r="H78" s="11" t="n">
        <v>6</v>
      </c>
      <c r="I78" s="11" t="s">
        <v>69</v>
      </c>
      <c r="J78" s="11" t="s">
        <v>80</v>
      </c>
      <c r="K78" s="11" t="s">
        <v>81</v>
      </c>
      <c r="L78" s="11" t="s">
        <v>82</v>
      </c>
      <c r="M78" s="11" t="s">
        <v>73</v>
      </c>
      <c r="N78" s="11" t="s">
        <v>123</v>
      </c>
      <c r="O78" s="11" t="s">
        <v>60</v>
      </c>
      <c r="P78" s="11" t="s">
        <v>106</v>
      </c>
      <c r="Q78" s="13" t="n">
        <f aca="false">F78*H78</f>
        <v>34139682</v>
      </c>
      <c r="R78" s="13" t="n">
        <f aca="false">G78*H78</f>
        <v>31410000</v>
      </c>
      <c r="S78" s="13" t="n">
        <f aca="false">Q78-R78</f>
        <v>2729682</v>
      </c>
      <c r="T78" s="14" t="n">
        <f aca="false">IFERROR(S78/Q78,0)</f>
        <v>0.0799562807878527</v>
      </c>
      <c r="U78" s="15" t="str">
        <f aca="false">TEXT(A78,"yyyy-mm")</f>
        <v>2022-01</v>
      </c>
    </row>
    <row r="79" customFormat="false" ht="15" hidden="false" customHeight="false" outlineLevel="0" collapsed="false">
      <c r="A79" s="10" t="n">
        <v>44588</v>
      </c>
      <c r="B79" s="11" t="s">
        <v>211</v>
      </c>
      <c r="C79" s="11" t="s">
        <v>137</v>
      </c>
      <c r="D79" s="11" t="s">
        <v>138</v>
      </c>
      <c r="E79" s="11" t="s">
        <v>139</v>
      </c>
      <c r="F79" s="12" t="n">
        <v>5171827</v>
      </c>
      <c r="G79" s="12" t="n">
        <v>4890000</v>
      </c>
      <c r="H79" s="11" t="n">
        <v>6</v>
      </c>
      <c r="I79" s="11" t="s">
        <v>69</v>
      </c>
      <c r="J79" s="11" t="s">
        <v>80</v>
      </c>
      <c r="K79" s="11" t="s">
        <v>81</v>
      </c>
      <c r="L79" s="11" t="s">
        <v>82</v>
      </c>
      <c r="M79" s="11" t="s">
        <v>73</v>
      </c>
      <c r="N79" s="11" t="s">
        <v>133</v>
      </c>
      <c r="O79" s="11" t="s">
        <v>60</v>
      </c>
      <c r="P79" s="11" t="s">
        <v>76</v>
      </c>
      <c r="Q79" s="13" t="n">
        <f aca="false">F79*H79</f>
        <v>31030962</v>
      </c>
      <c r="R79" s="13" t="n">
        <f aca="false">G79*H79</f>
        <v>29340000</v>
      </c>
      <c r="S79" s="13" t="n">
        <f aca="false">Q79-R79</f>
        <v>1690962</v>
      </c>
      <c r="T79" s="14" t="n">
        <f aca="false">IFERROR(S79/Q79,0)</f>
        <v>0.0544927353525166</v>
      </c>
      <c r="U79" s="15" t="str">
        <f aca="false">TEXT(A79,"yyyy-mm")</f>
        <v>2022-01</v>
      </c>
    </row>
    <row r="80" customFormat="false" ht="15" hidden="false" customHeight="false" outlineLevel="0" collapsed="false">
      <c r="A80" s="10" t="n">
        <v>44588</v>
      </c>
      <c r="B80" s="11" t="s">
        <v>212</v>
      </c>
      <c r="C80" s="11" t="s">
        <v>141</v>
      </c>
      <c r="D80" s="11" t="s">
        <v>138</v>
      </c>
      <c r="E80" s="11" t="s">
        <v>142</v>
      </c>
      <c r="F80" s="12" t="n">
        <v>2805124</v>
      </c>
      <c r="G80" s="12" t="n">
        <v>2178000</v>
      </c>
      <c r="H80" s="11" t="n">
        <v>30</v>
      </c>
      <c r="I80" s="11" t="s">
        <v>69</v>
      </c>
      <c r="J80" s="11" t="s">
        <v>112</v>
      </c>
      <c r="K80" s="11" t="s">
        <v>113</v>
      </c>
      <c r="L80" s="11" t="s">
        <v>82</v>
      </c>
      <c r="M80" s="11" t="s">
        <v>157</v>
      </c>
      <c r="N80" s="11" t="s">
        <v>74</v>
      </c>
      <c r="O80" s="11" t="s">
        <v>75</v>
      </c>
      <c r="P80" s="11" t="s">
        <v>76</v>
      </c>
      <c r="Q80" s="13" t="n">
        <f aca="false">F80*H80</f>
        <v>84153720</v>
      </c>
      <c r="R80" s="13" t="n">
        <f aca="false">G80*H80</f>
        <v>65340000</v>
      </c>
      <c r="S80" s="13" t="n">
        <f aca="false">Q80-R80</f>
        <v>18813720</v>
      </c>
      <c r="T80" s="14" t="n">
        <f aca="false">IFERROR(S80/Q80,0)</f>
        <v>0.22356373550688</v>
      </c>
      <c r="U80" s="15" t="str">
        <f aca="false">TEXT(A80,"yyyy-mm")</f>
        <v>2022-01</v>
      </c>
    </row>
    <row r="81" customFormat="false" ht="15" hidden="false" customHeight="false" outlineLevel="0" collapsed="false">
      <c r="A81" s="10" t="n">
        <v>44589</v>
      </c>
      <c r="B81" s="11" t="s">
        <v>213</v>
      </c>
      <c r="C81" s="11" t="s">
        <v>146</v>
      </c>
      <c r="D81" s="11" t="s">
        <v>138</v>
      </c>
      <c r="E81" s="11" t="s">
        <v>139</v>
      </c>
      <c r="F81" s="12" t="n">
        <v>2728100</v>
      </c>
      <c r="G81" s="12" t="n">
        <v>2321000</v>
      </c>
      <c r="H81" s="11" t="n">
        <v>5</v>
      </c>
      <c r="I81" s="11" t="s">
        <v>69</v>
      </c>
      <c r="J81" s="11" t="s">
        <v>112</v>
      </c>
      <c r="K81" s="11" t="s">
        <v>113</v>
      </c>
      <c r="L81" s="11" t="s">
        <v>82</v>
      </c>
      <c r="M81" s="11" t="s">
        <v>157</v>
      </c>
      <c r="N81" s="11" t="s">
        <v>173</v>
      </c>
      <c r="O81" s="11" t="s">
        <v>174</v>
      </c>
      <c r="P81" s="11" t="s">
        <v>95</v>
      </c>
      <c r="Q81" s="13" t="n">
        <f aca="false">F81*H81</f>
        <v>13640500</v>
      </c>
      <c r="R81" s="13" t="n">
        <f aca="false">G81*H81</f>
        <v>11605000</v>
      </c>
      <c r="S81" s="13" t="n">
        <f aca="false">Q81-R81</f>
        <v>2035500</v>
      </c>
      <c r="T81" s="14" t="n">
        <f aca="false">IFERROR(S81/Q81,0)</f>
        <v>0.149224735163667</v>
      </c>
      <c r="U81" s="15" t="str">
        <f aca="false">TEXT(A81,"yyyy-mm")</f>
        <v>2022-01</v>
      </c>
    </row>
    <row r="82" customFormat="false" ht="15" hidden="false" customHeight="false" outlineLevel="0" collapsed="false">
      <c r="A82" s="10" t="n">
        <v>44589</v>
      </c>
      <c r="B82" s="11" t="s">
        <v>214</v>
      </c>
      <c r="C82" s="11" t="s">
        <v>148</v>
      </c>
      <c r="D82" s="11" t="s">
        <v>138</v>
      </c>
      <c r="E82" s="11" t="s">
        <v>122</v>
      </c>
      <c r="F82" s="12" t="n">
        <v>4941716</v>
      </c>
      <c r="G82" s="12" t="n">
        <v>4456000</v>
      </c>
      <c r="H82" s="11" t="n">
        <v>15</v>
      </c>
      <c r="I82" s="11" t="s">
        <v>69</v>
      </c>
      <c r="J82" s="11" t="s">
        <v>80</v>
      </c>
      <c r="K82" s="11" t="s">
        <v>81</v>
      </c>
      <c r="L82" s="11" t="s">
        <v>82</v>
      </c>
      <c r="M82" s="11" t="s">
        <v>73</v>
      </c>
      <c r="N82" s="11" t="s">
        <v>109</v>
      </c>
      <c r="O82" s="11" t="s">
        <v>75</v>
      </c>
      <c r="P82" s="11" t="s">
        <v>95</v>
      </c>
      <c r="Q82" s="13" t="n">
        <f aca="false">F82*H82</f>
        <v>74125740</v>
      </c>
      <c r="R82" s="13" t="n">
        <f aca="false">G82*H82</f>
        <v>66840000</v>
      </c>
      <c r="S82" s="13" t="n">
        <f aca="false">Q82-R82</f>
        <v>7285740</v>
      </c>
      <c r="T82" s="14" t="n">
        <f aca="false">IFERROR(S82/Q82,0)</f>
        <v>0.0982889344511097</v>
      </c>
      <c r="U82" s="15" t="str">
        <f aca="false">TEXT(A82,"yyyy-mm")</f>
        <v>2022-01</v>
      </c>
    </row>
    <row r="83" customFormat="false" ht="15" hidden="false" customHeight="false" outlineLevel="0" collapsed="false">
      <c r="A83" s="10" t="n">
        <v>44589</v>
      </c>
      <c r="B83" s="11" t="s">
        <v>215</v>
      </c>
      <c r="C83" s="11" t="s">
        <v>66</v>
      </c>
      <c r="D83" s="11" t="s">
        <v>67</v>
      </c>
      <c r="E83" s="11" t="s">
        <v>68</v>
      </c>
      <c r="F83" s="12" t="n">
        <v>3048952</v>
      </c>
      <c r="G83" s="12" t="n">
        <v>2560000</v>
      </c>
      <c r="H83" s="11" t="n">
        <v>19</v>
      </c>
      <c r="I83" s="11" t="s">
        <v>69</v>
      </c>
      <c r="J83" s="11" t="s">
        <v>70</v>
      </c>
      <c r="K83" s="11" t="s">
        <v>71</v>
      </c>
      <c r="L83" s="11" t="s">
        <v>72</v>
      </c>
      <c r="M83" s="11" t="s">
        <v>73</v>
      </c>
      <c r="N83" s="11" t="s">
        <v>123</v>
      </c>
      <c r="O83" s="11" t="s">
        <v>60</v>
      </c>
      <c r="P83" s="11" t="s">
        <v>106</v>
      </c>
      <c r="Q83" s="13" t="n">
        <f aca="false">F83*H83</f>
        <v>57930088</v>
      </c>
      <c r="R83" s="13" t="n">
        <f aca="false">G83*H83</f>
        <v>48640000</v>
      </c>
      <c r="S83" s="13" t="n">
        <f aca="false">Q83-R83</f>
        <v>9290088</v>
      </c>
      <c r="T83" s="14" t="n">
        <f aca="false">IFERROR(S83/Q83,0)</f>
        <v>0.160367234380863</v>
      </c>
      <c r="U83" s="15" t="str">
        <f aca="false">TEXT(A83,"yyyy-mm")</f>
        <v>2022-01</v>
      </c>
    </row>
    <row r="84" customFormat="false" ht="15" hidden="false" customHeight="false" outlineLevel="0" collapsed="false">
      <c r="A84" s="10" t="n">
        <v>44590</v>
      </c>
      <c r="B84" s="11" t="s">
        <v>216</v>
      </c>
      <c r="C84" s="11" t="s">
        <v>78</v>
      </c>
      <c r="D84" s="11" t="s">
        <v>67</v>
      </c>
      <c r="E84" s="11" t="s">
        <v>79</v>
      </c>
      <c r="F84" s="12" t="n">
        <v>1870000</v>
      </c>
      <c r="G84" s="12" t="n">
        <v>1650000</v>
      </c>
      <c r="H84" s="11" t="n">
        <v>15</v>
      </c>
      <c r="I84" s="11" t="s">
        <v>69</v>
      </c>
      <c r="J84" s="11" t="s">
        <v>80</v>
      </c>
      <c r="K84" s="11" t="s">
        <v>81</v>
      </c>
      <c r="L84" s="11" t="s">
        <v>82</v>
      </c>
      <c r="M84" s="11" t="s">
        <v>73</v>
      </c>
      <c r="N84" s="11" t="s">
        <v>104</v>
      </c>
      <c r="O84" s="11" t="s">
        <v>105</v>
      </c>
      <c r="P84" s="11" t="s">
        <v>106</v>
      </c>
      <c r="Q84" s="13" t="n">
        <f aca="false">F84*H84</f>
        <v>28050000</v>
      </c>
      <c r="R84" s="13" t="n">
        <f aca="false">G84*H84</f>
        <v>24750000</v>
      </c>
      <c r="S84" s="13" t="n">
        <f aca="false">Q84-R84</f>
        <v>3300000</v>
      </c>
      <c r="T84" s="14" t="n">
        <f aca="false">IFERROR(S84/Q84,0)</f>
        <v>0.117647058823529</v>
      </c>
      <c r="U84" s="15" t="str">
        <f aca="false">TEXT(A84,"yyyy-mm")</f>
        <v>2022-01</v>
      </c>
    </row>
    <row r="85" customFormat="false" ht="15" hidden="false" customHeight="false" outlineLevel="0" collapsed="false">
      <c r="A85" s="10" t="n">
        <v>44590</v>
      </c>
      <c r="B85" s="11" t="s">
        <v>217</v>
      </c>
      <c r="C85" s="11" t="s">
        <v>84</v>
      </c>
      <c r="D85" s="11" t="s">
        <v>67</v>
      </c>
      <c r="E85" s="11" t="s">
        <v>85</v>
      </c>
      <c r="F85" s="12" t="n">
        <v>2600000</v>
      </c>
      <c r="G85" s="12" t="n">
        <v>2300000</v>
      </c>
      <c r="H85" s="11" t="n">
        <v>13</v>
      </c>
      <c r="I85" s="11" t="s">
        <v>69</v>
      </c>
      <c r="J85" s="11" t="s">
        <v>80</v>
      </c>
      <c r="K85" s="11" t="s">
        <v>81</v>
      </c>
      <c r="L85" s="11" t="s">
        <v>82</v>
      </c>
      <c r="M85" s="11" t="s">
        <v>73</v>
      </c>
      <c r="N85" s="11" t="s">
        <v>99</v>
      </c>
      <c r="O85" s="11" t="s">
        <v>100</v>
      </c>
      <c r="P85" s="11" t="s">
        <v>101</v>
      </c>
      <c r="Q85" s="13" t="n">
        <f aca="false">F85*H85</f>
        <v>33800000</v>
      </c>
      <c r="R85" s="13" t="n">
        <f aca="false">G85*H85</f>
        <v>29900000</v>
      </c>
      <c r="S85" s="13" t="n">
        <f aca="false">Q85-R85</f>
        <v>3900000</v>
      </c>
      <c r="T85" s="14" t="n">
        <f aca="false">IFERROR(S85/Q85,0)</f>
        <v>0.115384615384615</v>
      </c>
      <c r="U85" s="15" t="str">
        <f aca="false">TEXT(A85,"yyyy-mm")</f>
        <v>2022-01</v>
      </c>
    </row>
    <row r="86" customFormat="false" ht="15" hidden="false" customHeight="false" outlineLevel="0" collapsed="false">
      <c r="A86" s="10" t="n">
        <v>44590</v>
      </c>
      <c r="B86" s="11" t="s">
        <v>218</v>
      </c>
      <c r="C86" s="11" t="s">
        <v>92</v>
      </c>
      <c r="D86" s="11" t="s">
        <v>67</v>
      </c>
      <c r="E86" s="11" t="s">
        <v>79</v>
      </c>
      <c r="F86" s="12" t="n">
        <v>3577480</v>
      </c>
      <c r="G86" s="12" t="n">
        <v>3100000</v>
      </c>
      <c r="H86" s="11" t="n">
        <v>25</v>
      </c>
      <c r="I86" s="11" t="s">
        <v>69</v>
      </c>
      <c r="J86" s="11" t="s">
        <v>80</v>
      </c>
      <c r="K86" s="11" t="s">
        <v>81</v>
      </c>
      <c r="L86" s="11" t="s">
        <v>82</v>
      </c>
      <c r="M86" s="11" t="s">
        <v>73</v>
      </c>
      <c r="N86" s="11" t="s">
        <v>143</v>
      </c>
      <c r="O86" s="11" t="s">
        <v>144</v>
      </c>
      <c r="P86" s="11" t="s">
        <v>101</v>
      </c>
      <c r="Q86" s="13" t="n">
        <f aca="false">F86*H86</f>
        <v>89437000</v>
      </c>
      <c r="R86" s="13" t="n">
        <f aca="false">G86*H86</f>
        <v>77500000</v>
      </c>
      <c r="S86" s="13" t="n">
        <f aca="false">Q86-R86</f>
        <v>11937000</v>
      </c>
      <c r="T86" s="14" t="n">
        <f aca="false">IFERROR(S86/Q86,0)</f>
        <v>0.133468251394837</v>
      </c>
      <c r="U86" s="15" t="str">
        <f aca="false">TEXT(A86,"yyyy-mm")</f>
        <v>2022-01</v>
      </c>
    </row>
    <row r="87" customFormat="false" ht="15" hidden="false" customHeight="false" outlineLevel="0" collapsed="false">
      <c r="A87" s="10" t="n">
        <v>44591</v>
      </c>
      <c r="B87" s="11" t="s">
        <v>219</v>
      </c>
      <c r="C87" s="11" t="s">
        <v>97</v>
      </c>
      <c r="D87" s="11" t="s">
        <v>67</v>
      </c>
      <c r="E87" s="11" t="s">
        <v>98</v>
      </c>
      <c r="F87" s="12" t="n">
        <v>4969724</v>
      </c>
      <c r="G87" s="12" t="n">
        <v>4121560</v>
      </c>
      <c r="H87" s="11" t="n">
        <v>16</v>
      </c>
      <c r="I87" s="11" t="s">
        <v>69</v>
      </c>
      <c r="J87" s="11" t="s">
        <v>80</v>
      </c>
      <c r="K87" s="11" t="s">
        <v>81</v>
      </c>
      <c r="L87" s="11" t="s">
        <v>82</v>
      </c>
      <c r="M87" s="11" t="s">
        <v>73</v>
      </c>
      <c r="N87" s="11" t="s">
        <v>99</v>
      </c>
      <c r="O87" s="11" t="s">
        <v>100</v>
      </c>
      <c r="P87" s="11" t="s">
        <v>101</v>
      </c>
      <c r="Q87" s="13" t="n">
        <f aca="false">F87*H87</f>
        <v>79515584</v>
      </c>
      <c r="R87" s="13" t="n">
        <f aca="false">G87*H87</f>
        <v>65944960</v>
      </c>
      <c r="S87" s="13" t="n">
        <f aca="false">Q87-R87</f>
        <v>13570624</v>
      </c>
      <c r="T87" s="14" t="n">
        <f aca="false">IFERROR(S87/Q87,0)</f>
        <v>0.170666218083741</v>
      </c>
      <c r="U87" s="15" t="str">
        <f aca="false">TEXT(A87,"yyyy-mm")</f>
        <v>2022-01</v>
      </c>
    </row>
    <row r="88" customFormat="false" ht="15" hidden="false" customHeight="false" outlineLevel="0" collapsed="false">
      <c r="A88" s="10" t="n">
        <v>44591</v>
      </c>
      <c r="B88" s="11" t="s">
        <v>220</v>
      </c>
      <c r="C88" s="11" t="s">
        <v>103</v>
      </c>
      <c r="D88" s="11" t="s">
        <v>67</v>
      </c>
      <c r="E88" s="11" t="s">
        <v>68</v>
      </c>
      <c r="F88" s="12" t="n">
        <v>3319925</v>
      </c>
      <c r="G88" s="12" t="n">
        <v>2800000</v>
      </c>
      <c r="H88" s="11" t="n">
        <v>9</v>
      </c>
      <c r="I88" s="11" t="s">
        <v>69</v>
      </c>
      <c r="J88" s="11" t="s">
        <v>70</v>
      </c>
      <c r="K88" s="11" t="s">
        <v>71</v>
      </c>
      <c r="L88" s="11" t="s">
        <v>72</v>
      </c>
      <c r="M88" s="11" t="s">
        <v>73</v>
      </c>
      <c r="N88" s="11" t="s">
        <v>123</v>
      </c>
      <c r="O88" s="11" t="s">
        <v>60</v>
      </c>
      <c r="P88" s="11" t="s">
        <v>106</v>
      </c>
      <c r="Q88" s="13" t="n">
        <f aca="false">F88*H88</f>
        <v>29879325</v>
      </c>
      <c r="R88" s="13" t="n">
        <f aca="false">G88*H88</f>
        <v>25200000</v>
      </c>
      <c r="S88" s="13" t="n">
        <f aca="false">Q88-R88</f>
        <v>4679325</v>
      </c>
      <c r="T88" s="14" t="n">
        <f aca="false">IFERROR(S88/Q88,0)</f>
        <v>0.15660745348163</v>
      </c>
      <c r="U88" s="15" t="str">
        <f aca="false">TEXT(A88,"yyyy-mm")</f>
        <v>2022-01</v>
      </c>
    </row>
    <row r="89" customFormat="false" ht="15" hidden="false" customHeight="false" outlineLevel="0" collapsed="false">
      <c r="A89" s="10" t="n">
        <v>44591</v>
      </c>
      <c r="B89" s="11" t="s">
        <v>221</v>
      </c>
      <c r="C89" s="11" t="s">
        <v>108</v>
      </c>
      <c r="D89" s="11" t="s">
        <v>67</v>
      </c>
      <c r="E89" s="11" t="s">
        <v>68</v>
      </c>
      <c r="F89" s="12" t="n">
        <v>4757880</v>
      </c>
      <c r="G89" s="12" t="n">
        <v>3450000</v>
      </c>
      <c r="H89" s="11" t="n">
        <v>15</v>
      </c>
      <c r="I89" s="11" t="s">
        <v>69</v>
      </c>
      <c r="J89" s="11" t="s">
        <v>70</v>
      </c>
      <c r="K89" s="11" t="s">
        <v>71</v>
      </c>
      <c r="L89" s="11" t="s">
        <v>72</v>
      </c>
      <c r="M89" s="11" t="s">
        <v>73</v>
      </c>
      <c r="N89" s="11" t="s">
        <v>74</v>
      </c>
      <c r="O89" s="11" t="s">
        <v>75</v>
      </c>
      <c r="P89" s="11" t="s">
        <v>76</v>
      </c>
      <c r="Q89" s="13" t="n">
        <f aca="false">F89*H89</f>
        <v>71368200</v>
      </c>
      <c r="R89" s="13" t="n">
        <f aca="false">G89*H89</f>
        <v>51750000</v>
      </c>
      <c r="S89" s="13" t="n">
        <f aca="false">Q89-R89</f>
        <v>19618200</v>
      </c>
      <c r="T89" s="14" t="n">
        <f aca="false">IFERROR(S89/Q89,0)</f>
        <v>0.274887134606169</v>
      </c>
      <c r="U89" s="15" t="str">
        <f aca="false">TEXT(A89,"yyyy-mm")</f>
        <v>2022-01</v>
      </c>
    </row>
    <row r="90" customFormat="false" ht="15" hidden="false" customHeight="false" outlineLevel="0" collapsed="false">
      <c r="A90" s="10" t="n">
        <v>44591</v>
      </c>
      <c r="B90" s="11" t="s">
        <v>222</v>
      </c>
      <c r="C90" s="11" t="s">
        <v>111</v>
      </c>
      <c r="D90" s="11" t="s">
        <v>67</v>
      </c>
      <c r="E90" s="11" t="s">
        <v>79</v>
      </c>
      <c r="F90" s="12" t="n">
        <v>3545808</v>
      </c>
      <c r="G90" s="12" t="n">
        <v>3350000</v>
      </c>
      <c r="H90" s="11" t="n">
        <v>18</v>
      </c>
      <c r="I90" s="11" t="s">
        <v>69</v>
      </c>
      <c r="J90" s="11" t="s">
        <v>80</v>
      </c>
      <c r="K90" s="11" t="s">
        <v>81</v>
      </c>
      <c r="L90" s="11" t="s">
        <v>82</v>
      </c>
      <c r="M90" s="11" t="s">
        <v>73</v>
      </c>
      <c r="N90" s="11" t="s">
        <v>149</v>
      </c>
      <c r="O90" s="11" t="s">
        <v>150</v>
      </c>
      <c r="P90" s="11" t="s">
        <v>151</v>
      </c>
      <c r="Q90" s="13" t="n">
        <f aca="false">F90*H90</f>
        <v>63824544</v>
      </c>
      <c r="R90" s="13" t="n">
        <f aca="false">G90*H90</f>
        <v>60300000</v>
      </c>
      <c r="S90" s="13" t="n">
        <f aca="false">Q90-R90</f>
        <v>3524544</v>
      </c>
      <c r="T90" s="14" t="n">
        <f aca="false">IFERROR(S90/Q90,0)</f>
        <v>0.0552223921881839</v>
      </c>
      <c r="U90" s="15" t="str">
        <f aca="false">TEXT(A90,"yyyy-mm")</f>
        <v>2022-01</v>
      </c>
    </row>
    <row r="91" customFormat="false" ht="15" hidden="false" customHeight="false" outlineLevel="0" collapsed="false">
      <c r="A91" s="10" t="n">
        <v>44592</v>
      </c>
      <c r="B91" s="11" t="s">
        <v>223</v>
      </c>
      <c r="C91" s="11" t="s">
        <v>115</v>
      </c>
      <c r="D91" s="11" t="s">
        <v>67</v>
      </c>
      <c r="E91" s="11" t="s">
        <v>98</v>
      </c>
      <c r="F91" s="12" t="n">
        <v>4200743</v>
      </c>
      <c r="G91" s="12" t="n">
        <v>4101000</v>
      </c>
      <c r="H91" s="11" t="n">
        <v>5</v>
      </c>
      <c r="I91" s="11" t="s">
        <v>69</v>
      </c>
      <c r="J91" s="11" t="s">
        <v>80</v>
      </c>
      <c r="K91" s="11" t="s">
        <v>81</v>
      </c>
      <c r="L91" s="11" t="s">
        <v>82</v>
      </c>
      <c r="M91" s="11" t="s">
        <v>73</v>
      </c>
      <c r="N91" s="11" t="s">
        <v>149</v>
      </c>
      <c r="O91" s="11" t="s">
        <v>150</v>
      </c>
      <c r="P91" s="11" t="s">
        <v>151</v>
      </c>
      <c r="Q91" s="13" t="n">
        <f aca="false">F91*H91</f>
        <v>21003715</v>
      </c>
      <c r="R91" s="13" t="n">
        <f aca="false">G91*H91</f>
        <v>20505000</v>
      </c>
      <c r="S91" s="13" t="n">
        <f aca="false">Q91-R91</f>
        <v>498715</v>
      </c>
      <c r="T91" s="14" t="n">
        <f aca="false">IFERROR(S91/Q91,0)</f>
        <v>0.023744132883159</v>
      </c>
      <c r="U91" s="15" t="str">
        <f aca="false">TEXT(A91,"yyyy-mm")</f>
        <v>2022-01</v>
      </c>
    </row>
    <row r="92" customFormat="false" ht="15" hidden="false" customHeight="false" outlineLevel="0" collapsed="false">
      <c r="A92" s="10" t="n">
        <v>44592</v>
      </c>
      <c r="B92" s="11" t="s">
        <v>224</v>
      </c>
      <c r="C92" s="11" t="s">
        <v>117</v>
      </c>
      <c r="D92" s="11" t="s">
        <v>118</v>
      </c>
      <c r="E92" s="11" t="s">
        <v>119</v>
      </c>
      <c r="F92" s="12" t="n">
        <v>8220549</v>
      </c>
      <c r="G92" s="12" t="n">
        <v>6500000</v>
      </c>
      <c r="H92" s="11" t="n">
        <v>8</v>
      </c>
      <c r="I92" s="11" t="s">
        <v>86</v>
      </c>
      <c r="J92" s="11" t="s">
        <v>87</v>
      </c>
      <c r="K92" s="11" t="s">
        <v>88</v>
      </c>
      <c r="L92" s="11" t="s">
        <v>89</v>
      </c>
      <c r="M92" s="11" t="s">
        <v>90</v>
      </c>
      <c r="N92" s="11" t="s">
        <v>173</v>
      </c>
      <c r="O92" s="11" t="s">
        <v>174</v>
      </c>
      <c r="P92" s="11" t="s">
        <v>95</v>
      </c>
      <c r="Q92" s="13" t="n">
        <f aca="false">F92*H92</f>
        <v>65764392</v>
      </c>
      <c r="R92" s="13" t="n">
        <f aca="false">G92*H92</f>
        <v>52000000</v>
      </c>
      <c r="S92" s="13" t="n">
        <f aca="false">Q92-R92</f>
        <v>13764392</v>
      </c>
      <c r="T92" s="14" t="n">
        <f aca="false">IFERROR(S92/Q92,0)</f>
        <v>0.209298551714733</v>
      </c>
      <c r="U92" s="15" t="str">
        <f aca="false">TEXT(A92,"yyyy-mm")</f>
        <v>2022-01</v>
      </c>
    </row>
    <row r="93" customFormat="false" ht="15" hidden="false" customHeight="false" outlineLevel="0" collapsed="false">
      <c r="A93" s="10" t="n">
        <v>44593</v>
      </c>
      <c r="B93" s="11" t="s">
        <v>225</v>
      </c>
      <c r="C93" s="11" t="s">
        <v>121</v>
      </c>
      <c r="D93" s="11" t="s">
        <v>118</v>
      </c>
      <c r="E93" s="11" t="s">
        <v>122</v>
      </c>
      <c r="F93" s="12" t="n">
        <v>7687274</v>
      </c>
      <c r="G93" s="12" t="n">
        <v>6500000</v>
      </c>
      <c r="H93" s="11" t="n">
        <v>17</v>
      </c>
      <c r="I93" s="11" t="s">
        <v>69</v>
      </c>
      <c r="J93" s="11" t="s">
        <v>80</v>
      </c>
      <c r="K93" s="11" t="s">
        <v>81</v>
      </c>
      <c r="L93" s="11" t="s">
        <v>82</v>
      </c>
      <c r="M93" s="11" t="s">
        <v>73</v>
      </c>
      <c r="N93" s="11" t="s">
        <v>99</v>
      </c>
      <c r="O93" s="11" t="s">
        <v>100</v>
      </c>
      <c r="P93" s="11" t="s">
        <v>101</v>
      </c>
      <c r="Q93" s="13" t="n">
        <f aca="false">F93*H93</f>
        <v>130683658</v>
      </c>
      <c r="R93" s="13" t="n">
        <f aca="false">G93*H93</f>
        <v>110500000</v>
      </c>
      <c r="S93" s="13" t="n">
        <f aca="false">Q93-R93</f>
        <v>20183658</v>
      </c>
      <c r="T93" s="14" t="n">
        <f aca="false">IFERROR(S93/Q93,0)</f>
        <v>0.154446686822923</v>
      </c>
      <c r="U93" s="15" t="str">
        <f aca="false">TEXT(A93,"yyyy-mm")</f>
        <v>2022-02</v>
      </c>
    </row>
    <row r="94" customFormat="false" ht="15" hidden="false" customHeight="false" outlineLevel="0" collapsed="false">
      <c r="A94" s="10" t="n">
        <v>44594</v>
      </c>
      <c r="B94" s="11" t="s">
        <v>226</v>
      </c>
      <c r="C94" s="11" t="s">
        <v>125</v>
      </c>
      <c r="D94" s="11" t="s">
        <v>118</v>
      </c>
      <c r="E94" s="11" t="s">
        <v>126</v>
      </c>
      <c r="F94" s="12" t="n">
        <v>5684211</v>
      </c>
      <c r="G94" s="12" t="n">
        <v>4300000</v>
      </c>
      <c r="H94" s="11" t="n">
        <v>14</v>
      </c>
      <c r="I94" s="11" t="s">
        <v>69</v>
      </c>
      <c r="J94" s="11" t="s">
        <v>80</v>
      </c>
      <c r="K94" s="11" t="s">
        <v>81</v>
      </c>
      <c r="L94" s="11" t="s">
        <v>82</v>
      </c>
      <c r="M94" s="11" t="s">
        <v>73</v>
      </c>
      <c r="N94" s="11" t="s">
        <v>149</v>
      </c>
      <c r="O94" s="11" t="s">
        <v>150</v>
      </c>
      <c r="P94" s="11" t="s">
        <v>151</v>
      </c>
      <c r="Q94" s="13" t="n">
        <f aca="false">F94*H94</f>
        <v>79578954</v>
      </c>
      <c r="R94" s="13" t="n">
        <f aca="false">G94*H94</f>
        <v>60200000</v>
      </c>
      <c r="S94" s="13" t="n">
        <f aca="false">Q94-R94</f>
        <v>19378954</v>
      </c>
      <c r="T94" s="14" t="n">
        <f aca="false">IFERROR(S94/Q94,0)</f>
        <v>0.243518581558637</v>
      </c>
      <c r="U94" s="15" t="str">
        <f aca="false">TEXT(A94,"yyyy-mm")</f>
        <v>2022-02</v>
      </c>
    </row>
    <row r="95" customFormat="false" ht="15" hidden="false" customHeight="false" outlineLevel="0" collapsed="false">
      <c r="A95" s="10" t="n">
        <v>44594</v>
      </c>
      <c r="B95" s="11" t="s">
        <v>227</v>
      </c>
      <c r="C95" s="11" t="s">
        <v>128</v>
      </c>
      <c r="D95" s="11" t="s">
        <v>118</v>
      </c>
      <c r="E95" s="11" t="s">
        <v>119</v>
      </c>
      <c r="F95" s="12" t="n">
        <v>3370302</v>
      </c>
      <c r="G95" s="12" t="n">
        <v>2100000</v>
      </c>
      <c r="H95" s="11" t="n">
        <v>9</v>
      </c>
      <c r="I95" s="11" t="s">
        <v>69</v>
      </c>
      <c r="J95" s="11" t="s">
        <v>80</v>
      </c>
      <c r="K95" s="11" t="s">
        <v>81</v>
      </c>
      <c r="L95" s="11" t="s">
        <v>82</v>
      </c>
      <c r="M95" s="11" t="s">
        <v>73</v>
      </c>
      <c r="N95" s="11" t="s">
        <v>74</v>
      </c>
      <c r="O95" s="11" t="s">
        <v>75</v>
      </c>
      <c r="P95" s="11" t="s">
        <v>76</v>
      </c>
      <c r="Q95" s="13" t="n">
        <f aca="false">F95*H95</f>
        <v>30332718</v>
      </c>
      <c r="R95" s="13" t="n">
        <f aca="false">G95*H95</f>
        <v>18900000</v>
      </c>
      <c r="S95" s="13" t="n">
        <f aca="false">Q95-R95</f>
        <v>11432718</v>
      </c>
      <c r="T95" s="14" t="n">
        <f aca="false">IFERROR(S95/Q95,0)</f>
        <v>0.37691043710623</v>
      </c>
      <c r="U95" s="15" t="str">
        <f aca="false">TEXT(A95,"yyyy-mm")</f>
        <v>2022-02</v>
      </c>
    </row>
    <row r="96" customFormat="false" ht="15" hidden="false" customHeight="false" outlineLevel="0" collapsed="false">
      <c r="A96" s="10" t="n">
        <v>44594</v>
      </c>
      <c r="B96" s="11" t="s">
        <v>228</v>
      </c>
      <c r="C96" s="11" t="s">
        <v>130</v>
      </c>
      <c r="D96" s="11" t="s">
        <v>118</v>
      </c>
      <c r="E96" s="11" t="s">
        <v>68</v>
      </c>
      <c r="F96" s="12" t="n">
        <v>2852897</v>
      </c>
      <c r="G96" s="12" t="n">
        <v>2450000</v>
      </c>
      <c r="H96" s="11" t="n">
        <v>8</v>
      </c>
      <c r="I96" s="11" t="s">
        <v>69</v>
      </c>
      <c r="J96" s="11" t="s">
        <v>70</v>
      </c>
      <c r="K96" s="11" t="s">
        <v>71</v>
      </c>
      <c r="L96" s="11" t="s">
        <v>72</v>
      </c>
      <c r="M96" s="11" t="s">
        <v>73</v>
      </c>
      <c r="N96" s="11" t="s">
        <v>93</v>
      </c>
      <c r="O96" s="11" t="s">
        <v>94</v>
      </c>
      <c r="P96" s="11" t="s">
        <v>95</v>
      </c>
      <c r="Q96" s="13" t="n">
        <f aca="false">F96*H96</f>
        <v>22823176</v>
      </c>
      <c r="R96" s="13" t="n">
        <f aca="false">G96*H96</f>
        <v>19600000</v>
      </c>
      <c r="S96" s="13" t="n">
        <f aca="false">Q96-R96</f>
        <v>3223176</v>
      </c>
      <c r="T96" s="14" t="n">
        <f aca="false">IFERROR(S96/Q96,0)</f>
        <v>0.141223815651249</v>
      </c>
      <c r="U96" s="15" t="str">
        <f aca="false">TEXT(A96,"yyyy-mm")</f>
        <v>2022-02</v>
      </c>
    </row>
    <row r="97" customFormat="false" ht="15" hidden="false" customHeight="false" outlineLevel="0" collapsed="false">
      <c r="A97" s="10" t="n">
        <v>44596</v>
      </c>
      <c r="B97" s="11" t="s">
        <v>229</v>
      </c>
      <c r="C97" s="11" t="s">
        <v>132</v>
      </c>
      <c r="D97" s="11" t="s">
        <v>118</v>
      </c>
      <c r="E97" s="11" t="s">
        <v>68</v>
      </c>
      <c r="F97" s="12" t="n">
        <v>4803603</v>
      </c>
      <c r="G97" s="12" t="n">
        <v>4121000</v>
      </c>
      <c r="H97" s="11" t="n">
        <v>7</v>
      </c>
      <c r="I97" s="11" t="s">
        <v>86</v>
      </c>
      <c r="J97" s="11" t="s">
        <v>87</v>
      </c>
      <c r="K97" s="11" t="s">
        <v>88</v>
      </c>
      <c r="L97" s="11" t="s">
        <v>89</v>
      </c>
      <c r="M97" s="11" t="s">
        <v>90</v>
      </c>
      <c r="N97" s="11" t="s">
        <v>143</v>
      </c>
      <c r="O97" s="11" t="s">
        <v>144</v>
      </c>
      <c r="P97" s="11" t="s">
        <v>101</v>
      </c>
      <c r="Q97" s="13" t="n">
        <f aca="false">F97*H97</f>
        <v>33625221</v>
      </c>
      <c r="R97" s="13" t="n">
        <f aca="false">G97*H97</f>
        <v>28847000</v>
      </c>
      <c r="S97" s="13" t="n">
        <f aca="false">Q97-R97</f>
        <v>4778221</v>
      </c>
      <c r="T97" s="14" t="n">
        <f aca="false">IFERROR(S97/Q97,0)</f>
        <v>0.142102292799801</v>
      </c>
      <c r="U97" s="15" t="str">
        <f aca="false">TEXT(A97,"yyyy-mm")</f>
        <v>2022-02</v>
      </c>
    </row>
    <row r="98" customFormat="false" ht="15" hidden="false" customHeight="false" outlineLevel="0" collapsed="false">
      <c r="A98" s="10" t="n">
        <v>44596</v>
      </c>
      <c r="B98" s="11" t="s">
        <v>230</v>
      </c>
      <c r="C98" s="11" t="s">
        <v>135</v>
      </c>
      <c r="D98" s="11" t="s">
        <v>118</v>
      </c>
      <c r="E98" s="11" t="s">
        <v>68</v>
      </c>
      <c r="F98" s="12" t="n">
        <v>5689947</v>
      </c>
      <c r="G98" s="12" t="n">
        <v>5235000</v>
      </c>
      <c r="H98" s="11" t="n">
        <v>13</v>
      </c>
      <c r="I98" s="11" t="s">
        <v>69</v>
      </c>
      <c r="J98" s="11" t="s">
        <v>80</v>
      </c>
      <c r="K98" s="11" t="s">
        <v>81</v>
      </c>
      <c r="L98" s="11" t="s">
        <v>82</v>
      </c>
      <c r="M98" s="11" t="s">
        <v>73</v>
      </c>
      <c r="N98" s="11" t="s">
        <v>149</v>
      </c>
      <c r="O98" s="11" t="s">
        <v>150</v>
      </c>
      <c r="P98" s="11" t="s">
        <v>151</v>
      </c>
      <c r="Q98" s="13" t="n">
        <f aca="false">F98*H98</f>
        <v>73969311</v>
      </c>
      <c r="R98" s="13" t="n">
        <f aca="false">G98*H98</f>
        <v>68055000</v>
      </c>
      <c r="S98" s="13" t="n">
        <f aca="false">Q98-R98</f>
        <v>5914311</v>
      </c>
      <c r="T98" s="14" t="n">
        <f aca="false">IFERROR(S98/Q98,0)</f>
        <v>0.0799562807878527</v>
      </c>
      <c r="U98" s="15" t="str">
        <f aca="false">TEXT(A98,"yyyy-mm")</f>
        <v>2022-02</v>
      </c>
    </row>
    <row r="99" customFormat="false" ht="15" hidden="false" customHeight="false" outlineLevel="0" collapsed="false">
      <c r="A99" s="10" t="n">
        <v>44596</v>
      </c>
      <c r="B99" s="11" t="s">
        <v>231</v>
      </c>
      <c r="C99" s="11" t="s">
        <v>137</v>
      </c>
      <c r="D99" s="11" t="s">
        <v>138</v>
      </c>
      <c r="E99" s="11" t="s">
        <v>139</v>
      </c>
      <c r="F99" s="12" t="n">
        <v>5171827</v>
      </c>
      <c r="G99" s="12" t="n">
        <v>4890000</v>
      </c>
      <c r="H99" s="11" t="n">
        <v>9</v>
      </c>
      <c r="I99" s="11" t="s">
        <v>86</v>
      </c>
      <c r="J99" s="11" t="s">
        <v>87</v>
      </c>
      <c r="K99" s="11" t="s">
        <v>88</v>
      </c>
      <c r="L99" s="11" t="s">
        <v>89</v>
      </c>
      <c r="M99" s="11" t="s">
        <v>90</v>
      </c>
      <c r="N99" s="11" t="s">
        <v>74</v>
      </c>
      <c r="O99" s="11" t="s">
        <v>75</v>
      </c>
      <c r="P99" s="11" t="s">
        <v>76</v>
      </c>
      <c r="Q99" s="13" t="n">
        <f aca="false">F99*H99</f>
        <v>46546443</v>
      </c>
      <c r="R99" s="13" t="n">
        <f aca="false">G99*H99</f>
        <v>44010000</v>
      </c>
      <c r="S99" s="13" t="n">
        <f aca="false">Q99-R99</f>
        <v>2536443</v>
      </c>
      <c r="T99" s="14" t="n">
        <f aca="false">IFERROR(S99/Q99,0)</f>
        <v>0.0544927353525166</v>
      </c>
      <c r="U99" s="15" t="str">
        <f aca="false">TEXT(A99,"yyyy-mm")</f>
        <v>2022-02</v>
      </c>
    </row>
    <row r="100" customFormat="false" ht="15" hidden="false" customHeight="false" outlineLevel="0" collapsed="false">
      <c r="A100" s="10" t="n">
        <v>44596</v>
      </c>
      <c r="B100" s="11" t="s">
        <v>232</v>
      </c>
      <c r="C100" s="11" t="s">
        <v>141</v>
      </c>
      <c r="D100" s="11" t="s">
        <v>138</v>
      </c>
      <c r="E100" s="11" t="s">
        <v>142</v>
      </c>
      <c r="F100" s="12" t="n">
        <v>2805124</v>
      </c>
      <c r="G100" s="12" t="n">
        <v>2178000</v>
      </c>
      <c r="H100" s="11" t="n">
        <v>6</v>
      </c>
      <c r="I100" s="11" t="s">
        <v>69</v>
      </c>
      <c r="J100" s="11" t="s">
        <v>70</v>
      </c>
      <c r="K100" s="11" t="s">
        <v>71</v>
      </c>
      <c r="L100" s="11" t="s">
        <v>72</v>
      </c>
      <c r="M100" s="11" t="s">
        <v>73</v>
      </c>
      <c r="N100" s="11" t="s">
        <v>93</v>
      </c>
      <c r="O100" s="11" t="s">
        <v>94</v>
      </c>
      <c r="P100" s="11" t="s">
        <v>95</v>
      </c>
      <c r="Q100" s="13" t="n">
        <f aca="false">F100*H100</f>
        <v>16830744</v>
      </c>
      <c r="R100" s="13" t="n">
        <f aca="false">G100*H100</f>
        <v>13068000</v>
      </c>
      <c r="S100" s="13" t="n">
        <f aca="false">Q100-R100</f>
        <v>3762744</v>
      </c>
      <c r="T100" s="14" t="n">
        <f aca="false">IFERROR(S100/Q100,0)</f>
        <v>0.22356373550688</v>
      </c>
      <c r="U100" s="15" t="str">
        <f aca="false">TEXT(A100,"yyyy-mm")</f>
        <v>2022-02</v>
      </c>
    </row>
    <row r="101" customFormat="false" ht="15" hidden="false" customHeight="false" outlineLevel="0" collapsed="false">
      <c r="A101" s="10" t="n">
        <v>44596</v>
      </c>
      <c r="B101" s="11" t="s">
        <v>233</v>
      </c>
      <c r="C101" s="11" t="s">
        <v>146</v>
      </c>
      <c r="D101" s="11" t="s">
        <v>138</v>
      </c>
      <c r="E101" s="11" t="s">
        <v>139</v>
      </c>
      <c r="F101" s="12" t="n">
        <v>2728100</v>
      </c>
      <c r="G101" s="12" t="n">
        <v>2321000</v>
      </c>
      <c r="H101" s="11" t="n">
        <v>19</v>
      </c>
      <c r="I101" s="11" t="s">
        <v>86</v>
      </c>
      <c r="J101" s="11" t="s">
        <v>87</v>
      </c>
      <c r="K101" s="11" t="s">
        <v>88</v>
      </c>
      <c r="L101" s="11" t="s">
        <v>89</v>
      </c>
      <c r="M101" s="11" t="s">
        <v>90</v>
      </c>
      <c r="N101" s="11" t="s">
        <v>104</v>
      </c>
      <c r="O101" s="11" t="s">
        <v>105</v>
      </c>
      <c r="P101" s="11" t="s">
        <v>106</v>
      </c>
      <c r="Q101" s="13" t="n">
        <f aca="false">F101*H101</f>
        <v>51833900</v>
      </c>
      <c r="R101" s="13" t="n">
        <f aca="false">G101*H101</f>
        <v>44099000</v>
      </c>
      <c r="S101" s="13" t="n">
        <f aca="false">Q101-R101</f>
        <v>7734900</v>
      </c>
      <c r="T101" s="14" t="n">
        <f aca="false">IFERROR(S101/Q101,0)</f>
        <v>0.149224735163667</v>
      </c>
      <c r="U101" s="15" t="str">
        <f aca="false">TEXT(A101,"yyyy-mm")</f>
        <v>2022-02</v>
      </c>
    </row>
    <row r="102" customFormat="false" ht="15" hidden="false" customHeight="false" outlineLevel="0" collapsed="false">
      <c r="A102" s="10" t="n">
        <v>44597</v>
      </c>
      <c r="B102" s="11" t="s">
        <v>234</v>
      </c>
      <c r="C102" s="11" t="s">
        <v>148</v>
      </c>
      <c r="D102" s="11" t="s">
        <v>138</v>
      </c>
      <c r="E102" s="11" t="s">
        <v>122</v>
      </c>
      <c r="F102" s="12" t="n">
        <v>4941716</v>
      </c>
      <c r="G102" s="12" t="n">
        <v>4456000</v>
      </c>
      <c r="H102" s="11" t="n">
        <v>6</v>
      </c>
      <c r="I102" s="11" t="s">
        <v>69</v>
      </c>
      <c r="J102" s="11" t="s">
        <v>112</v>
      </c>
      <c r="K102" s="11" t="s">
        <v>113</v>
      </c>
      <c r="L102" s="11" t="s">
        <v>82</v>
      </c>
      <c r="M102" s="11" t="s">
        <v>157</v>
      </c>
      <c r="N102" s="11" t="s">
        <v>99</v>
      </c>
      <c r="O102" s="11" t="s">
        <v>100</v>
      </c>
      <c r="P102" s="11" t="s">
        <v>101</v>
      </c>
      <c r="Q102" s="13" t="n">
        <f aca="false">F102*H102</f>
        <v>29650296</v>
      </c>
      <c r="R102" s="13" t="n">
        <f aca="false">G102*H102</f>
        <v>26736000</v>
      </c>
      <c r="S102" s="13" t="n">
        <f aca="false">Q102-R102</f>
        <v>2914296</v>
      </c>
      <c r="T102" s="14" t="n">
        <f aca="false">IFERROR(S102/Q102,0)</f>
        <v>0.0982889344511097</v>
      </c>
      <c r="U102" s="15" t="str">
        <f aca="false">TEXT(A102,"yyyy-mm")</f>
        <v>2022-02</v>
      </c>
    </row>
    <row r="103" customFormat="false" ht="15" hidden="false" customHeight="false" outlineLevel="0" collapsed="false">
      <c r="A103" s="10" t="n">
        <v>44597</v>
      </c>
      <c r="B103" s="11" t="s">
        <v>235</v>
      </c>
      <c r="C103" s="11" t="s">
        <v>66</v>
      </c>
      <c r="D103" s="11" t="s">
        <v>67</v>
      </c>
      <c r="E103" s="11" t="s">
        <v>68</v>
      </c>
      <c r="F103" s="12" t="n">
        <v>3048952</v>
      </c>
      <c r="G103" s="12" t="n">
        <v>2560000</v>
      </c>
      <c r="H103" s="11" t="n">
        <v>2</v>
      </c>
      <c r="I103" s="11" t="s">
        <v>69</v>
      </c>
      <c r="J103" s="11" t="s">
        <v>70</v>
      </c>
      <c r="K103" s="11" t="s">
        <v>71</v>
      </c>
      <c r="L103" s="11" t="s">
        <v>72</v>
      </c>
      <c r="M103" s="11" t="s">
        <v>73</v>
      </c>
      <c r="N103" s="11" t="s">
        <v>74</v>
      </c>
      <c r="O103" s="11" t="s">
        <v>75</v>
      </c>
      <c r="P103" s="11" t="s">
        <v>76</v>
      </c>
      <c r="Q103" s="13" t="n">
        <f aca="false">F103*H103</f>
        <v>6097904</v>
      </c>
      <c r="R103" s="13" t="n">
        <f aca="false">G103*H103</f>
        <v>5120000</v>
      </c>
      <c r="S103" s="13" t="n">
        <f aca="false">Q103-R103</f>
        <v>977904</v>
      </c>
      <c r="T103" s="14" t="n">
        <f aca="false">IFERROR(S103/Q103,0)</f>
        <v>0.160367234380863</v>
      </c>
      <c r="U103" s="15" t="str">
        <f aca="false">TEXT(A103,"yyyy-mm")</f>
        <v>2022-02</v>
      </c>
    </row>
    <row r="104" customFormat="false" ht="15" hidden="false" customHeight="false" outlineLevel="0" collapsed="false">
      <c r="A104" s="10" t="n">
        <v>44597</v>
      </c>
      <c r="B104" s="11" t="s">
        <v>236</v>
      </c>
      <c r="C104" s="11" t="s">
        <v>78</v>
      </c>
      <c r="D104" s="11" t="s">
        <v>67</v>
      </c>
      <c r="E104" s="11" t="s">
        <v>79</v>
      </c>
      <c r="F104" s="12" t="n">
        <v>1870000</v>
      </c>
      <c r="G104" s="12" t="n">
        <v>1650000</v>
      </c>
      <c r="H104" s="11" t="n">
        <v>10</v>
      </c>
      <c r="I104" s="11" t="s">
        <v>69</v>
      </c>
      <c r="J104" s="11" t="s">
        <v>80</v>
      </c>
      <c r="K104" s="11" t="s">
        <v>81</v>
      </c>
      <c r="L104" s="11" t="s">
        <v>82</v>
      </c>
      <c r="M104" s="11" t="s">
        <v>73</v>
      </c>
      <c r="N104" s="11" t="s">
        <v>143</v>
      </c>
      <c r="O104" s="11" t="s">
        <v>144</v>
      </c>
      <c r="P104" s="11" t="s">
        <v>101</v>
      </c>
      <c r="Q104" s="13" t="n">
        <f aca="false">F104*H104</f>
        <v>18700000</v>
      </c>
      <c r="R104" s="13" t="n">
        <f aca="false">G104*H104</f>
        <v>16500000</v>
      </c>
      <c r="S104" s="13" t="n">
        <f aca="false">Q104-R104</f>
        <v>2200000</v>
      </c>
      <c r="T104" s="14" t="n">
        <f aca="false">IFERROR(S104/Q104,0)</f>
        <v>0.117647058823529</v>
      </c>
      <c r="U104" s="15" t="str">
        <f aca="false">TEXT(A104,"yyyy-mm")</f>
        <v>2022-02</v>
      </c>
    </row>
    <row r="105" customFormat="false" ht="15" hidden="false" customHeight="false" outlineLevel="0" collapsed="false">
      <c r="A105" s="10" t="n">
        <v>44598</v>
      </c>
      <c r="B105" s="11" t="s">
        <v>237</v>
      </c>
      <c r="C105" s="11" t="s">
        <v>84</v>
      </c>
      <c r="D105" s="11" t="s">
        <v>67</v>
      </c>
      <c r="E105" s="11" t="s">
        <v>85</v>
      </c>
      <c r="F105" s="12" t="n">
        <v>2600000</v>
      </c>
      <c r="G105" s="12" t="n">
        <v>2300000</v>
      </c>
      <c r="H105" s="11" t="n">
        <v>3</v>
      </c>
      <c r="I105" s="11" t="s">
        <v>69</v>
      </c>
      <c r="J105" s="11" t="s">
        <v>80</v>
      </c>
      <c r="K105" s="11" t="s">
        <v>81</v>
      </c>
      <c r="L105" s="11" t="s">
        <v>82</v>
      </c>
      <c r="M105" s="11" t="s">
        <v>73</v>
      </c>
      <c r="N105" s="11" t="s">
        <v>104</v>
      </c>
      <c r="O105" s="11" t="s">
        <v>105</v>
      </c>
      <c r="P105" s="11" t="s">
        <v>106</v>
      </c>
      <c r="Q105" s="13" t="n">
        <f aca="false">F105*H105</f>
        <v>7800000</v>
      </c>
      <c r="R105" s="13" t="n">
        <f aca="false">G105*H105</f>
        <v>6900000</v>
      </c>
      <c r="S105" s="13" t="n">
        <f aca="false">Q105-R105</f>
        <v>900000</v>
      </c>
      <c r="T105" s="14" t="n">
        <f aca="false">IFERROR(S105/Q105,0)</f>
        <v>0.115384615384615</v>
      </c>
      <c r="U105" s="15" t="str">
        <f aca="false">TEXT(A105,"yyyy-mm")</f>
        <v>2022-02</v>
      </c>
    </row>
    <row r="106" customFormat="false" ht="15" hidden="false" customHeight="false" outlineLevel="0" collapsed="false">
      <c r="A106" s="10" t="n">
        <v>44598</v>
      </c>
      <c r="B106" s="11" t="s">
        <v>238</v>
      </c>
      <c r="C106" s="11" t="s">
        <v>92</v>
      </c>
      <c r="D106" s="11" t="s">
        <v>67</v>
      </c>
      <c r="E106" s="11" t="s">
        <v>79</v>
      </c>
      <c r="F106" s="12" t="n">
        <v>3577480</v>
      </c>
      <c r="G106" s="12" t="n">
        <v>3100000</v>
      </c>
      <c r="H106" s="11" t="n">
        <v>9</v>
      </c>
      <c r="I106" s="11" t="s">
        <v>69</v>
      </c>
      <c r="J106" s="11" t="s">
        <v>80</v>
      </c>
      <c r="K106" s="11" t="s">
        <v>81</v>
      </c>
      <c r="L106" s="11" t="s">
        <v>82</v>
      </c>
      <c r="M106" s="11" t="s">
        <v>73</v>
      </c>
      <c r="N106" s="11" t="s">
        <v>104</v>
      </c>
      <c r="O106" s="11" t="s">
        <v>105</v>
      </c>
      <c r="P106" s="11" t="s">
        <v>106</v>
      </c>
      <c r="Q106" s="13" t="n">
        <f aca="false">F106*H106</f>
        <v>32197320</v>
      </c>
      <c r="R106" s="13" t="n">
        <f aca="false">G106*H106</f>
        <v>27900000</v>
      </c>
      <c r="S106" s="13" t="n">
        <f aca="false">Q106-R106</f>
        <v>4297320</v>
      </c>
      <c r="T106" s="14" t="n">
        <f aca="false">IFERROR(S106/Q106,0)</f>
        <v>0.133468251394837</v>
      </c>
      <c r="U106" s="15" t="str">
        <f aca="false">TEXT(A106,"yyyy-mm")</f>
        <v>2022-02</v>
      </c>
    </row>
    <row r="107" customFormat="false" ht="15" hidden="false" customHeight="false" outlineLevel="0" collapsed="false">
      <c r="A107" s="10" t="n">
        <v>44598</v>
      </c>
      <c r="B107" s="11" t="s">
        <v>239</v>
      </c>
      <c r="C107" s="11" t="s">
        <v>97</v>
      </c>
      <c r="D107" s="11" t="s">
        <v>67</v>
      </c>
      <c r="E107" s="11" t="s">
        <v>98</v>
      </c>
      <c r="F107" s="12" t="n">
        <v>4969724</v>
      </c>
      <c r="G107" s="12" t="n">
        <v>4121560</v>
      </c>
      <c r="H107" s="11" t="n">
        <v>7</v>
      </c>
      <c r="I107" s="11" t="s">
        <v>69</v>
      </c>
      <c r="J107" s="11" t="s">
        <v>80</v>
      </c>
      <c r="K107" s="11" t="s">
        <v>81</v>
      </c>
      <c r="L107" s="11" t="s">
        <v>82</v>
      </c>
      <c r="M107" s="11" t="s">
        <v>73</v>
      </c>
      <c r="N107" s="11" t="s">
        <v>74</v>
      </c>
      <c r="O107" s="11" t="s">
        <v>75</v>
      </c>
      <c r="P107" s="11" t="s">
        <v>76</v>
      </c>
      <c r="Q107" s="13" t="n">
        <f aca="false">F107*H107</f>
        <v>34788068</v>
      </c>
      <c r="R107" s="13" t="n">
        <f aca="false">G107*H107</f>
        <v>28850920</v>
      </c>
      <c r="S107" s="13" t="n">
        <f aca="false">Q107-R107</f>
        <v>5937148</v>
      </c>
      <c r="T107" s="14" t="n">
        <f aca="false">IFERROR(S107/Q107,0)</f>
        <v>0.170666218083741</v>
      </c>
      <c r="U107" s="15" t="str">
        <f aca="false">TEXT(A107,"yyyy-mm")</f>
        <v>2022-02</v>
      </c>
    </row>
    <row r="108" customFormat="false" ht="15" hidden="false" customHeight="false" outlineLevel="0" collapsed="false">
      <c r="A108" s="10" t="n">
        <v>44598</v>
      </c>
      <c r="B108" s="11" t="s">
        <v>240</v>
      </c>
      <c r="C108" s="11" t="s">
        <v>103</v>
      </c>
      <c r="D108" s="11" t="s">
        <v>67</v>
      </c>
      <c r="E108" s="11" t="s">
        <v>68</v>
      </c>
      <c r="F108" s="12" t="n">
        <v>3319925</v>
      </c>
      <c r="G108" s="12" t="n">
        <v>2800000</v>
      </c>
      <c r="H108" s="11" t="n">
        <v>4</v>
      </c>
      <c r="I108" s="11" t="s">
        <v>69</v>
      </c>
      <c r="J108" s="11" t="s">
        <v>80</v>
      </c>
      <c r="K108" s="11" t="s">
        <v>81</v>
      </c>
      <c r="L108" s="11" t="s">
        <v>82</v>
      </c>
      <c r="M108" s="11" t="s">
        <v>73</v>
      </c>
      <c r="N108" s="11" t="s">
        <v>109</v>
      </c>
      <c r="O108" s="11" t="s">
        <v>75</v>
      </c>
      <c r="P108" s="11" t="s">
        <v>95</v>
      </c>
      <c r="Q108" s="13" t="n">
        <f aca="false">F108*H108</f>
        <v>13279700</v>
      </c>
      <c r="R108" s="13" t="n">
        <f aca="false">G108*H108</f>
        <v>11200000</v>
      </c>
      <c r="S108" s="13" t="n">
        <f aca="false">Q108-R108</f>
        <v>2079700</v>
      </c>
      <c r="T108" s="14" t="n">
        <f aca="false">IFERROR(S108/Q108,0)</f>
        <v>0.15660745348163</v>
      </c>
      <c r="U108" s="15" t="str">
        <f aca="false">TEXT(A108,"yyyy-mm")</f>
        <v>2022-02</v>
      </c>
    </row>
    <row r="109" customFormat="false" ht="15" hidden="false" customHeight="false" outlineLevel="0" collapsed="false">
      <c r="A109" s="10" t="n">
        <v>44599</v>
      </c>
      <c r="B109" s="11" t="s">
        <v>241</v>
      </c>
      <c r="C109" s="11" t="s">
        <v>108</v>
      </c>
      <c r="D109" s="11" t="s">
        <v>67</v>
      </c>
      <c r="E109" s="11" t="s">
        <v>68</v>
      </c>
      <c r="F109" s="12" t="n">
        <v>4757880</v>
      </c>
      <c r="G109" s="12" t="n">
        <v>3450000</v>
      </c>
      <c r="H109" s="11" t="n">
        <v>12</v>
      </c>
      <c r="I109" s="11" t="s">
        <v>69</v>
      </c>
      <c r="J109" s="11" t="s">
        <v>80</v>
      </c>
      <c r="K109" s="11" t="s">
        <v>81</v>
      </c>
      <c r="L109" s="11" t="s">
        <v>82</v>
      </c>
      <c r="M109" s="11" t="s">
        <v>73</v>
      </c>
      <c r="N109" s="11" t="s">
        <v>149</v>
      </c>
      <c r="O109" s="11" t="s">
        <v>150</v>
      </c>
      <c r="P109" s="11" t="s">
        <v>151</v>
      </c>
      <c r="Q109" s="13" t="n">
        <f aca="false">F109*H109</f>
        <v>57094560</v>
      </c>
      <c r="R109" s="13" t="n">
        <f aca="false">G109*H109</f>
        <v>41400000</v>
      </c>
      <c r="S109" s="13" t="n">
        <f aca="false">Q109-R109</f>
        <v>15694560</v>
      </c>
      <c r="T109" s="14" t="n">
        <f aca="false">IFERROR(S109/Q109,0)</f>
        <v>0.274887134606169</v>
      </c>
      <c r="U109" s="15" t="str">
        <f aca="false">TEXT(A109,"yyyy-mm")</f>
        <v>2022-02</v>
      </c>
    </row>
    <row r="110" customFormat="false" ht="15" hidden="false" customHeight="false" outlineLevel="0" collapsed="false">
      <c r="A110" s="10" t="n">
        <v>44599</v>
      </c>
      <c r="B110" s="11" t="s">
        <v>242</v>
      </c>
      <c r="C110" s="11" t="s">
        <v>111</v>
      </c>
      <c r="D110" s="11" t="s">
        <v>67</v>
      </c>
      <c r="E110" s="11" t="s">
        <v>79</v>
      </c>
      <c r="F110" s="12" t="n">
        <v>3545808</v>
      </c>
      <c r="G110" s="12" t="n">
        <v>3350000</v>
      </c>
      <c r="H110" s="11" t="n">
        <v>13</v>
      </c>
      <c r="I110" s="11" t="s">
        <v>69</v>
      </c>
      <c r="J110" s="11" t="s">
        <v>70</v>
      </c>
      <c r="K110" s="11" t="s">
        <v>71</v>
      </c>
      <c r="L110" s="11" t="s">
        <v>72</v>
      </c>
      <c r="M110" s="11" t="s">
        <v>73</v>
      </c>
      <c r="N110" s="11" t="s">
        <v>93</v>
      </c>
      <c r="O110" s="11" t="s">
        <v>94</v>
      </c>
      <c r="P110" s="11" t="s">
        <v>95</v>
      </c>
      <c r="Q110" s="13" t="n">
        <f aca="false">F110*H110</f>
        <v>46095504</v>
      </c>
      <c r="R110" s="13" t="n">
        <f aca="false">G110*H110</f>
        <v>43550000</v>
      </c>
      <c r="S110" s="13" t="n">
        <f aca="false">Q110-R110</f>
        <v>2545504</v>
      </c>
      <c r="T110" s="14" t="n">
        <f aca="false">IFERROR(S110/Q110,0)</f>
        <v>0.0552223921881839</v>
      </c>
      <c r="U110" s="15" t="str">
        <f aca="false">TEXT(A110,"yyyy-mm")</f>
        <v>2022-02</v>
      </c>
    </row>
    <row r="111" customFormat="false" ht="15" hidden="false" customHeight="false" outlineLevel="0" collapsed="false">
      <c r="A111" s="10" t="n">
        <v>44599</v>
      </c>
      <c r="B111" s="11" t="s">
        <v>243</v>
      </c>
      <c r="C111" s="11" t="s">
        <v>115</v>
      </c>
      <c r="D111" s="11" t="s">
        <v>67</v>
      </c>
      <c r="E111" s="11" t="s">
        <v>98</v>
      </c>
      <c r="F111" s="12" t="n">
        <v>4200743</v>
      </c>
      <c r="G111" s="12" t="n">
        <v>4101000</v>
      </c>
      <c r="H111" s="11" t="n">
        <v>5</v>
      </c>
      <c r="I111" s="11" t="s">
        <v>69</v>
      </c>
      <c r="J111" s="11" t="s">
        <v>80</v>
      </c>
      <c r="K111" s="11" t="s">
        <v>81</v>
      </c>
      <c r="L111" s="11" t="s">
        <v>82</v>
      </c>
      <c r="M111" s="11" t="s">
        <v>73</v>
      </c>
      <c r="N111" s="11" t="s">
        <v>74</v>
      </c>
      <c r="O111" s="11" t="s">
        <v>75</v>
      </c>
      <c r="P111" s="11" t="s">
        <v>76</v>
      </c>
      <c r="Q111" s="13" t="n">
        <f aca="false">F111*H111</f>
        <v>21003715</v>
      </c>
      <c r="R111" s="13" t="n">
        <f aca="false">G111*H111</f>
        <v>20505000</v>
      </c>
      <c r="S111" s="13" t="n">
        <f aca="false">Q111-R111</f>
        <v>498715</v>
      </c>
      <c r="T111" s="14" t="n">
        <f aca="false">IFERROR(S111/Q111,0)</f>
        <v>0.023744132883159</v>
      </c>
      <c r="U111" s="15" t="str">
        <f aca="false">TEXT(A111,"yyyy-mm")</f>
        <v>2022-02</v>
      </c>
    </row>
    <row r="112" customFormat="false" ht="15" hidden="false" customHeight="false" outlineLevel="0" collapsed="false">
      <c r="A112" s="10" t="n">
        <v>44599</v>
      </c>
      <c r="B112" s="11" t="s">
        <v>244</v>
      </c>
      <c r="C112" s="11" t="s">
        <v>117</v>
      </c>
      <c r="D112" s="11" t="s">
        <v>118</v>
      </c>
      <c r="E112" s="11" t="s">
        <v>119</v>
      </c>
      <c r="F112" s="12" t="n">
        <v>8220549</v>
      </c>
      <c r="G112" s="12" t="n">
        <v>6500000</v>
      </c>
      <c r="H112" s="11" t="n">
        <v>9</v>
      </c>
      <c r="I112" s="11" t="s">
        <v>69</v>
      </c>
      <c r="J112" s="11" t="s">
        <v>80</v>
      </c>
      <c r="K112" s="11" t="s">
        <v>81</v>
      </c>
      <c r="L112" s="11" t="s">
        <v>82</v>
      </c>
      <c r="M112" s="11" t="s">
        <v>73</v>
      </c>
      <c r="N112" s="11" t="s">
        <v>143</v>
      </c>
      <c r="O112" s="11" t="s">
        <v>144</v>
      </c>
      <c r="P112" s="11" t="s">
        <v>101</v>
      </c>
      <c r="Q112" s="13" t="n">
        <f aca="false">F112*H112</f>
        <v>73984941</v>
      </c>
      <c r="R112" s="13" t="n">
        <f aca="false">G112*H112</f>
        <v>58500000</v>
      </c>
      <c r="S112" s="13" t="n">
        <f aca="false">Q112-R112</f>
        <v>15484941</v>
      </c>
      <c r="T112" s="14" t="n">
        <f aca="false">IFERROR(S112/Q112,0)</f>
        <v>0.209298551714733</v>
      </c>
      <c r="U112" s="15" t="str">
        <f aca="false">TEXT(A112,"yyyy-mm")</f>
        <v>2022-02</v>
      </c>
    </row>
    <row r="113" customFormat="false" ht="15" hidden="false" customHeight="false" outlineLevel="0" collapsed="false">
      <c r="A113" s="10" t="n">
        <v>44600</v>
      </c>
      <c r="B113" s="11" t="s">
        <v>245</v>
      </c>
      <c r="C113" s="11" t="s">
        <v>121</v>
      </c>
      <c r="D113" s="11" t="s">
        <v>118</v>
      </c>
      <c r="E113" s="11" t="s">
        <v>122</v>
      </c>
      <c r="F113" s="12" t="n">
        <v>7687274</v>
      </c>
      <c r="G113" s="12" t="n">
        <v>6500000</v>
      </c>
      <c r="H113" s="11" t="n">
        <v>10</v>
      </c>
      <c r="I113" s="11" t="s">
        <v>69</v>
      </c>
      <c r="J113" s="11" t="s">
        <v>80</v>
      </c>
      <c r="K113" s="11" t="s">
        <v>81</v>
      </c>
      <c r="L113" s="11" t="s">
        <v>82</v>
      </c>
      <c r="M113" s="11" t="s">
        <v>73</v>
      </c>
      <c r="N113" s="11" t="s">
        <v>74</v>
      </c>
      <c r="O113" s="11" t="s">
        <v>75</v>
      </c>
      <c r="P113" s="11" t="s">
        <v>76</v>
      </c>
      <c r="Q113" s="13" t="n">
        <f aca="false">F113*H113</f>
        <v>76872740</v>
      </c>
      <c r="R113" s="13" t="n">
        <f aca="false">G113*H113</f>
        <v>65000000</v>
      </c>
      <c r="S113" s="13" t="n">
        <f aca="false">Q113-R113</f>
        <v>11872740</v>
      </c>
      <c r="T113" s="14" t="n">
        <f aca="false">IFERROR(S113/Q113,0)</f>
        <v>0.154446686822923</v>
      </c>
      <c r="U113" s="15" t="str">
        <f aca="false">TEXT(A113,"yyyy-mm")</f>
        <v>2022-02</v>
      </c>
    </row>
    <row r="114" customFormat="false" ht="15" hidden="false" customHeight="false" outlineLevel="0" collapsed="false">
      <c r="A114" s="10" t="n">
        <v>44601</v>
      </c>
      <c r="B114" s="11" t="s">
        <v>246</v>
      </c>
      <c r="C114" s="11" t="s">
        <v>125</v>
      </c>
      <c r="D114" s="11" t="s">
        <v>118</v>
      </c>
      <c r="E114" s="11" t="s">
        <v>126</v>
      </c>
      <c r="F114" s="12" t="n">
        <v>5684211</v>
      </c>
      <c r="G114" s="12" t="n">
        <v>4300000</v>
      </c>
      <c r="H114" s="11" t="n">
        <v>15</v>
      </c>
      <c r="I114" s="11" t="s">
        <v>69</v>
      </c>
      <c r="J114" s="11" t="s">
        <v>80</v>
      </c>
      <c r="K114" s="11" t="s">
        <v>81</v>
      </c>
      <c r="L114" s="11" t="s">
        <v>82</v>
      </c>
      <c r="M114" s="11" t="s">
        <v>73</v>
      </c>
      <c r="N114" s="11" t="s">
        <v>173</v>
      </c>
      <c r="O114" s="11" t="s">
        <v>174</v>
      </c>
      <c r="P114" s="11" t="s">
        <v>95</v>
      </c>
      <c r="Q114" s="13" t="n">
        <f aca="false">F114*H114</f>
        <v>85263165</v>
      </c>
      <c r="R114" s="13" t="n">
        <f aca="false">G114*H114</f>
        <v>64500000</v>
      </c>
      <c r="S114" s="13" t="n">
        <f aca="false">Q114-R114</f>
        <v>20763165</v>
      </c>
      <c r="T114" s="14" t="n">
        <f aca="false">IFERROR(S114/Q114,0)</f>
        <v>0.243518581558637</v>
      </c>
      <c r="U114" s="15" t="str">
        <f aca="false">TEXT(A114,"yyyy-mm")</f>
        <v>2022-02</v>
      </c>
    </row>
    <row r="115" customFormat="false" ht="15" hidden="false" customHeight="false" outlineLevel="0" collapsed="false">
      <c r="A115" s="10" t="n">
        <v>44601</v>
      </c>
      <c r="B115" s="11" t="s">
        <v>247</v>
      </c>
      <c r="C115" s="11" t="s">
        <v>128</v>
      </c>
      <c r="D115" s="11" t="s">
        <v>118</v>
      </c>
      <c r="E115" s="11" t="s">
        <v>119</v>
      </c>
      <c r="F115" s="12" t="n">
        <v>3370302</v>
      </c>
      <c r="G115" s="12" t="n">
        <v>2100000</v>
      </c>
      <c r="H115" s="11" t="n">
        <v>32</v>
      </c>
      <c r="I115" s="11" t="s">
        <v>69</v>
      </c>
      <c r="J115" s="11" t="s">
        <v>70</v>
      </c>
      <c r="K115" s="11" t="s">
        <v>71</v>
      </c>
      <c r="L115" s="11" t="s">
        <v>72</v>
      </c>
      <c r="M115" s="11" t="s">
        <v>73</v>
      </c>
      <c r="N115" s="11" t="s">
        <v>143</v>
      </c>
      <c r="O115" s="11" t="s">
        <v>144</v>
      </c>
      <c r="P115" s="11" t="s">
        <v>101</v>
      </c>
      <c r="Q115" s="13" t="n">
        <f aca="false">F115*H115</f>
        <v>107849664</v>
      </c>
      <c r="R115" s="13" t="n">
        <f aca="false">G115*H115</f>
        <v>67200000</v>
      </c>
      <c r="S115" s="13" t="n">
        <f aca="false">Q115-R115</f>
        <v>40649664</v>
      </c>
      <c r="T115" s="14" t="n">
        <f aca="false">IFERROR(S115/Q115,0)</f>
        <v>0.37691043710623</v>
      </c>
      <c r="U115" s="15" t="str">
        <f aca="false">TEXT(A115,"yyyy-mm")</f>
        <v>2022-02</v>
      </c>
    </row>
    <row r="116" customFormat="false" ht="15" hidden="false" customHeight="false" outlineLevel="0" collapsed="false">
      <c r="A116" s="10" t="n">
        <v>44601</v>
      </c>
      <c r="B116" s="11" t="s">
        <v>248</v>
      </c>
      <c r="C116" s="11" t="s">
        <v>130</v>
      </c>
      <c r="D116" s="11" t="s">
        <v>118</v>
      </c>
      <c r="E116" s="11" t="s">
        <v>68</v>
      </c>
      <c r="F116" s="12" t="n">
        <v>2852897</v>
      </c>
      <c r="G116" s="12" t="n">
        <v>2450000</v>
      </c>
      <c r="H116" s="11" t="n">
        <v>1</v>
      </c>
      <c r="I116" s="11" t="s">
        <v>86</v>
      </c>
      <c r="J116" s="11" t="s">
        <v>87</v>
      </c>
      <c r="K116" s="11" t="s">
        <v>88</v>
      </c>
      <c r="L116" s="11" t="s">
        <v>89</v>
      </c>
      <c r="M116" s="11" t="s">
        <v>90</v>
      </c>
      <c r="N116" s="11" t="s">
        <v>93</v>
      </c>
      <c r="O116" s="11" t="s">
        <v>94</v>
      </c>
      <c r="P116" s="11" t="s">
        <v>95</v>
      </c>
      <c r="Q116" s="13" t="n">
        <f aca="false">F116*H116</f>
        <v>2852897</v>
      </c>
      <c r="R116" s="13" t="n">
        <f aca="false">G116*H116</f>
        <v>2450000</v>
      </c>
      <c r="S116" s="13" t="n">
        <f aca="false">Q116-R116</f>
        <v>402897</v>
      </c>
      <c r="T116" s="14" t="n">
        <f aca="false">IFERROR(S116/Q116,0)</f>
        <v>0.141223815651249</v>
      </c>
      <c r="U116" s="15" t="str">
        <f aca="false">TEXT(A116,"yyyy-mm")</f>
        <v>2022-02</v>
      </c>
    </row>
    <row r="117" customFormat="false" ht="15" hidden="false" customHeight="false" outlineLevel="0" collapsed="false">
      <c r="A117" s="10" t="n">
        <v>44602</v>
      </c>
      <c r="B117" s="11" t="s">
        <v>249</v>
      </c>
      <c r="C117" s="11" t="s">
        <v>132</v>
      </c>
      <c r="D117" s="11" t="s">
        <v>118</v>
      </c>
      <c r="E117" s="11" t="s">
        <v>68</v>
      </c>
      <c r="F117" s="12" t="n">
        <v>4803603</v>
      </c>
      <c r="G117" s="12" t="n">
        <v>4121000</v>
      </c>
      <c r="H117" s="11" t="n">
        <v>4</v>
      </c>
      <c r="I117" s="11" t="s">
        <v>69</v>
      </c>
      <c r="J117" s="11" t="s">
        <v>112</v>
      </c>
      <c r="K117" s="11" t="s">
        <v>113</v>
      </c>
      <c r="L117" s="11" t="s">
        <v>82</v>
      </c>
      <c r="M117" s="11" t="s">
        <v>157</v>
      </c>
      <c r="N117" s="11" t="s">
        <v>104</v>
      </c>
      <c r="O117" s="11" t="s">
        <v>105</v>
      </c>
      <c r="P117" s="11" t="s">
        <v>106</v>
      </c>
      <c r="Q117" s="13" t="n">
        <f aca="false">F117*H117</f>
        <v>19214412</v>
      </c>
      <c r="R117" s="13" t="n">
        <f aca="false">G117*H117</f>
        <v>16484000</v>
      </c>
      <c r="S117" s="13" t="n">
        <f aca="false">Q117-R117</f>
        <v>2730412</v>
      </c>
      <c r="T117" s="14" t="n">
        <f aca="false">IFERROR(S117/Q117,0)</f>
        <v>0.142102292799801</v>
      </c>
      <c r="U117" s="15" t="str">
        <f aca="false">TEXT(A117,"yyyy-mm")</f>
        <v>2022-02</v>
      </c>
    </row>
    <row r="118" customFormat="false" ht="15" hidden="false" customHeight="false" outlineLevel="0" collapsed="false">
      <c r="A118" s="10" t="n">
        <v>44602</v>
      </c>
      <c r="B118" s="11" t="s">
        <v>250</v>
      </c>
      <c r="C118" s="11" t="s">
        <v>135</v>
      </c>
      <c r="D118" s="11" t="s">
        <v>118</v>
      </c>
      <c r="E118" s="11" t="s">
        <v>68</v>
      </c>
      <c r="F118" s="12" t="n">
        <v>5689947</v>
      </c>
      <c r="G118" s="12" t="n">
        <v>5235000</v>
      </c>
      <c r="H118" s="11" t="n">
        <v>11</v>
      </c>
      <c r="I118" s="11" t="s">
        <v>69</v>
      </c>
      <c r="J118" s="11" t="s">
        <v>80</v>
      </c>
      <c r="K118" s="11" t="s">
        <v>81</v>
      </c>
      <c r="L118" s="11" t="s">
        <v>82</v>
      </c>
      <c r="M118" s="11" t="s">
        <v>73</v>
      </c>
      <c r="N118" s="11" t="s">
        <v>99</v>
      </c>
      <c r="O118" s="11" t="s">
        <v>100</v>
      </c>
      <c r="P118" s="11" t="s">
        <v>101</v>
      </c>
      <c r="Q118" s="13" t="n">
        <f aca="false">F118*H118</f>
        <v>62589417</v>
      </c>
      <c r="R118" s="13" t="n">
        <f aca="false">G118*H118</f>
        <v>57585000</v>
      </c>
      <c r="S118" s="13" t="n">
        <f aca="false">Q118-R118</f>
        <v>5004417</v>
      </c>
      <c r="T118" s="14" t="n">
        <f aca="false">IFERROR(S118/Q118,0)</f>
        <v>0.0799562807878527</v>
      </c>
      <c r="U118" s="15" t="str">
        <f aca="false">TEXT(A118,"yyyy-mm")</f>
        <v>2022-02</v>
      </c>
    </row>
    <row r="119" customFormat="false" ht="15" hidden="false" customHeight="false" outlineLevel="0" collapsed="false">
      <c r="A119" s="10" t="n">
        <v>44603</v>
      </c>
      <c r="B119" s="11" t="s">
        <v>251</v>
      </c>
      <c r="C119" s="11" t="s">
        <v>137</v>
      </c>
      <c r="D119" s="11" t="s">
        <v>138</v>
      </c>
      <c r="E119" s="11" t="s">
        <v>139</v>
      </c>
      <c r="F119" s="12" t="n">
        <v>5171827</v>
      </c>
      <c r="G119" s="12" t="n">
        <v>4890000</v>
      </c>
      <c r="H119" s="11" t="n">
        <v>16</v>
      </c>
      <c r="I119" s="11" t="s">
        <v>69</v>
      </c>
      <c r="J119" s="11" t="s">
        <v>80</v>
      </c>
      <c r="K119" s="11" t="s">
        <v>81</v>
      </c>
      <c r="L119" s="11" t="s">
        <v>82</v>
      </c>
      <c r="M119" s="11" t="s">
        <v>73</v>
      </c>
      <c r="N119" s="11" t="s">
        <v>93</v>
      </c>
      <c r="O119" s="11" t="s">
        <v>94</v>
      </c>
      <c r="P119" s="11" t="s">
        <v>95</v>
      </c>
      <c r="Q119" s="13" t="n">
        <f aca="false">F119*H119</f>
        <v>82749232</v>
      </c>
      <c r="R119" s="13" t="n">
        <f aca="false">G119*H119</f>
        <v>78240000</v>
      </c>
      <c r="S119" s="13" t="n">
        <f aca="false">Q119-R119</f>
        <v>4509232</v>
      </c>
      <c r="T119" s="14" t="n">
        <f aca="false">IFERROR(S119/Q119,0)</f>
        <v>0.0544927353525166</v>
      </c>
      <c r="U119" s="15" t="str">
        <f aca="false">TEXT(A119,"yyyy-mm")</f>
        <v>2022-02</v>
      </c>
    </row>
    <row r="120" customFormat="false" ht="15" hidden="false" customHeight="false" outlineLevel="0" collapsed="false">
      <c r="A120" s="10" t="n">
        <v>44603</v>
      </c>
      <c r="B120" s="11" t="s">
        <v>252</v>
      </c>
      <c r="C120" s="11" t="s">
        <v>141</v>
      </c>
      <c r="D120" s="11" t="s">
        <v>138</v>
      </c>
      <c r="E120" s="11" t="s">
        <v>142</v>
      </c>
      <c r="F120" s="12" t="n">
        <v>2805124</v>
      </c>
      <c r="G120" s="12" t="n">
        <v>2178000</v>
      </c>
      <c r="H120" s="11" t="n">
        <v>28</v>
      </c>
      <c r="I120" s="11" t="s">
        <v>69</v>
      </c>
      <c r="J120" s="11" t="s">
        <v>112</v>
      </c>
      <c r="K120" s="11" t="s">
        <v>113</v>
      </c>
      <c r="L120" s="11" t="s">
        <v>82</v>
      </c>
      <c r="M120" s="11" t="s">
        <v>157</v>
      </c>
      <c r="N120" s="11" t="s">
        <v>109</v>
      </c>
      <c r="O120" s="11" t="s">
        <v>75</v>
      </c>
      <c r="P120" s="11" t="s">
        <v>95</v>
      </c>
      <c r="Q120" s="13" t="n">
        <f aca="false">F120*H120</f>
        <v>78543472</v>
      </c>
      <c r="R120" s="13" t="n">
        <f aca="false">G120*H120</f>
        <v>60984000</v>
      </c>
      <c r="S120" s="13" t="n">
        <f aca="false">Q120-R120</f>
        <v>17559472</v>
      </c>
      <c r="T120" s="14" t="n">
        <f aca="false">IFERROR(S120/Q120,0)</f>
        <v>0.22356373550688</v>
      </c>
      <c r="U120" s="15" t="str">
        <f aca="false">TEXT(A120,"yyyy-mm")</f>
        <v>2022-02</v>
      </c>
    </row>
    <row r="121" customFormat="false" ht="15" hidden="false" customHeight="false" outlineLevel="0" collapsed="false">
      <c r="A121" s="10" t="n">
        <v>44603</v>
      </c>
      <c r="B121" s="11" t="s">
        <v>253</v>
      </c>
      <c r="C121" s="11" t="s">
        <v>146</v>
      </c>
      <c r="D121" s="11" t="s">
        <v>138</v>
      </c>
      <c r="E121" s="11" t="s">
        <v>139</v>
      </c>
      <c r="F121" s="12" t="n">
        <v>2728100</v>
      </c>
      <c r="G121" s="12" t="n">
        <v>2321000</v>
      </c>
      <c r="H121" s="11" t="n">
        <v>20</v>
      </c>
      <c r="I121" s="11" t="s">
        <v>69</v>
      </c>
      <c r="J121" s="11" t="s">
        <v>80</v>
      </c>
      <c r="K121" s="11" t="s">
        <v>81</v>
      </c>
      <c r="L121" s="11" t="s">
        <v>82</v>
      </c>
      <c r="M121" s="11" t="s">
        <v>73</v>
      </c>
      <c r="N121" s="11" t="s">
        <v>123</v>
      </c>
      <c r="O121" s="11" t="s">
        <v>60</v>
      </c>
      <c r="P121" s="11" t="s">
        <v>106</v>
      </c>
      <c r="Q121" s="13" t="n">
        <f aca="false">F121*H121</f>
        <v>54562000</v>
      </c>
      <c r="R121" s="13" t="n">
        <f aca="false">G121*H121</f>
        <v>46420000</v>
      </c>
      <c r="S121" s="13" t="n">
        <f aca="false">Q121-R121</f>
        <v>8142000</v>
      </c>
      <c r="T121" s="14" t="n">
        <f aca="false">IFERROR(S121/Q121,0)</f>
        <v>0.149224735163667</v>
      </c>
      <c r="U121" s="15" t="str">
        <f aca="false">TEXT(A121,"yyyy-mm")</f>
        <v>2022-02</v>
      </c>
    </row>
    <row r="122" customFormat="false" ht="15" hidden="false" customHeight="false" outlineLevel="0" collapsed="false">
      <c r="A122" s="10" t="n">
        <v>44603</v>
      </c>
      <c r="B122" s="11" t="s">
        <v>254</v>
      </c>
      <c r="C122" s="11" t="s">
        <v>148</v>
      </c>
      <c r="D122" s="11" t="s">
        <v>138</v>
      </c>
      <c r="E122" s="11" t="s">
        <v>122</v>
      </c>
      <c r="F122" s="12" t="n">
        <v>4941716</v>
      </c>
      <c r="G122" s="12" t="n">
        <v>4456000</v>
      </c>
      <c r="H122" s="11" t="n">
        <v>18</v>
      </c>
      <c r="I122" s="11" t="s">
        <v>69</v>
      </c>
      <c r="J122" s="11" t="s">
        <v>80</v>
      </c>
      <c r="K122" s="11" t="s">
        <v>81</v>
      </c>
      <c r="L122" s="11" t="s">
        <v>82</v>
      </c>
      <c r="M122" s="11" t="s">
        <v>73</v>
      </c>
      <c r="N122" s="11" t="s">
        <v>74</v>
      </c>
      <c r="O122" s="11" t="s">
        <v>75</v>
      </c>
      <c r="P122" s="11" t="s">
        <v>76</v>
      </c>
      <c r="Q122" s="13" t="n">
        <f aca="false">F122*H122</f>
        <v>88950888</v>
      </c>
      <c r="R122" s="13" t="n">
        <f aca="false">G122*H122</f>
        <v>80208000</v>
      </c>
      <c r="S122" s="13" t="n">
        <f aca="false">Q122-R122</f>
        <v>8742888</v>
      </c>
      <c r="T122" s="14" t="n">
        <f aca="false">IFERROR(S122/Q122,0)</f>
        <v>0.0982889344511097</v>
      </c>
      <c r="U122" s="15" t="str">
        <f aca="false">TEXT(A122,"yyyy-mm")</f>
        <v>2022-02</v>
      </c>
    </row>
    <row r="123" customFormat="false" ht="15" hidden="false" customHeight="false" outlineLevel="0" collapsed="false">
      <c r="A123" s="10" t="n">
        <v>44604</v>
      </c>
      <c r="B123" s="11" t="s">
        <v>255</v>
      </c>
      <c r="C123" s="11" t="s">
        <v>66</v>
      </c>
      <c r="D123" s="11" t="s">
        <v>67</v>
      </c>
      <c r="E123" s="11" t="s">
        <v>68</v>
      </c>
      <c r="F123" s="12" t="n">
        <v>3048952</v>
      </c>
      <c r="G123" s="12" t="n">
        <v>2560000</v>
      </c>
      <c r="H123" s="11" t="n">
        <v>7</v>
      </c>
      <c r="I123" s="11" t="s">
        <v>69</v>
      </c>
      <c r="J123" s="11" t="s">
        <v>70</v>
      </c>
      <c r="K123" s="11" t="s">
        <v>71</v>
      </c>
      <c r="L123" s="11" t="s">
        <v>72</v>
      </c>
      <c r="M123" s="11" t="s">
        <v>73</v>
      </c>
      <c r="N123" s="11" t="s">
        <v>104</v>
      </c>
      <c r="O123" s="11" t="s">
        <v>105</v>
      </c>
      <c r="P123" s="11" t="s">
        <v>106</v>
      </c>
      <c r="Q123" s="13" t="n">
        <f aca="false">F123*H123</f>
        <v>21342664</v>
      </c>
      <c r="R123" s="13" t="n">
        <f aca="false">G123*H123</f>
        <v>17920000</v>
      </c>
      <c r="S123" s="13" t="n">
        <f aca="false">Q123-R123</f>
        <v>3422664</v>
      </c>
      <c r="T123" s="14" t="n">
        <f aca="false">IFERROR(S123/Q123,0)</f>
        <v>0.160367234380863</v>
      </c>
      <c r="U123" s="15" t="str">
        <f aca="false">TEXT(A123,"yyyy-mm")</f>
        <v>2022-02</v>
      </c>
    </row>
    <row r="124" customFormat="false" ht="15" hidden="false" customHeight="false" outlineLevel="0" collapsed="false">
      <c r="A124" s="10" t="n">
        <v>44604</v>
      </c>
      <c r="B124" s="11" t="s">
        <v>256</v>
      </c>
      <c r="C124" s="11" t="s">
        <v>78</v>
      </c>
      <c r="D124" s="11" t="s">
        <v>67</v>
      </c>
      <c r="E124" s="11" t="s">
        <v>79</v>
      </c>
      <c r="F124" s="12" t="n">
        <v>1870000</v>
      </c>
      <c r="G124" s="12" t="n">
        <v>1650000</v>
      </c>
      <c r="H124" s="11" t="n">
        <v>2</v>
      </c>
      <c r="I124" s="11" t="s">
        <v>86</v>
      </c>
      <c r="J124" s="11" t="s">
        <v>87</v>
      </c>
      <c r="K124" s="11" t="s">
        <v>88</v>
      </c>
      <c r="L124" s="11" t="s">
        <v>89</v>
      </c>
      <c r="M124" s="11" t="s">
        <v>90</v>
      </c>
      <c r="N124" s="11" t="s">
        <v>93</v>
      </c>
      <c r="O124" s="11" t="s">
        <v>94</v>
      </c>
      <c r="P124" s="11" t="s">
        <v>95</v>
      </c>
      <c r="Q124" s="13" t="n">
        <f aca="false">F124*H124</f>
        <v>3740000</v>
      </c>
      <c r="R124" s="13" t="n">
        <f aca="false">G124*H124</f>
        <v>3300000</v>
      </c>
      <c r="S124" s="13" t="n">
        <f aca="false">Q124-R124</f>
        <v>440000</v>
      </c>
      <c r="T124" s="14" t="n">
        <f aca="false">IFERROR(S124/Q124,0)</f>
        <v>0.117647058823529</v>
      </c>
      <c r="U124" s="15" t="str">
        <f aca="false">TEXT(A124,"yyyy-mm")</f>
        <v>2022-02</v>
      </c>
    </row>
    <row r="125" customFormat="false" ht="15" hidden="false" customHeight="false" outlineLevel="0" collapsed="false">
      <c r="A125" s="10" t="n">
        <v>44604</v>
      </c>
      <c r="B125" s="11" t="s">
        <v>257</v>
      </c>
      <c r="C125" s="11" t="s">
        <v>84</v>
      </c>
      <c r="D125" s="11" t="s">
        <v>67</v>
      </c>
      <c r="E125" s="11" t="s">
        <v>85</v>
      </c>
      <c r="F125" s="12" t="n">
        <v>2600000</v>
      </c>
      <c r="G125" s="12" t="n">
        <v>2300000</v>
      </c>
      <c r="H125" s="11" t="n">
        <v>17</v>
      </c>
      <c r="I125" s="11" t="s">
        <v>69</v>
      </c>
      <c r="J125" s="11" t="s">
        <v>80</v>
      </c>
      <c r="K125" s="11" t="s">
        <v>81</v>
      </c>
      <c r="L125" s="11" t="s">
        <v>82</v>
      </c>
      <c r="M125" s="11" t="s">
        <v>73</v>
      </c>
      <c r="N125" s="11" t="s">
        <v>109</v>
      </c>
      <c r="O125" s="11" t="s">
        <v>75</v>
      </c>
      <c r="P125" s="11" t="s">
        <v>95</v>
      </c>
      <c r="Q125" s="13" t="n">
        <f aca="false">F125*H125</f>
        <v>44200000</v>
      </c>
      <c r="R125" s="13" t="n">
        <f aca="false">G125*H125</f>
        <v>39100000</v>
      </c>
      <c r="S125" s="13" t="n">
        <f aca="false">Q125-R125</f>
        <v>5100000</v>
      </c>
      <c r="T125" s="14" t="n">
        <f aca="false">IFERROR(S125/Q125,0)</f>
        <v>0.115384615384615</v>
      </c>
      <c r="U125" s="15" t="str">
        <f aca="false">TEXT(A125,"yyyy-mm")</f>
        <v>2022-02</v>
      </c>
    </row>
    <row r="126" customFormat="false" ht="15" hidden="false" customHeight="false" outlineLevel="0" collapsed="false">
      <c r="A126" s="10" t="n">
        <v>44604</v>
      </c>
      <c r="B126" s="11" t="s">
        <v>258</v>
      </c>
      <c r="C126" s="11" t="s">
        <v>92</v>
      </c>
      <c r="D126" s="11" t="s">
        <v>67</v>
      </c>
      <c r="E126" s="11" t="s">
        <v>79</v>
      </c>
      <c r="F126" s="12" t="n">
        <v>3577480</v>
      </c>
      <c r="G126" s="12" t="n">
        <v>3100000</v>
      </c>
      <c r="H126" s="11" t="n">
        <v>27</v>
      </c>
      <c r="I126" s="11" t="s">
        <v>86</v>
      </c>
      <c r="J126" s="11" t="s">
        <v>87</v>
      </c>
      <c r="K126" s="11" t="s">
        <v>88</v>
      </c>
      <c r="L126" s="11" t="s">
        <v>89</v>
      </c>
      <c r="M126" s="11" t="s">
        <v>90</v>
      </c>
      <c r="N126" s="11" t="s">
        <v>74</v>
      </c>
      <c r="O126" s="11" t="s">
        <v>75</v>
      </c>
      <c r="P126" s="11" t="s">
        <v>76</v>
      </c>
      <c r="Q126" s="13" t="n">
        <f aca="false">F126*H126</f>
        <v>96591960</v>
      </c>
      <c r="R126" s="13" t="n">
        <f aca="false">G126*H126</f>
        <v>83700000</v>
      </c>
      <c r="S126" s="13" t="n">
        <f aca="false">Q126-R126</f>
        <v>12891960</v>
      </c>
      <c r="T126" s="14" t="n">
        <f aca="false">IFERROR(S126/Q126,0)</f>
        <v>0.133468251394837</v>
      </c>
      <c r="U126" s="15" t="str">
        <f aca="false">TEXT(A126,"yyyy-mm")</f>
        <v>2022-02</v>
      </c>
    </row>
    <row r="127" customFormat="false" ht="15" hidden="false" customHeight="false" outlineLevel="0" collapsed="false">
      <c r="A127" s="10" t="n">
        <v>44604</v>
      </c>
      <c r="B127" s="11" t="s">
        <v>259</v>
      </c>
      <c r="C127" s="11" t="s">
        <v>97</v>
      </c>
      <c r="D127" s="11" t="s">
        <v>67</v>
      </c>
      <c r="E127" s="11" t="s">
        <v>98</v>
      </c>
      <c r="F127" s="12" t="n">
        <v>4969724</v>
      </c>
      <c r="G127" s="12" t="n">
        <v>4121560</v>
      </c>
      <c r="H127" s="11" t="n">
        <v>8</v>
      </c>
      <c r="I127" s="11" t="s">
        <v>69</v>
      </c>
      <c r="J127" s="11" t="s">
        <v>112</v>
      </c>
      <c r="K127" s="11" t="s">
        <v>113</v>
      </c>
      <c r="L127" s="11" t="s">
        <v>82</v>
      </c>
      <c r="M127" s="11" t="s">
        <v>157</v>
      </c>
      <c r="N127" s="11" t="s">
        <v>104</v>
      </c>
      <c r="O127" s="11" t="s">
        <v>105</v>
      </c>
      <c r="P127" s="11" t="s">
        <v>106</v>
      </c>
      <c r="Q127" s="13" t="n">
        <f aca="false">F127*H127</f>
        <v>39757792</v>
      </c>
      <c r="R127" s="13" t="n">
        <f aca="false">G127*H127</f>
        <v>32972480</v>
      </c>
      <c r="S127" s="13" t="n">
        <f aca="false">Q127-R127</f>
        <v>6785312</v>
      </c>
      <c r="T127" s="14" t="n">
        <f aca="false">IFERROR(S127/Q127,0)</f>
        <v>0.170666218083741</v>
      </c>
      <c r="U127" s="15" t="str">
        <f aca="false">TEXT(A127,"yyyy-mm")</f>
        <v>2022-02</v>
      </c>
    </row>
    <row r="128" customFormat="false" ht="15" hidden="false" customHeight="false" outlineLevel="0" collapsed="false">
      <c r="A128" s="10" t="n">
        <v>44604</v>
      </c>
      <c r="B128" s="11" t="s">
        <v>260</v>
      </c>
      <c r="C128" s="11" t="s">
        <v>103</v>
      </c>
      <c r="D128" s="11" t="s">
        <v>67</v>
      </c>
      <c r="E128" s="11" t="s">
        <v>68</v>
      </c>
      <c r="F128" s="12" t="n">
        <v>3319925</v>
      </c>
      <c r="G128" s="12" t="n">
        <v>2800000</v>
      </c>
      <c r="H128" s="11" t="n">
        <v>7</v>
      </c>
      <c r="I128" s="11" t="s">
        <v>69</v>
      </c>
      <c r="J128" s="11" t="s">
        <v>70</v>
      </c>
      <c r="K128" s="11" t="s">
        <v>71</v>
      </c>
      <c r="L128" s="11" t="s">
        <v>72</v>
      </c>
      <c r="M128" s="11" t="s">
        <v>73</v>
      </c>
      <c r="N128" s="11" t="s">
        <v>143</v>
      </c>
      <c r="O128" s="11" t="s">
        <v>144</v>
      </c>
      <c r="P128" s="11" t="s">
        <v>101</v>
      </c>
      <c r="Q128" s="13" t="n">
        <f aca="false">F128*H128</f>
        <v>23239475</v>
      </c>
      <c r="R128" s="13" t="n">
        <f aca="false">G128*H128</f>
        <v>19600000</v>
      </c>
      <c r="S128" s="13" t="n">
        <f aca="false">Q128-R128</f>
        <v>3639475</v>
      </c>
      <c r="T128" s="14" t="n">
        <f aca="false">IFERROR(S128/Q128,0)</f>
        <v>0.15660745348163</v>
      </c>
      <c r="U128" s="15" t="str">
        <f aca="false">TEXT(A128,"yyyy-mm")</f>
        <v>2022-02</v>
      </c>
    </row>
    <row r="129" customFormat="false" ht="15" hidden="false" customHeight="false" outlineLevel="0" collapsed="false">
      <c r="A129" s="10" t="n">
        <v>44605</v>
      </c>
      <c r="B129" s="11" t="s">
        <v>261</v>
      </c>
      <c r="C129" s="11" t="s">
        <v>108</v>
      </c>
      <c r="D129" s="11" t="s">
        <v>67</v>
      </c>
      <c r="E129" s="11" t="s">
        <v>68</v>
      </c>
      <c r="F129" s="12" t="n">
        <v>4757880</v>
      </c>
      <c r="G129" s="12" t="n">
        <v>3450000</v>
      </c>
      <c r="H129" s="11" t="n">
        <v>2</v>
      </c>
      <c r="I129" s="11" t="s">
        <v>69</v>
      </c>
      <c r="J129" s="11" t="s">
        <v>112</v>
      </c>
      <c r="K129" s="11" t="s">
        <v>113</v>
      </c>
      <c r="L129" s="11" t="s">
        <v>82</v>
      </c>
      <c r="M129" s="11" t="s">
        <v>157</v>
      </c>
      <c r="N129" s="11" t="s">
        <v>133</v>
      </c>
      <c r="O129" s="11" t="s">
        <v>60</v>
      </c>
      <c r="P129" s="11" t="s">
        <v>76</v>
      </c>
      <c r="Q129" s="13" t="n">
        <f aca="false">F129*H129</f>
        <v>9515760</v>
      </c>
      <c r="R129" s="13" t="n">
        <f aca="false">G129*H129</f>
        <v>6900000</v>
      </c>
      <c r="S129" s="13" t="n">
        <f aca="false">Q129-R129</f>
        <v>2615760</v>
      </c>
      <c r="T129" s="14" t="n">
        <f aca="false">IFERROR(S129/Q129,0)</f>
        <v>0.274887134606169</v>
      </c>
      <c r="U129" s="15" t="str">
        <f aca="false">TEXT(A129,"yyyy-mm")</f>
        <v>2022-02</v>
      </c>
    </row>
    <row r="130" customFormat="false" ht="15" hidden="false" customHeight="false" outlineLevel="0" collapsed="false">
      <c r="A130" s="10" t="n">
        <v>44605</v>
      </c>
      <c r="B130" s="11" t="s">
        <v>262</v>
      </c>
      <c r="C130" s="11" t="s">
        <v>111</v>
      </c>
      <c r="D130" s="11" t="s">
        <v>67</v>
      </c>
      <c r="E130" s="11" t="s">
        <v>79</v>
      </c>
      <c r="F130" s="12" t="n">
        <v>3545808</v>
      </c>
      <c r="G130" s="12" t="n">
        <v>3350000</v>
      </c>
      <c r="H130" s="11" t="n">
        <v>6</v>
      </c>
      <c r="I130" s="11" t="s">
        <v>69</v>
      </c>
      <c r="J130" s="11" t="s">
        <v>70</v>
      </c>
      <c r="K130" s="11" t="s">
        <v>71</v>
      </c>
      <c r="L130" s="11" t="s">
        <v>72</v>
      </c>
      <c r="M130" s="11" t="s">
        <v>73</v>
      </c>
      <c r="N130" s="11" t="s">
        <v>173</v>
      </c>
      <c r="O130" s="11" t="s">
        <v>174</v>
      </c>
      <c r="P130" s="11" t="s">
        <v>95</v>
      </c>
      <c r="Q130" s="13" t="n">
        <f aca="false">F130*H130</f>
        <v>21274848</v>
      </c>
      <c r="R130" s="13" t="n">
        <f aca="false">G130*H130</f>
        <v>20100000</v>
      </c>
      <c r="S130" s="13" t="n">
        <f aca="false">Q130-R130</f>
        <v>1174848</v>
      </c>
      <c r="T130" s="14" t="n">
        <f aca="false">IFERROR(S130/Q130,0)</f>
        <v>0.0552223921881839</v>
      </c>
      <c r="U130" s="15" t="str">
        <f aca="false">TEXT(A130,"yyyy-mm")</f>
        <v>2022-02</v>
      </c>
    </row>
    <row r="131" customFormat="false" ht="15" hidden="false" customHeight="false" outlineLevel="0" collapsed="false">
      <c r="A131" s="10" t="n">
        <v>44605</v>
      </c>
      <c r="B131" s="11" t="s">
        <v>263</v>
      </c>
      <c r="C131" s="11" t="s">
        <v>115</v>
      </c>
      <c r="D131" s="11" t="s">
        <v>67</v>
      </c>
      <c r="E131" s="11" t="s">
        <v>98</v>
      </c>
      <c r="F131" s="12" t="n">
        <v>4200743</v>
      </c>
      <c r="G131" s="12" t="n">
        <v>4101000</v>
      </c>
      <c r="H131" s="11" t="n">
        <v>10</v>
      </c>
      <c r="I131" s="11" t="s">
        <v>69</v>
      </c>
      <c r="J131" s="11" t="s">
        <v>112</v>
      </c>
      <c r="K131" s="11" t="s">
        <v>113</v>
      </c>
      <c r="L131" s="11" t="s">
        <v>82</v>
      </c>
      <c r="M131" s="11" t="s">
        <v>157</v>
      </c>
      <c r="N131" s="11" t="s">
        <v>93</v>
      </c>
      <c r="O131" s="11" t="s">
        <v>94</v>
      </c>
      <c r="P131" s="11" t="s">
        <v>95</v>
      </c>
      <c r="Q131" s="13" t="n">
        <f aca="false">F131*H131</f>
        <v>42007430</v>
      </c>
      <c r="R131" s="13" t="n">
        <f aca="false">G131*H131</f>
        <v>41010000</v>
      </c>
      <c r="S131" s="13" t="n">
        <f aca="false">Q131-R131</f>
        <v>997430</v>
      </c>
      <c r="T131" s="14" t="n">
        <f aca="false">IFERROR(S131/Q131,0)</f>
        <v>0.023744132883159</v>
      </c>
      <c r="U131" s="15" t="str">
        <f aca="false">TEXT(A131,"yyyy-mm")</f>
        <v>2022-02</v>
      </c>
    </row>
    <row r="132" customFormat="false" ht="15" hidden="false" customHeight="false" outlineLevel="0" collapsed="false">
      <c r="A132" s="10" t="n">
        <v>44605</v>
      </c>
      <c r="B132" s="11" t="s">
        <v>264</v>
      </c>
      <c r="C132" s="11" t="s">
        <v>117</v>
      </c>
      <c r="D132" s="11" t="s">
        <v>118</v>
      </c>
      <c r="E132" s="11" t="s">
        <v>119</v>
      </c>
      <c r="F132" s="12" t="n">
        <v>8220549</v>
      </c>
      <c r="G132" s="12" t="n">
        <v>6500000</v>
      </c>
      <c r="H132" s="11" t="n">
        <v>14</v>
      </c>
      <c r="I132" s="11" t="s">
        <v>69</v>
      </c>
      <c r="J132" s="11" t="s">
        <v>80</v>
      </c>
      <c r="K132" s="11" t="s">
        <v>81</v>
      </c>
      <c r="L132" s="11" t="s">
        <v>82</v>
      </c>
      <c r="M132" s="11" t="s">
        <v>73</v>
      </c>
      <c r="N132" s="11" t="s">
        <v>133</v>
      </c>
      <c r="O132" s="11" t="s">
        <v>60</v>
      </c>
      <c r="P132" s="11" t="s">
        <v>76</v>
      </c>
      <c r="Q132" s="13" t="n">
        <f aca="false">F132*H132</f>
        <v>115087686</v>
      </c>
      <c r="R132" s="13" t="n">
        <f aca="false">G132*H132</f>
        <v>91000000</v>
      </c>
      <c r="S132" s="13" t="n">
        <f aca="false">Q132-R132</f>
        <v>24087686</v>
      </c>
      <c r="T132" s="14" t="n">
        <f aca="false">IFERROR(S132/Q132,0)</f>
        <v>0.209298551714733</v>
      </c>
      <c r="U132" s="15" t="str">
        <f aca="false">TEXT(A132,"yyyy-mm")</f>
        <v>2022-02</v>
      </c>
    </row>
    <row r="133" customFormat="false" ht="15" hidden="false" customHeight="false" outlineLevel="0" collapsed="false">
      <c r="A133" s="10" t="n">
        <v>44606</v>
      </c>
      <c r="B133" s="11" t="s">
        <v>265</v>
      </c>
      <c r="C133" s="11" t="s">
        <v>121</v>
      </c>
      <c r="D133" s="11" t="s">
        <v>118</v>
      </c>
      <c r="E133" s="11" t="s">
        <v>122</v>
      </c>
      <c r="F133" s="12" t="n">
        <v>7687274</v>
      </c>
      <c r="G133" s="12" t="n">
        <v>6500000</v>
      </c>
      <c r="H133" s="11" t="n">
        <v>1</v>
      </c>
      <c r="I133" s="11" t="s">
        <v>69</v>
      </c>
      <c r="J133" s="11" t="s">
        <v>112</v>
      </c>
      <c r="K133" s="11" t="s">
        <v>113</v>
      </c>
      <c r="L133" s="11" t="s">
        <v>82</v>
      </c>
      <c r="M133" s="11" t="s">
        <v>157</v>
      </c>
      <c r="N133" s="11" t="s">
        <v>149</v>
      </c>
      <c r="O133" s="11" t="s">
        <v>150</v>
      </c>
      <c r="P133" s="11" t="s">
        <v>151</v>
      </c>
      <c r="Q133" s="13" t="n">
        <f aca="false">F133*H133</f>
        <v>7687274</v>
      </c>
      <c r="R133" s="13" t="n">
        <f aca="false">G133*H133</f>
        <v>6500000</v>
      </c>
      <c r="S133" s="13" t="n">
        <f aca="false">Q133-R133</f>
        <v>1187274</v>
      </c>
      <c r="T133" s="14" t="n">
        <f aca="false">IFERROR(S133/Q133,0)</f>
        <v>0.154446686822923</v>
      </c>
      <c r="U133" s="15" t="str">
        <f aca="false">TEXT(A133,"yyyy-mm")</f>
        <v>2022-02</v>
      </c>
    </row>
    <row r="134" customFormat="false" ht="15" hidden="false" customHeight="false" outlineLevel="0" collapsed="false">
      <c r="A134" s="10" t="n">
        <v>44606</v>
      </c>
      <c r="B134" s="11" t="s">
        <v>266</v>
      </c>
      <c r="C134" s="11" t="s">
        <v>125</v>
      </c>
      <c r="D134" s="11" t="s">
        <v>118</v>
      </c>
      <c r="E134" s="11" t="s">
        <v>126</v>
      </c>
      <c r="F134" s="12" t="n">
        <v>5684211</v>
      </c>
      <c r="G134" s="12" t="n">
        <v>4300000</v>
      </c>
      <c r="H134" s="11" t="n">
        <v>4</v>
      </c>
      <c r="I134" s="11" t="s">
        <v>69</v>
      </c>
      <c r="J134" s="11" t="s">
        <v>70</v>
      </c>
      <c r="K134" s="11" t="s">
        <v>71</v>
      </c>
      <c r="L134" s="11" t="s">
        <v>72</v>
      </c>
      <c r="M134" s="11" t="s">
        <v>73</v>
      </c>
      <c r="N134" s="11" t="s">
        <v>109</v>
      </c>
      <c r="O134" s="11" t="s">
        <v>75</v>
      </c>
      <c r="P134" s="11" t="s">
        <v>95</v>
      </c>
      <c r="Q134" s="13" t="n">
        <f aca="false">F134*H134</f>
        <v>22736844</v>
      </c>
      <c r="R134" s="13" t="n">
        <f aca="false">G134*H134</f>
        <v>17200000</v>
      </c>
      <c r="S134" s="13" t="n">
        <f aca="false">Q134-R134</f>
        <v>5536844</v>
      </c>
      <c r="T134" s="14" t="n">
        <f aca="false">IFERROR(S134/Q134,0)</f>
        <v>0.243518581558637</v>
      </c>
      <c r="U134" s="15" t="str">
        <f aca="false">TEXT(A134,"yyyy-mm")</f>
        <v>2022-02</v>
      </c>
    </row>
    <row r="135" customFormat="false" ht="15" hidden="false" customHeight="false" outlineLevel="0" collapsed="false">
      <c r="A135" s="10" t="n">
        <v>44606</v>
      </c>
      <c r="B135" s="11" t="s">
        <v>267</v>
      </c>
      <c r="C135" s="11" t="s">
        <v>128</v>
      </c>
      <c r="D135" s="11" t="s">
        <v>118</v>
      </c>
      <c r="E135" s="11" t="s">
        <v>119</v>
      </c>
      <c r="F135" s="12" t="n">
        <v>3370302</v>
      </c>
      <c r="G135" s="12" t="n">
        <v>2100000</v>
      </c>
      <c r="H135" s="11" t="n">
        <v>29</v>
      </c>
      <c r="I135" s="11" t="s">
        <v>69</v>
      </c>
      <c r="J135" s="11" t="s">
        <v>80</v>
      </c>
      <c r="K135" s="11" t="s">
        <v>81</v>
      </c>
      <c r="L135" s="11" t="s">
        <v>82</v>
      </c>
      <c r="M135" s="11" t="s">
        <v>73</v>
      </c>
      <c r="N135" s="11" t="s">
        <v>133</v>
      </c>
      <c r="O135" s="11" t="s">
        <v>60</v>
      </c>
      <c r="P135" s="11" t="s">
        <v>76</v>
      </c>
      <c r="Q135" s="13" t="n">
        <f aca="false">F135*H135</f>
        <v>97738758</v>
      </c>
      <c r="R135" s="13" t="n">
        <f aca="false">G135*H135</f>
        <v>60900000</v>
      </c>
      <c r="S135" s="13" t="n">
        <f aca="false">Q135-R135</f>
        <v>36838758</v>
      </c>
      <c r="T135" s="14" t="n">
        <f aca="false">IFERROR(S135/Q135,0)</f>
        <v>0.37691043710623</v>
      </c>
      <c r="U135" s="15" t="str">
        <f aca="false">TEXT(A135,"yyyy-mm")</f>
        <v>2022-02</v>
      </c>
    </row>
    <row r="136" customFormat="false" ht="15" hidden="false" customHeight="false" outlineLevel="0" collapsed="false">
      <c r="A136" s="10" t="n">
        <v>44607</v>
      </c>
      <c r="B136" s="11" t="s">
        <v>268</v>
      </c>
      <c r="C136" s="11" t="s">
        <v>130</v>
      </c>
      <c r="D136" s="11" t="s">
        <v>118</v>
      </c>
      <c r="E136" s="11" t="s">
        <v>68</v>
      </c>
      <c r="F136" s="12" t="n">
        <v>2852897</v>
      </c>
      <c r="G136" s="12" t="n">
        <v>2450000</v>
      </c>
      <c r="H136" s="11" t="n">
        <v>7</v>
      </c>
      <c r="I136" s="11" t="s">
        <v>86</v>
      </c>
      <c r="J136" s="11" t="s">
        <v>87</v>
      </c>
      <c r="K136" s="11" t="s">
        <v>88</v>
      </c>
      <c r="L136" s="11" t="s">
        <v>89</v>
      </c>
      <c r="M136" s="11" t="s">
        <v>90</v>
      </c>
      <c r="N136" s="11" t="s">
        <v>173</v>
      </c>
      <c r="O136" s="11" t="s">
        <v>174</v>
      </c>
      <c r="P136" s="11" t="s">
        <v>95</v>
      </c>
      <c r="Q136" s="13" t="n">
        <f aca="false">F136*H136</f>
        <v>19970279</v>
      </c>
      <c r="R136" s="13" t="n">
        <f aca="false">G136*H136</f>
        <v>17150000</v>
      </c>
      <c r="S136" s="13" t="n">
        <f aca="false">Q136-R136</f>
        <v>2820279</v>
      </c>
      <c r="T136" s="14" t="n">
        <f aca="false">IFERROR(S136/Q136,0)</f>
        <v>0.141223815651249</v>
      </c>
      <c r="U136" s="15" t="str">
        <f aca="false">TEXT(A136,"yyyy-mm")</f>
        <v>2022-02</v>
      </c>
    </row>
    <row r="137" customFormat="false" ht="15" hidden="false" customHeight="false" outlineLevel="0" collapsed="false">
      <c r="A137" s="10" t="n">
        <v>44607</v>
      </c>
      <c r="B137" s="11" t="s">
        <v>269</v>
      </c>
      <c r="C137" s="11" t="s">
        <v>132</v>
      </c>
      <c r="D137" s="11" t="s">
        <v>118</v>
      </c>
      <c r="E137" s="11" t="s">
        <v>68</v>
      </c>
      <c r="F137" s="12" t="n">
        <v>4803603</v>
      </c>
      <c r="G137" s="12" t="n">
        <v>4121000</v>
      </c>
      <c r="H137" s="11" t="n">
        <v>8</v>
      </c>
      <c r="I137" s="11" t="s">
        <v>69</v>
      </c>
      <c r="J137" s="11" t="s">
        <v>112</v>
      </c>
      <c r="K137" s="11" t="s">
        <v>113</v>
      </c>
      <c r="L137" s="11" t="s">
        <v>82</v>
      </c>
      <c r="M137" s="11" t="s">
        <v>157</v>
      </c>
      <c r="N137" s="11" t="s">
        <v>109</v>
      </c>
      <c r="O137" s="11" t="s">
        <v>75</v>
      </c>
      <c r="P137" s="11" t="s">
        <v>95</v>
      </c>
      <c r="Q137" s="13" t="n">
        <f aca="false">F137*H137</f>
        <v>38428824</v>
      </c>
      <c r="R137" s="13" t="n">
        <f aca="false">G137*H137</f>
        <v>32968000</v>
      </c>
      <c r="S137" s="13" t="n">
        <f aca="false">Q137-R137</f>
        <v>5460824</v>
      </c>
      <c r="T137" s="14" t="n">
        <f aca="false">IFERROR(S137/Q137,0)</f>
        <v>0.142102292799801</v>
      </c>
      <c r="U137" s="15" t="str">
        <f aca="false">TEXT(A137,"yyyy-mm")</f>
        <v>2022-02</v>
      </c>
    </row>
    <row r="138" customFormat="false" ht="15" hidden="false" customHeight="false" outlineLevel="0" collapsed="false">
      <c r="A138" s="10" t="n">
        <v>44608</v>
      </c>
      <c r="B138" s="11" t="s">
        <v>270</v>
      </c>
      <c r="C138" s="11" t="s">
        <v>135</v>
      </c>
      <c r="D138" s="11" t="s">
        <v>118</v>
      </c>
      <c r="E138" s="11" t="s">
        <v>68</v>
      </c>
      <c r="F138" s="12" t="n">
        <v>5689947</v>
      </c>
      <c r="G138" s="12" t="n">
        <v>5235000</v>
      </c>
      <c r="H138" s="11" t="n">
        <v>24</v>
      </c>
      <c r="I138" s="11" t="s">
        <v>69</v>
      </c>
      <c r="J138" s="11" t="s">
        <v>80</v>
      </c>
      <c r="K138" s="11" t="s">
        <v>81</v>
      </c>
      <c r="L138" s="11" t="s">
        <v>82</v>
      </c>
      <c r="M138" s="11" t="s">
        <v>73</v>
      </c>
      <c r="N138" s="11" t="s">
        <v>173</v>
      </c>
      <c r="O138" s="11" t="s">
        <v>174</v>
      </c>
      <c r="P138" s="11" t="s">
        <v>95</v>
      </c>
      <c r="Q138" s="13" t="n">
        <f aca="false">F138*H138</f>
        <v>136558728</v>
      </c>
      <c r="R138" s="13" t="n">
        <f aca="false">G138*H138</f>
        <v>125640000</v>
      </c>
      <c r="S138" s="13" t="n">
        <f aca="false">Q138-R138</f>
        <v>10918728</v>
      </c>
      <c r="T138" s="14" t="n">
        <f aca="false">IFERROR(S138/Q138,0)</f>
        <v>0.0799562807878527</v>
      </c>
      <c r="U138" s="15" t="str">
        <f aca="false">TEXT(A138,"yyyy-mm")</f>
        <v>2022-02</v>
      </c>
    </row>
    <row r="139" customFormat="false" ht="15" hidden="false" customHeight="false" outlineLevel="0" collapsed="false">
      <c r="A139" s="10" t="n">
        <v>44609</v>
      </c>
      <c r="B139" s="11" t="s">
        <v>271</v>
      </c>
      <c r="C139" s="11" t="s">
        <v>137</v>
      </c>
      <c r="D139" s="11" t="s">
        <v>138</v>
      </c>
      <c r="E139" s="11" t="s">
        <v>139</v>
      </c>
      <c r="F139" s="12" t="n">
        <v>5171827</v>
      </c>
      <c r="G139" s="12" t="n">
        <v>4890000</v>
      </c>
      <c r="H139" s="11" t="n">
        <v>16</v>
      </c>
      <c r="I139" s="11" t="s">
        <v>69</v>
      </c>
      <c r="J139" s="11" t="s">
        <v>80</v>
      </c>
      <c r="K139" s="11" t="s">
        <v>81</v>
      </c>
      <c r="L139" s="11" t="s">
        <v>82</v>
      </c>
      <c r="M139" s="11" t="s">
        <v>73</v>
      </c>
      <c r="N139" s="11" t="s">
        <v>104</v>
      </c>
      <c r="O139" s="11" t="s">
        <v>105</v>
      </c>
      <c r="P139" s="11" t="s">
        <v>106</v>
      </c>
      <c r="Q139" s="13" t="n">
        <f aca="false">F139*H139</f>
        <v>82749232</v>
      </c>
      <c r="R139" s="13" t="n">
        <f aca="false">G139*H139</f>
        <v>78240000</v>
      </c>
      <c r="S139" s="13" t="n">
        <f aca="false">Q139-R139</f>
        <v>4509232</v>
      </c>
      <c r="T139" s="14" t="n">
        <f aca="false">IFERROR(S139/Q139,0)</f>
        <v>0.0544927353525166</v>
      </c>
      <c r="U139" s="15" t="str">
        <f aca="false">TEXT(A139,"yyyy-mm")</f>
        <v>2022-02</v>
      </c>
    </row>
    <row r="140" customFormat="false" ht="15" hidden="false" customHeight="false" outlineLevel="0" collapsed="false">
      <c r="A140" s="10" t="n">
        <v>44611</v>
      </c>
      <c r="B140" s="11" t="s">
        <v>272</v>
      </c>
      <c r="C140" s="11" t="s">
        <v>141</v>
      </c>
      <c r="D140" s="11" t="s">
        <v>138</v>
      </c>
      <c r="E140" s="11" t="s">
        <v>142</v>
      </c>
      <c r="F140" s="12" t="n">
        <v>2805124</v>
      </c>
      <c r="G140" s="12" t="n">
        <v>2178000</v>
      </c>
      <c r="H140" s="11" t="n">
        <v>21</v>
      </c>
      <c r="I140" s="11" t="s">
        <v>69</v>
      </c>
      <c r="J140" s="11" t="s">
        <v>80</v>
      </c>
      <c r="K140" s="11" t="s">
        <v>81</v>
      </c>
      <c r="L140" s="11" t="s">
        <v>82</v>
      </c>
      <c r="M140" s="11" t="s">
        <v>73</v>
      </c>
      <c r="N140" s="11" t="s">
        <v>99</v>
      </c>
      <c r="O140" s="11" t="s">
        <v>100</v>
      </c>
      <c r="P140" s="11" t="s">
        <v>101</v>
      </c>
      <c r="Q140" s="13" t="n">
        <f aca="false">F140*H140</f>
        <v>58907604</v>
      </c>
      <c r="R140" s="13" t="n">
        <f aca="false">G140*H140</f>
        <v>45738000</v>
      </c>
      <c r="S140" s="13" t="n">
        <f aca="false">Q140-R140</f>
        <v>13169604</v>
      </c>
      <c r="T140" s="14" t="n">
        <f aca="false">IFERROR(S140/Q140,0)</f>
        <v>0.22356373550688</v>
      </c>
      <c r="U140" s="15" t="str">
        <f aca="false">TEXT(A140,"yyyy-mm")</f>
        <v>2022-02</v>
      </c>
    </row>
    <row r="141" customFormat="false" ht="15" hidden="false" customHeight="false" outlineLevel="0" collapsed="false">
      <c r="A141" s="10" t="n">
        <v>44611</v>
      </c>
      <c r="B141" s="11" t="s">
        <v>273</v>
      </c>
      <c r="C141" s="11" t="s">
        <v>146</v>
      </c>
      <c r="D141" s="11" t="s">
        <v>138</v>
      </c>
      <c r="E141" s="11" t="s">
        <v>139</v>
      </c>
      <c r="F141" s="12" t="n">
        <v>2728100</v>
      </c>
      <c r="G141" s="12" t="n">
        <v>2321000</v>
      </c>
      <c r="H141" s="11" t="n">
        <v>26</v>
      </c>
      <c r="I141" s="11" t="s">
        <v>69</v>
      </c>
      <c r="J141" s="11" t="s">
        <v>70</v>
      </c>
      <c r="K141" s="11" t="s">
        <v>71</v>
      </c>
      <c r="L141" s="11" t="s">
        <v>72</v>
      </c>
      <c r="M141" s="11" t="s">
        <v>73</v>
      </c>
      <c r="N141" s="11" t="s">
        <v>149</v>
      </c>
      <c r="O141" s="11" t="s">
        <v>150</v>
      </c>
      <c r="P141" s="11" t="s">
        <v>151</v>
      </c>
      <c r="Q141" s="13" t="n">
        <f aca="false">F141*H141</f>
        <v>70930600</v>
      </c>
      <c r="R141" s="13" t="n">
        <f aca="false">G141*H141</f>
        <v>60346000</v>
      </c>
      <c r="S141" s="13" t="n">
        <f aca="false">Q141-R141</f>
        <v>10584600</v>
      </c>
      <c r="T141" s="14" t="n">
        <f aca="false">IFERROR(S141/Q141,0)</f>
        <v>0.149224735163667</v>
      </c>
      <c r="U141" s="15" t="str">
        <f aca="false">TEXT(A141,"yyyy-mm")</f>
        <v>2022-02</v>
      </c>
    </row>
    <row r="142" customFormat="false" ht="15" hidden="false" customHeight="false" outlineLevel="0" collapsed="false">
      <c r="A142" s="10" t="n">
        <v>44611</v>
      </c>
      <c r="B142" s="11" t="s">
        <v>274</v>
      </c>
      <c r="C142" s="11" t="s">
        <v>148</v>
      </c>
      <c r="D142" s="11" t="s">
        <v>138</v>
      </c>
      <c r="E142" s="11" t="s">
        <v>122</v>
      </c>
      <c r="F142" s="12" t="n">
        <v>4941716</v>
      </c>
      <c r="G142" s="12" t="n">
        <v>4456000</v>
      </c>
      <c r="H142" s="11" t="n">
        <v>22</v>
      </c>
      <c r="I142" s="11" t="s">
        <v>69</v>
      </c>
      <c r="J142" s="11" t="s">
        <v>80</v>
      </c>
      <c r="K142" s="11" t="s">
        <v>81</v>
      </c>
      <c r="L142" s="11" t="s">
        <v>82</v>
      </c>
      <c r="M142" s="11" t="s">
        <v>73</v>
      </c>
      <c r="N142" s="11" t="s">
        <v>173</v>
      </c>
      <c r="O142" s="11" t="s">
        <v>174</v>
      </c>
      <c r="P142" s="11" t="s">
        <v>95</v>
      </c>
      <c r="Q142" s="13" t="n">
        <f aca="false">F142*H142</f>
        <v>108717752</v>
      </c>
      <c r="R142" s="13" t="n">
        <f aca="false">G142*H142</f>
        <v>98032000</v>
      </c>
      <c r="S142" s="13" t="n">
        <f aca="false">Q142-R142</f>
        <v>10685752</v>
      </c>
      <c r="T142" s="14" t="n">
        <f aca="false">IFERROR(S142/Q142,0)</f>
        <v>0.0982889344511097</v>
      </c>
      <c r="U142" s="15" t="str">
        <f aca="false">TEXT(A142,"yyyy-mm")</f>
        <v>2022-02</v>
      </c>
    </row>
    <row r="143" customFormat="false" ht="15" hidden="false" customHeight="false" outlineLevel="0" collapsed="false">
      <c r="A143" s="10" t="n">
        <v>44612</v>
      </c>
      <c r="B143" s="11" t="s">
        <v>275</v>
      </c>
      <c r="C143" s="11" t="s">
        <v>66</v>
      </c>
      <c r="D143" s="11" t="s">
        <v>67</v>
      </c>
      <c r="E143" s="11" t="s">
        <v>68</v>
      </c>
      <c r="F143" s="12" t="n">
        <v>3048952</v>
      </c>
      <c r="G143" s="12" t="n">
        <v>2560000</v>
      </c>
      <c r="H143" s="11" t="n">
        <v>18</v>
      </c>
      <c r="I143" s="11" t="s">
        <v>69</v>
      </c>
      <c r="J143" s="11" t="s">
        <v>80</v>
      </c>
      <c r="K143" s="11" t="s">
        <v>81</v>
      </c>
      <c r="L143" s="11" t="s">
        <v>82</v>
      </c>
      <c r="M143" s="11" t="s">
        <v>73</v>
      </c>
      <c r="N143" s="11" t="s">
        <v>149</v>
      </c>
      <c r="O143" s="11" t="s">
        <v>150</v>
      </c>
      <c r="P143" s="11" t="s">
        <v>151</v>
      </c>
      <c r="Q143" s="13" t="n">
        <f aca="false">F143*H143</f>
        <v>54881136</v>
      </c>
      <c r="R143" s="13" t="n">
        <f aca="false">G143*H143</f>
        <v>46080000</v>
      </c>
      <c r="S143" s="13" t="n">
        <f aca="false">Q143-R143</f>
        <v>8801136</v>
      </c>
      <c r="T143" s="14" t="n">
        <f aca="false">IFERROR(S143/Q143,0)</f>
        <v>0.160367234380863</v>
      </c>
      <c r="U143" s="15" t="str">
        <f aca="false">TEXT(A143,"yyyy-mm")</f>
        <v>2022-02</v>
      </c>
    </row>
    <row r="144" customFormat="false" ht="15" hidden="false" customHeight="false" outlineLevel="0" collapsed="false">
      <c r="A144" s="10" t="n">
        <v>44612</v>
      </c>
      <c r="B144" s="11" t="s">
        <v>276</v>
      </c>
      <c r="C144" s="11" t="s">
        <v>78</v>
      </c>
      <c r="D144" s="11" t="s">
        <v>67</v>
      </c>
      <c r="E144" s="11" t="s">
        <v>79</v>
      </c>
      <c r="F144" s="12" t="n">
        <v>1870000</v>
      </c>
      <c r="G144" s="12" t="n">
        <v>1650000</v>
      </c>
      <c r="H144" s="11" t="n">
        <v>12</v>
      </c>
      <c r="I144" s="11" t="s">
        <v>69</v>
      </c>
      <c r="J144" s="11" t="s">
        <v>112</v>
      </c>
      <c r="K144" s="11" t="s">
        <v>113</v>
      </c>
      <c r="L144" s="11" t="s">
        <v>82</v>
      </c>
      <c r="M144" s="11" t="s">
        <v>157</v>
      </c>
      <c r="N144" s="11" t="s">
        <v>74</v>
      </c>
      <c r="O144" s="11" t="s">
        <v>75</v>
      </c>
      <c r="P144" s="11" t="s">
        <v>76</v>
      </c>
      <c r="Q144" s="13" t="n">
        <f aca="false">F144*H144</f>
        <v>22440000</v>
      </c>
      <c r="R144" s="13" t="n">
        <f aca="false">G144*H144</f>
        <v>19800000</v>
      </c>
      <c r="S144" s="13" t="n">
        <f aca="false">Q144-R144</f>
        <v>2640000</v>
      </c>
      <c r="T144" s="14" t="n">
        <f aca="false">IFERROR(S144/Q144,0)</f>
        <v>0.117647058823529</v>
      </c>
      <c r="U144" s="15" t="str">
        <f aca="false">TEXT(A144,"yyyy-mm")</f>
        <v>2022-02</v>
      </c>
    </row>
    <row r="145" customFormat="false" ht="15" hidden="false" customHeight="false" outlineLevel="0" collapsed="false">
      <c r="A145" s="10" t="n">
        <v>44612</v>
      </c>
      <c r="B145" s="11" t="s">
        <v>277</v>
      </c>
      <c r="C145" s="11" t="s">
        <v>84</v>
      </c>
      <c r="D145" s="11" t="s">
        <v>67</v>
      </c>
      <c r="E145" s="11" t="s">
        <v>85</v>
      </c>
      <c r="F145" s="12" t="n">
        <v>2600000</v>
      </c>
      <c r="G145" s="12" t="n">
        <v>2300000</v>
      </c>
      <c r="H145" s="11" t="n">
        <v>3</v>
      </c>
      <c r="I145" s="11" t="s">
        <v>69</v>
      </c>
      <c r="J145" s="11" t="s">
        <v>112</v>
      </c>
      <c r="K145" s="11" t="s">
        <v>113</v>
      </c>
      <c r="L145" s="11" t="s">
        <v>82</v>
      </c>
      <c r="M145" s="11" t="s">
        <v>157</v>
      </c>
      <c r="N145" s="11" t="s">
        <v>99</v>
      </c>
      <c r="O145" s="11" t="s">
        <v>100</v>
      </c>
      <c r="P145" s="11" t="s">
        <v>101</v>
      </c>
      <c r="Q145" s="13" t="n">
        <f aca="false">F145*H145</f>
        <v>7800000</v>
      </c>
      <c r="R145" s="13" t="n">
        <f aca="false">G145*H145</f>
        <v>6900000</v>
      </c>
      <c r="S145" s="13" t="n">
        <f aca="false">Q145-R145</f>
        <v>900000</v>
      </c>
      <c r="T145" s="14" t="n">
        <f aca="false">IFERROR(S145/Q145,0)</f>
        <v>0.115384615384615</v>
      </c>
      <c r="U145" s="15" t="str">
        <f aca="false">TEXT(A145,"yyyy-mm")</f>
        <v>2022-02</v>
      </c>
    </row>
    <row r="146" customFormat="false" ht="15" hidden="false" customHeight="false" outlineLevel="0" collapsed="false">
      <c r="A146" s="10" t="n">
        <v>44613</v>
      </c>
      <c r="B146" s="11" t="s">
        <v>278</v>
      </c>
      <c r="C146" s="11" t="s">
        <v>92</v>
      </c>
      <c r="D146" s="11" t="s">
        <v>67</v>
      </c>
      <c r="E146" s="11" t="s">
        <v>79</v>
      </c>
      <c r="F146" s="12" t="n">
        <v>3577480</v>
      </c>
      <c r="G146" s="12" t="n">
        <v>3100000</v>
      </c>
      <c r="H146" s="11" t="n">
        <v>29</v>
      </c>
      <c r="I146" s="11" t="s">
        <v>69</v>
      </c>
      <c r="J146" s="11" t="s">
        <v>80</v>
      </c>
      <c r="K146" s="11" t="s">
        <v>81</v>
      </c>
      <c r="L146" s="11" t="s">
        <v>82</v>
      </c>
      <c r="M146" s="11" t="s">
        <v>73</v>
      </c>
      <c r="N146" s="11" t="s">
        <v>74</v>
      </c>
      <c r="O146" s="11" t="s">
        <v>75</v>
      </c>
      <c r="P146" s="11" t="s">
        <v>76</v>
      </c>
      <c r="Q146" s="13" t="n">
        <f aca="false">F146*H146</f>
        <v>103746920</v>
      </c>
      <c r="R146" s="13" t="n">
        <f aca="false">G146*H146</f>
        <v>89900000</v>
      </c>
      <c r="S146" s="13" t="n">
        <f aca="false">Q146-R146</f>
        <v>13846920</v>
      </c>
      <c r="T146" s="14" t="n">
        <f aca="false">IFERROR(S146/Q146,0)</f>
        <v>0.133468251394837</v>
      </c>
      <c r="U146" s="15" t="str">
        <f aca="false">TEXT(A146,"yyyy-mm")</f>
        <v>2022-02</v>
      </c>
    </row>
    <row r="147" customFormat="false" ht="15" hidden="false" customHeight="false" outlineLevel="0" collapsed="false">
      <c r="A147" s="10" t="n">
        <v>44613</v>
      </c>
      <c r="B147" s="11" t="s">
        <v>279</v>
      </c>
      <c r="C147" s="11" t="s">
        <v>97</v>
      </c>
      <c r="D147" s="11" t="s">
        <v>67</v>
      </c>
      <c r="E147" s="11" t="s">
        <v>98</v>
      </c>
      <c r="F147" s="12" t="n">
        <v>4969724</v>
      </c>
      <c r="G147" s="12" t="n">
        <v>4121560</v>
      </c>
      <c r="H147" s="11" t="n">
        <v>5</v>
      </c>
      <c r="I147" s="11" t="s">
        <v>86</v>
      </c>
      <c r="J147" s="11" t="s">
        <v>87</v>
      </c>
      <c r="K147" s="11" t="s">
        <v>88</v>
      </c>
      <c r="L147" s="11" t="s">
        <v>89</v>
      </c>
      <c r="M147" s="11" t="s">
        <v>90</v>
      </c>
      <c r="N147" s="11" t="s">
        <v>133</v>
      </c>
      <c r="O147" s="11" t="s">
        <v>60</v>
      </c>
      <c r="P147" s="11" t="s">
        <v>76</v>
      </c>
      <c r="Q147" s="13" t="n">
        <f aca="false">F147*H147</f>
        <v>24848620</v>
      </c>
      <c r="R147" s="13" t="n">
        <f aca="false">G147*H147</f>
        <v>20607800</v>
      </c>
      <c r="S147" s="13" t="n">
        <f aca="false">Q147-R147</f>
        <v>4240820</v>
      </c>
      <c r="T147" s="14" t="n">
        <f aca="false">IFERROR(S147/Q147,0)</f>
        <v>0.170666218083741</v>
      </c>
      <c r="U147" s="15" t="str">
        <f aca="false">TEXT(A147,"yyyy-mm")</f>
        <v>2022-02</v>
      </c>
    </row>
    <row r="148" customFormat="false" ht="15" hidden="false" customHeight="false" outlineLevel="0" collapsed="false">
      <c r="A148" s="10" t="n">
        <v>44614</v>
      </c>
      <c r="B148" s="11" t="s">
        <v>280</v>
      </c>
      <c r="C148" s="11" t="s">
        <v>103</v>
      </c>
      <c r="D148" s="11" t="s">
        <v>67</v>
      </c>
      <c r="E148" s="11" t="s">
        <v>68</v>
      </c>
      <c r="F148" s="12" t="n">
        <v>3319925</v>
      </c>
      <c r="G148" s="12" t="n">
        <v>2800000</v>
      </c>
      <c r="H148" s="11" t="n">
        <v>10</v>
      </c>
      <c r="I148" s="11" t="s">
        <v>86</v>
      </c>
      <c r="J148" s="11" t="s">
        <v>87</v>
      </c>
      <c r="K148" s="11" t="s">
        <v>88</v>
      </c>
      <c r="L148" s="11" t="s">
        <v>89</v>
      </c>
      <c r="M148" s="11" t="s">
        <v>90</v>
      </c>
      <c r="N148" s="11" t="s">
        <v>93</v>
      </c>
      <c r="O148" s="11" t="s">
        <v>94</v>
      </c>
      <c r="P148" s="11" t="s">
        <v>95</v>
      </c>
      <c r="Q148" s="13" t="n">
        <f aca="false">F148*H148</f>
        <v>33199250</v>
      </c>
      <c r="R148" s="13" t="n">
        <f aca="false">G148*H148</f>
        <v>28000000</v>
      </c>
      <c r="S148" s="13" t="n">
        <f aca="false">Q148-R148</f>
        <v>5199250</v>
      </c>
      <c r="T148" s="14" t="n">
        <f aca="false">IFERROR(S148/Q148,0)</f>
        <v>0.15660745348163</v>
      </c>
      <c r="U148" s="15" t="str">
        <f aca="false">TEXT(A148,"yyyy-mm")</f>
        <v>2022-02</v>
      </c>
    </row>
    <row r="149" customFormat="false" ht="15" hidden="false" customHeight="false" outlineLevel="0" collapsed="false">
      <c r="A149" s="10" t="n">
        <v>44614</v>
      </c>
      <c r="B149" s="11" t="s">
        <v>281</v>
      </c>
      <c r="C149" s="11" t="s">
        <v>108</v>
      </c>
      <c r="D149" s="11" t="s">
        <v>67</v>
      </c>
      <c r="E149" s="11" t="s">
        <v>68</v>
      </c>
      <c r="F149" s="12" t="n">
        <v>4757880</v>
      </c>
      <c r="G149" s="12" t="n">
        <v>3450000</v>
      </c>
      <c r="H149" s="11" t="n">
        <v>3</v>
      </c>
      <c r="I149" s="11" t="s">
        <v>69</v>
      </c>
      <c r="J149" s="11" t="s">
        <v>70</v>
      </c>
      <c r="K149" s="11" t="s">
        <v>71</v>
      </c>
      <c r="L149" s="11" t="s">
        <v>72</v>
      </c>
      <c r="M149" s="11" t="s">
        <v>73</v>
      </c>
      <c r="N149" s="11" t="s">
        <v>99</v>
      </c>
      <c r="O149" s="11" t="s">
        <v>100</v>
      </c>
      <c r="P149" s="11" t="s">
        <v>101</v>
      </c>
      <c r="Q149" s="13" t="n">
        <f aca="false">F149*H149</f>
        <v>14273640</v>
      </c>
      <c r="R149" s="13" t="n">
        <f aca="false">G149*H149</f>
        <v>10350000</v>
      </c>
      <c r="S149" s="13" t="n">
        <f aca="false">Q149-R149</f>
        <v>3923640</v>
      </c>
      <c r="T149" s="14" t="n">
        <f aca="false">IFERROR(S149/Q149,0)</f>
        <v>0.274887134606169</v>
      </c>
      <c r="U149" s="15" t="str">
        <f aca="false">TEXT(A149,"yyyy-mm")</f>
        <v>2022-02</v>
      </c>
    </row>
    <row r="150" customFormat="false" ht="15" hidden="false" customHeight="false" outlineLevel="0" collapsed="false">
      <c r="A150" s="10" t="n">
        <v>44614</v>
      </c>
      <c r="B150" s="11" t="s">
        <v>282</v>
      </c>
      <c r="C150" s="11" t="s">
        <v>111</v>
      </c>
      <c r="D150" s="11" t="s">
        <v>67</v>
      </c>
      <c r="E150" s="11" t="s">
        <v>79</v>
      </c>
      <c r="F150" s="12" t="n">
        <v>3545808</v>
      </c>
      <c r="G150" s="12" t="n">
        <v>3350000</v>
      </c>
      <c r="H150" s="11" t="n">
        <v>13</v>
      </c>
      <c r="I150" s="11" t="s">
        <v>69</v>
      </c>
      <c r="J150" s="11" t="s">
        <v>112</v>
      </c>
      <c r="K150" s="11" t="s">
        <v>113</v>
      </c>
      <c r="L150" s="11" t="s">
        <v>82</v>
      </c>
      <c r="M150" s="11" t="s">
        <v>157</v>
      </c>
      <c r="N150" s="11" t="s">
        <v>149</v>
      </c>
      <c r="O150" s="11" t="s">
        <v>150</v>
      </c>
      <c r="P150" s="11" t="s">
        <v>151</v>
      </c>
      <c r="Q150" s="13" t="n">
        <f aca="false">F150*H150</f>
        <v>46095504</v>
      </c>
      <c r="R150" s="13" t="n">
        <f aca="false">G150*H150</f>
        <v>43550000</v>
      </c>
      <c r="S150" s="13" t="n">
        <f aca="false">Q150-R150</f>
        <v>2545504</v>
      </c>
      <c r="T150" s="14" t="n">
        <f aca="false">IFERROR(S150/Q150,0)</f>
        <v>0.0552223921881839</v>
      </c>
      <c r="U150" s="15" t="str">
        <f aca="false">TEXT(A150,"yyyy-mm")</f>
        <v>2022-02</v>
      </c>
    </row>
    <row r="151" customFormat="false" ht="15" hidden="false" customHeight="false" outlineLevel="0" collapsed="false">
      <c r="A151" s="10" t="n">
        <v>44614</v>
      </c>
      <c r="B151" s="11" t="s">
        <v>283</v>
      </c>
      <c r="C151" s="11" t="s">
        <v>115</v>
      </c>
      <c r="D151" s="11" t="s">
        <v>67</v>
      </c>
      <c r="E151" s="11" t="s">
        <v>98</v>
      </c>
      <c r="F151" s="12" t="n">
        <v>4200743</v>
      </c>
      <c r="G151" s="12" t="n">
        <v>4101000</v>
      </c>
      <c r="H151" s="11" t="n">
        <v>9</v>
      </c>
      <c r="I151" s="11" t="s">
        <v>69</v>
      </c>
      <c r="J151" s="11" t="s">
        <v>112</v>
      </c>
      <c r="K151" s="11" t="s">
        <v>113</v>
      </c>
      <c r="L151" s="11" t="s">
        <v>82</v>
      </c>
      <c r="M151" s="11" t="s">
        <v>157</v>
      </c>
      <c r="N151" s="11" t="s">
        <v>104</v>
      </c>
      <c r="O151" s="11" t="s">
        <v>105</v>
      </c>
      <c r="P151" s="11" t="s">
        <v>106</v>
      </c>
      <c r="Q151" s="13" t="n">
        <f aca="false">F151*H151</f>
        <v>37806687</v>
      </c>
      <c r="R151" s="13" t="n">
        <f aca="false">G151*H151</f>
        <v>36909000</v>
      </c>
      <c r="S151" s="13" t="n">
        <f aca="false">Q151-R151</f>
        <v>897687</v>
      </c>
      <c r="T151" s="14" t="n">
        <f aca="false">IFERROR(S151/Q151,0)</f>
        <v>0.023744132883159</v>
      </c>
      <c r="U151" s="15" t="str">
        <f aca="false">TEXT(A151,"yyyy-mm")</f>
        <v>2022-02</v>
      </c>
    </row>
    <row r="152" customFormat="false" ht="15" hidden="false" customHeight="false" outlineLevel="0" collapsed="false">
      <c r="A152" s="10" t="n">
        <v>44614</v>
      </c>
      <c r="B152" s="11" t="s">
        <v>284</v>
      </c>
      <c r="C152" s="11" t="s">
        <v>117</v>
      </c>
      <c r="D152" s="11" t="s">
        <v>118</v>
      </c>
      <c r="E152" s="11" t="s">
        <v>119</v>
      </c>
      <c r="F152" s="12" t="n">
        <v>8220549</v>
      </c>
      <c r="G152" s="12" t="n">
        <v>6500000</v>
      </c>
      <c r="H152" s="11" t="n">
        <v>13</v>
      </c>
      <c r="I152" s="11" t="s">
        <v>69</v>
      </c>
      <c r="J152" s="11" t="s">
        <v>80</v>
      </c>
      <c r="K152" s="11" t="s">
        <v>81</v>
      </c>
      <c r="L152" s="11" t="s">
        <v>82</v>
      </c>
      <c r="M152" s="11" t="s">
        <v>73</v>
      </c>
      <c r="N152" s="11" t="s">
        <v>123</v>
      </c>
      <c r="O152" s="11" t="s">
        <v>60</v>
      </c>
      <c r="P152" s="11" t="s">
        <v>106</v>
      </c>
      <c r="Q152" s="13" t="n">
        <f aca="false">F152*H152</f>
        <v>106867137</v>
      </c>
      <c r="R152" s="13" t="n">
        <f aca="false">G152*H152</f>
        <v>84500000</v>
      </c>
      <c r="S152" s="13" t="n">
        <f aca="false">Q152-R152</f>
        <v>22367137</v>
      </c>
      <c r="T152" s="14" t="n">
        <f aca="false">IFERROR(S152/Q152,0)</f>
        <v>0.209298551714733</v>
      </c>
      <c r="U152" s="15" t="str">
        <f aca="false">TEXT(A152,"yyyy-mm")</f>
        <v>2022-02</v>
      </c>
    </row>
    <row r="153" customFormat="false" ht="15" hidden="false" customHeight="false" outlineLevel="0" collapsed="false">
      <c r="A153" s="10" t="n">
        <v>44614</v>
      </c>
      <c r="B153" s="11" t="s">
        <v>285</v>
      </c>
      <c r="C153" s="11" t="s">
        <v>121</v>
      </c>
      <c r="D153" s="11" t="s">
        <v>118</v>
      </c>
      <c r="E153" s="11" t="s">
        <v>122</v>
      </c>
      <c r="F153" s="12" t="n">
        <v>7687274</v>
      </c>
      <c r="G153" s="12" t="n">
        <v>6500000</v>
      </c>
      <c r="H153" s="11" t="n">
        <v>9</v>
      </c>
      <c r="I153" s="11" t="s">
        <v>69</v>
      </c>
      <c r="J153" s="11" t="s">
        <v>112</v>
      </c>
      <c r="K153" s="11" t="s">
        <v>113</v>
      </c>
      <c r="L153" s="11" t="s">
        <v>82</v>
      </c>
      <c r="M153" s="11" t="s">
        <v>157</v>
      </c>
      <c r="N153" s="11" t="s">
        <v>93</v>
      </c>
      <c r="O153" s="11" t="s">
        <v>94</v>
      </c>
      <c r="P153" s="11" t="s">
        <v>95</v>
      </c>
      <c r="Q153" s="13" t="n">
        <f aca="false">F153*H153</f>
        <v>69185466</v>
      </c>
      <c r="R153" s="13" t="n">
        <f aca="false">G153*H153</f>
        <v>58500000</v>
      </c>
      <c r="S153" s="13" t="n">
        <f aca="false">Q153-R153</f>
        <v>10685466</v>
      </c>
      <c r="T153" s="14" t="n">
        <f aca="false">IFERROR(S153/Q153,0)</f>
        <v>0.154446686822923</v>
      </c>
      <c r="U153" s="15" t="str">
        <f aca="false">TEXT(A153,"yyyy-mm")</f>
        <v>2022-02</v>
      </c>
    </row>
    <row r="154" customFormat="false" ht="15" hidden="false" customHeight="false" outlineLevel="0" collapsed="false">
      <c r="A154" s="10" t="n">
        <v>44615</v>
      </c>
      <c r="B154" s="11" t="s">
        <v>286</v>
      </c>
      <c r="C154" s="11" t="s">
        <v>125</v>
      </c>
      <c r="D154" s="11" t="s">
        <v>118</v>
      </c>
      <c r="E154" s="11" t="s">
        <v>126</v>
      </c>
      <c r="F154" s="12" t="n">
        <v>5684211</v>
      </c>
      <c r="G154" s="12" t="n">
        <v>4300000</v>
      </c>
      <c r="H154" s="11" t="n">
        <v>4</v>
      </c>
      <c r="I154" s="11" t="s">
        <v>69</v>
      </c>
      <c r="J154" s="11" t="s">
        <v>70</v>
      </c>
      <c r="K154" s="11" t="s">
        <v>71</v>
      </c>
      <c r="L154" s="11" t="s">
        <v>72</v>
      </c>
      <c r="M154" s="11" t="s">
        <v>73</v>
      </c>
      <c r="N154" s="11" t="s">
        <v>123</v>
      </c>
      <c r="O154" s="11" t="s">
        <v>60</v>
      </c>
      <c r="P154" s="11" t="s">
        <v>106</v>
      </c>
      <c r="Q154" s="13" t="n">
        <f aca="false">F154*H154</f>
        <v>22736844</v>
      </c>
      <c r="R154" s="13" t="n">
        <f aca="false">G154*H154</f>
        <v>17200000</v>
      </c>
      <c r="S154" s="13" t="n">
        <f aca="false">Q154-R154</f>
        <v>5536844</v>
      </c>
      <c r="T154" s="14" t="n">
        <f aca="false">IFERROR(S154/Q154,0)</f>
        <v>0.243518581558637</v>
      </c>
      <c r="U154" s="15" t="str">
        <f aca="false">TEXT(A154,"yyyy-mm")</f>
        <v>2022-02</v>
      </c>
    </row>
    <row r="155" customFormat="false" ht="15" hidden="false" customHeight="false" outlineLevel="0" collapsed="false">
      <c r="A155" s="10" t="n">
        <v>44616</v>
      </c>
      <c r="B155" s="11" t="s">
        <v>287</v>
      </c>
      <c r="C155" s="11" t="s">
        <v>128</v>
      </c>
      <c r="D155" s="11" t="s">
        <v>118</v>
      </c>
      <c r="E155" s="11" t="s">
        <v>119</v>
      </c>
      <c r="F155" s="12" t="n">
        <v>3370302</v>
      </c>
      <c r="G155" s="12" t="n">
        <v>2100000</v>
      </c>
      <c r="H155" s="11" t="n">
        <v>7</v>
      </c>
      <c r="I155" s="11" t="s">
        <v>69</v>
      </c>
      <c r="J155" s="11" t="s">
        <v>80</v>
      </c>
      <c r="K155" s="11" t="s">
        <v>81</v>
      </c>
      <c r="L155" s="11" t="s">
        <v>82</v>
      </c>
      <c r="M155" s="11" t="s">
        <v>73</v>
      </c>
      <c r="N155" s="11" t="s">
        <v>149</v>
      </c>
      <c r="O155" s="11" t="s">
        <v>150</v>
      </c>
      <c r="P155" s="11" t="s">
        <v>151</v>
      </c>
      <c r="Q155" s="13" t="n">
        <f aca="false">F155*H155</f>
        <v>23592114</v>
      </c>
      <c r="R155" s="13" t="n">
        <f aca="false">G155*H155</f>
        <v>14700000</v>
      </c>
      <c r="S155" s="13" t="n">
        <f aca="false">Q155-R155</f>
        <v>8892114</v>
      </c>
      <c r="T155" s="14" t="n">
        <f aca="false">IFERROR(S155/Q155,0)</f>
        <v>0.37691043710623</v>
      </c>
      <c r="U155" s="15" t="str">
        <f aca="false">TEXT(A155,"yyyy-mm")</f>
        <v>2022-02</v>
      </c>
    </row>
    <row r="156" customFormat="false" ht="15" hidden="false" customHeight="false" outlineLevel="0" collapsed="false">
      <c r="A156" s="10" t="n">
        <v>44616</v>
      </c>
      <c r="B156" s="11" t="s">
        <v>288</v>
      </c>
      <c r="C156" s="11" t="s">
        <v>130</v>
      </c>
      <c r="D156" s="11" t="s">
        <v>118</v>
      </c>
      <c r="E156" s="11" t="s">
        <v>68</v>
      </c>
      <c r="F156" s="12" t="n">
        <v>2852897</v>
      </c>
      <c r="G156" s="12" t="n">
        <v>2450000</v>
      </c>
      <c r="H156" s="11" t="n">
        <v>15</v>
      </c>
      <c r="I156" s="11" t="s">
        <v>69</v>
      </c>
      <c r="J156" s="11" t="s">
        <v>80</v>
      </c>
      <c r="K156" s="11" t="s">
        <v>81</v>
      </c>
      <c r="L156" s="11" t="s">
        <v>82</v>
      </c>
      <c r="M156" s="11" t="s">
        <v>73</v>
      </c>
      <c r="N156" s="11" t="s">
        <v>143</v>
      </c>
      <c r="O156" s="11" t="s">
        <v>144</v>
      </c>
      <c r="P156" s="11" t="s">
        <v>101</v>
      </c>
      <c r="Q156" s="13" t="n">
        <f aca="false">F156*H156</f>
        <v>42793455</v>
      </c>
      <c r="R156" s="13" t="n">
        <f aca="false">G156*H156</f>
        <v>36750000</v>
      </c>
      <c r="S156" s="13" t="n">
        <f aca="false">Q156-R156</f>
        <v>6043455</v>
      </c>
      <c r="T156" s="14" t="n">
        <f aca="false">IFERROR(S156/Q156,0)</f>
        <v>0.141223815651249</v>
      </c>
      <c r="U156" s="15" t="str">
        <f aca="false">TEXT(A156,"yyyy-mm")</f>
        <v>2022-02</v>
      </c>
    </row>
    <row r="157" customFormat="false" ht="15" hidden="false" customHeight="false" outlineLevel="0" collapsed="false">
      <c r="A157" s="10" t="n">
        <v>44617</v>
      </c>
      <c r="B157" s="11" t="s">
        <v>289</v>
      </c>
      <c r="C157" s="11" t="s">
        <v>132</v>
      </c>
      <c r="D157" s="11" t="s">
        <v>118</v>
      </c>
      <c r="E157" s="11" t="s">
        <v>68</v>
      </c>
      <c r="F157" s="12" t="n">
        <v>4803603</v>
      </c>
      <c r="G157" s="12" t="n">
        <v>4121000</v>
      </c>
      <c r="H157" s="11" t="n">
        <v>24</v>
      </c>
      <c r="I157" s="11" t="s">
        <v>69</v>
      </c>
      <c r="J157" s="11" t="s">
        <v>112</v>
      </c>
      <c r="K157" s="11" t="s">
        <v>113</v>
      </c>
      <c r="L157" s="11" t="s">
        <v>82</v>
      </c>
      <c r="M157" s="11" t="s">
        <v>157</v>
      </c>
      <c r="N157" s="11" t="s">
        <v>74</v>
      </c>
      <c r="O157" s="11" t="s">
        <v>75</v>
      </c>
      <c r="P157" s="11" t="s">
        <v>76</v>
      </c>
      <c r="Q157" s="13" t="n">
        <f aca="false">F157*H157</f>
        <v>115286472</v>
      </c>
      <c r="R157" s="13" t="n">
        <f aca="false">G157*H157</f>
        <v>98904000</v>
      </c>
      <c r="S157" s="13" t="n">
        <f aca="false">Q157-R157</f>
        <v>16382472</v>
      </c>
      <c r="T157" s="14" t="n">
        <f aca="false">IFERROR(S157/Q157,0)</f>
        <v>0.142102292799801</v>
      </c>
      <c r="U157" s="15" t="str">
        <f aca="false">TEXT(A157,"yyyy-mm")</f>
        <v>2022-02</v>
      </c>
    </row>
    <row r="158" customFormat="false" ht="15" hidden="false" customHeight="false" outlineLevel="0" collapsed="false">
      <c r="A158" s="10" t="n">
        <v>44617</v>
      </c>
      <c r="B158" s="11" t="s">
        <v>290</v>
      </c>
      <c r="C158" s="11" t="s">
        <v>135</v>
      </c>
      <c r="D158" s="11" t="s">
        <v>118</v>
      </c>
      <c r="E158" s="11" t="s">
        <v>68</v>
      </c>
      <c r="F158" s="12" t="n">
        <v>5689947</v>
      </c>
      <c r="G158" s="12" t="n">
        <v>5235000</v>
      </c>
      <c r="H158" s="11" t="n">
        <v>13</v>
      </c>
      <c r="I158" s="11" t="s">
        <v>86</v>
      </c>
      <c r="J158" s="11" t="s">
        <v>87</v>
      </c>
      <c r="K158" s="11" t="s">
        <v>88</v>
      </c>
      <c r="L158" s="11" t="s">
        <v>89</v>
      </c>
      <c r="M158" s="11" t="s">
        <v>90</v>
      </c>
      <c r="N158" s="11" t="s">
        <v>74</v>
      </c>
      <c r="O158" s="11" t="s">
        <v>75</v>
      </c>
      <c r="P158" s="11" t="s">
        <v>76</v>
      </c>
      <c r="Q158" s="13" t="n">
        <f aca="false">F158*H158</f>
        <v>73969311</v>
      </c>
      <c r="R158" s="13" t="n">
        <f aca="false">G158*H158</f>
        <v>68055000</v>
      </c>
      <c r="S158" s="13" t="n">
        <f aca="false">Q158-R158</f>
        <v>5914311</v>
      </c>
      <c r="T158" s="14" t="n">
        <f aca="false">IFERROR(S158/Q158,0)</f>
        <v>0.0799562807878527</v>
      </c>
      <c r="U158" s="15" t="str">
        <f aca="false">TEXT(A158,"yyyy-mm")</f>
        <v>2022-02</v>
      </c>
    </row>
    <row r="159" customFormat="false" ht="15" hidden="false" customHeight="false" outlineLevel="0" collapsed="false">
      <c r="A159" s="10" t="n">
        <v>44617</v>
      </c>
      <c r="B159" s="11" t="s">
        <v>291</v>
      </c>
      <c r="C159" s="11" t="s">
        <v>137</v>
      </c>
      <c r="D159" s="11" t="s">
        <v>138</v>
      </c>
      <c r="E159" s="11" t="s">
        <v>139</v>
      </c>
      <c r="F159" s="12" t="n">
        <v>5171827</v>
      </c>
      <c r="G159" s="12" t="n">
        <v>4890000</v>
      </c>
      <c r="H159" s="11" t="n">
        <v>8</v>
      </c>
      <c r="I159" s="11" t="s">
        <v>69</v>
      </c>
      <c r="J159" s="11" t="s">
        <v>80</v>
      </c>
      <c r="K159" s="11" t="s">
        <v>81</v>
      </c>
      <c r="L159" s="11" t="s">
        <v>82</v>
      </c>
      <c r="M159" s="11" t="s">
        <v>73</v>
      </c>
      <c r="N159" s="11" t="s">
        <v>109</v>
      </c>
      <c r="O159" s="11" t="s">
        <v>75</v>
      </c>
      <c r="P159" s="11" t="s">
        <v>95</v>
      </c>
      <c r="Q159" s="13" t="n">
        <f aca="false">F159*H159</f>
        <v>41374616</v>
      </c>
      <c r="R159" s="13" t="n">
        <f aca="false">G159*H159</f>
        <v>39120000</v>
      </c>
      <c r="S159" s="13" t="n">
        <f aca="false">Q159-R159</f>
        <v>2254616</v>
      </c>
      <c r="T159" s="14" t="n">
        <f aca="false">IFERROR(S159/Q159,0)</f>
        <v>0.0544927353525166</v>
      </c>
      <c r="U159" s="15" t="str">
        <f aca="false">TEXT(A159,"yyyy-mm")</f>
        <v>2022-02</v>
      </c>
    </row>
    <row r="160" customFormat="false" ht="15" hidden="false" customHeight="false" outlineLevel="0" collapsed="false">
      <c r="A160" s="10" t="n">
        <v>44619</v>
      </c>
      <c r="B160" s="11" t="s">
        <v>292</v>
      </c>
      <c r="C160" s="11" t="s">
        <v>141</v>
      </c>
      <c r="D160" s="11" t="s">
        <v>138</v>
      </c>
      <c r="E160" s="11" t="s">
        <v>142</v>
      </c>
      <c r="F160" s="12" t="n">
        <v>2805124</v>
      </c>
      <c r="G160" s="12" t="n">
        <v>2178000</v>
      </c>
      <c r="H160" s="11" t="n">
        <v>22</v>
      </c>
      <c r="I160" s="11" t="s">
        <v>69</v>
      </c>
      <c r="J160" s="11" t="s">
        <v>70</v>
      </c>
      <c r="K160" s="11" t="s">
        <v>71</v>
      </c>
      <c r="L160" s="11" t="s">
        <v>72</v>
      </c>
      <c r="M160" s="11" t="s">
        <v>73</v>
      </c>
      <c r="N160" s="11" t="s">
        <v>99</v>
      </c>
      <c r="O160" s="11" t="s">
        <v>100</v>
      </c>
      <c r="P160" s="11" t="s">
        <v>101</v>
      </c>
      <c r="Q160" s="13" t="n">
        <f aca="false">F160*H160</f>
        <v>61712728</v>
      </c>
      <c r="R160" s="13" t="n">
        <f aca="false">G160*H160</f>
        <v>47916000</v>
      </c>
      <c r="S160" s="13" t="n">
        <f aca="false">Q160-R160</f>
        <v>13796728</v>
      </c>
      <c r="T160" s="14" t="n">
        <f aca="false">IFERROR(S160/Q160,0)</f>
        <v>0.22356373550688</v>
      </c>
      <c r="U160" s="15" t="str">
        <f aca="false">TEXT(A160,"yyyy-mm")</f>
        <v>2022-02</v>
      </c>
    </row>
    <row r="161" customFormat="false" ht="15" hidden="false" customHeight="false" outlineLevel="0" collapsed="false">
      <c r="A161" s="10" t="n">
        <v>44619</v>
      </c>
      <c r="B161" s="11" t="s">
        <v>293</v>
      </c>
      <c r="C161" s="11" t="s">
        <v>146</v>
      </c>
      <c r="D161" s="11" t="s">
        <v>138</v>
      </c>
      <c r="E161" s="11" t="s">
        <v>139</v>
      </c>
      <c r="F161" s="12" t="n">
        <v>2728100</v>
      </c>
      <c r="G161" s="12" t="n">
        <v>2321000</v>
      </c>
      <c r="H161" s="11" t="n">
        <v>20</v>
      </c>
      <c r="I161" s="11" t="s">
        <v>69</v>
      </c>
      <c r="J161" s="11" t="s">
        <v>80</v>
      </c>
      <c r="K161" s="11" t="s">
        <v>81</v>
      </c>
      <c r="L161" s="11" t="s">
        <v>82</v>
      </c>
      <c r="M161" s="11" t="s">
        <v>73</v>
      </c>
      <c r="N161" s="11" t="s">
        <v>104</v>
      </c>
      <c r="O161" s="11" t="s">
        <v>105</v>
      </c>
      <c r="P161" s="11" t="s">
        <v>106</v>
      </c>
      <c r="Q161" s="13" t="n">
        <f aca="false">F161*H161</f>
        <v>54562000</v>
      </c>
      <c r="R161" s="13" t="n">
        <f aca="false">G161*H161</f>
        <v>46420000</v>
      </c>
      <c r="S161" s="13" t="n">
        <f aca="false">Q161-R161</f>
        <v>8142000</v>
      </c>
      <c r="T161" s="14" t="n">
        <f aca="false">IFERROR(S161/Q161,0)</f>
        <v>0.149224735163667</v>
      </c>
      <c r="U161" s="15" t="str">
        <f aca="false">TEXT(A161,"yyyy-mm")</f>
        <v>2022-02</v>
      </c>
    </row>
    <row r="162" customFormat="false" ht="15" hidden="false" customHeight="false" outlineLevel="0" collapsed="false">
      <c r="A162" s="10" t="n">
        <v>44619</v>
      </c>
      <c r="B162" s="11" t="s">
        <v>294</v>
      </c>
      <c r="C162" s="11" t="s">
        <v>148</v>
      </c>
      <c r="D162" s="11" t="s">
        <v>138</v>
      </c>
      <c r="E162" s="11" t="s">
        <v>122</v>
      </c>
      <c r="F162" s="12" t="n">
        <v>4941716</v>
      </c>
      <c r="G162" s="12" t="n">
        <v>4456000</v>
      </c>
      <c r="H162" s="11" t="n">
        <v>15</v>
      </c>
      <c r="I162" s="11" t="s">
        <v>86</v>
      </c>
      <c r="J162" s="11" t="s">
        <v>87</v>
      </c>
      <c r="K162" s="11" t="s">
        <v>88</v>
      </c>
      <c r="L162" s="11" t="s">
        <v>89</v>
      </c>
      <c r="M162" s="11" t="s">
        <v>90</v>
      </c>
      <c r="N162" s="11" t="s">
        <v>173</v>
      </c>
      <c r="O162" s="11" t="s">
        <v>174</v>
      </c>
      <c r="P162" s="11" t="s">
        <v>95</v>
      </c>
      <c r="Q162" s="13" t="n">
        <f aca="false">F162*H162</f>
        <v>74125740</v>
      </c>
      <c r="R162" s="13" t="n">
        <f aca="false">G162*H162</f>
        <v>66840000</v>
      </c>
      <c r="S162" s="13" t="n">
        <f aca="false">Q162-R162</f>
        <v>7285740</v>
      </c>
      <c r="T162" s="14" t="n">
        <f aca="false">IFERROR(S162/Q162,0)</f>
        <v>0.0982889344511097</v>
      </c>
      <c r="U162" s="15" t="str">
        <f aca="false">TEXT(A162,"yyyy-mm")</f>
        <v>2022-02</v>
      </c>
    </row>
    <row r="163" customFormat="false" ht="15" hidden="false" customHeight="false" outlineLevel="0" collapsed="false">
      <c r="A163" s="10" t="n">
        <v>44619</v>
      </c>
      <c r="B163" s="11" t="s">
        <v>295</v>
      </c>
      <c r="C163" s="11" t="s">
        <v>66</v>
      </c>
      <c r="D163" s="11" t="s">
        <v>67</v>
      </c>
      <c r="E163" s="11" t="s">
        <v>68</v>
      </c>
      <c r="F163" s="12" t="n">
        <v>3048952</v>
      </c>
      <c r="G163" s="12" t="n">
        <v>2560000</v>
      </c>
      <c r="H163" s="11" t="n">
        <v>13</v>
      </c>
      <c r="I163" s="11" t="s">
        <v>69</v>
      </c>
      <c r="J163" s="11" t="s">
        <v>80</v>
      </c>
      <c r="K163" s="11" t="s">
        <v>81</v>
      </c>
      <c r="L163" s="11" t="s">
        <v>82</v>
      </c>
      <c r="M163" s="11" t="s">
        <v>73</v>
      </c>
      <c r="N163" s="11" t="s">
        <v>93</v>
      </c>
      <c r="O163" s="11" t="s">
        <v>94</v>
      </c>
      <c r="P163" s="11" t="s">
        <v>95</v>
      </c>
      <c r="Q163" s="13" t="n">
        <f aca="false">F163*H163</f>
        <v>39636376</v>
      </c>
      <c r="R163" s="13" t="n">
        <f aca="false">G163*H163</f>
        <v>33280000</v>
      </c>
      <c r="S163" s="13" t="n">
        <f aca="false">Q163-R163</f>
        <v>6356376</v>
      </c>
      <c r="T163" s="14" t="n">
        <f aca="false">IFERROR(S163/Q163,0)</f>
        <v>0.160367234380863</v>
      </c>
      <c r="U163" s="15" t="str">
        <f aca="false">TEXT(A163,"yyyy-mm")</f>
        <v>2022-02</v>
      </c>
    </row>
    <row r="164" customFormat="false" ht="15" hidden="false" customHeight="false" outlineLevel="0" collapsed="false">
      <c r="A164" s="10" t="n">
        <v>44619</v>
      </c>
      <c r="B164" s="11" t="s">
        <v>296</v>
      </c>
      <c r="C164" s="11" t="s">
        <v>78</v>
      </c>
      <c r="D164" s="11" t="s">
        <v>67</v>
      </c>
      <c r="E164" s="11" t="s">
        <v>79</v>
      </c>
      <c r="F164" s="12" t="n">
        <v>1870000</v>
      </c>
      <c r="G164" s="12" t="n">
        <v>1650000</v>
      </c>
      <c r="H164" s="11" t="n">
        <v>13</v>
      </c>
      <c r="I164" s="11" t="s">
        <v>69</v>
      </c>
      <c r="J164" s="11" t="s">
        <v>112</v>
      </c>
      <c r="K164" s="11" t="s">
        <v>113</v>
      </c>
      <c r="L164" s="11" t="s">
        <v>82</v>
      </c>
      <c r="M164" s="11" t="s">
        <v>157</v>
      </c>
      <c r="N164" s="11" t="s">
        <v>104</v>
      </c>
      <c r="O164" s="11" t="s">
        <v>105</v>
      </c>
      <c r="P164" s="11" t="s">
        <v>106</v>
      </c>
      <c r="Q164" s="13" t="n">
        <f aca="false">F164*H164</f>
        <v>24310000</v>
      </c>
      <c r="R164" s="13" t="n">
        <f aca="false">G164*H164</f>
        <v>21450000</v>
      </c>
      <c r="S164" s="13" t="n">
        <f aca="false">Q164-R164</f>
        <v>2860000</v>
      </c>
      <c r="T164" s="14" t="n">
        <f aca="false">IFERROR(S164/Q164,0)</f>
        <v>0.117647058823529</v>
      </c>
      <c r="U164" s="15" t="str">
        <f aca="false">TEXT(A164,"yyyy-mm")</f>
        <v>2022-02</v>
      </c>
    </row>
    <row r="165" customFormat="false" ht="15" hidden="false" customHeight="false" outlineLevel="0" collapsed="false">
      <c r="A165" s="10" t="n">
        <v>44619</v>
      </c>
      <c r="B165" s="11" t="s">
        <v>297</v>
      </c>
      <c r="C165" s="11" t="s">
        <v>84</v>
      </c>
      <c r="D165" s="11" t="s">
        <v>67</v>
      </c>
      <c r="E165" s="11" t="s">
        <v>85</v>
      </c>
      <c r="F165" s="12" t="n">
        <v>2600000</v>
      </c>
      <c r="G165" s="12" t="n">
        <v>2300000</v>
      </c>
      <c r="H165" s="11" t="n">
        <v>11</v>
      </c>
      <c r="I165" s="11" t="s">
        <v>69</v>
      </c>
      <c r="J165" s="11" t="s">
        <v>70</v>
      </c>
      <c r="K165" s="11" t="s">
        <v>71</v>
      </c>
      <c r="L165" s="11" t="s">
        <v>72</v>
      </c>
      <c r="M165" s="11" t="s">
        <v>73</v>
      </c>
      <c r="N165" s="11" t="s">
        <v>123</v>
      </c>
      <c r="O165" s="11" t="s">
        <v>60</v>
      </c>
      <c r="P165" s="11" t="s">
        <v>106</v>
      </c>
      <c r="Q165" s="13" t="n">
        <f aca="false">F165*H165</f>
        <v>28600000</v>
      </c>
      <c r="R165" s="13" t="n">
        <f aca="false">G165*H165</f>
        <v>25300000</v>
      </c>
      <c r="S165" s="13" t="n">
        <f aca="false">Q165-R165</f>
        <v>3300000</v>
      </c>
      <c r="T165" s="14" t="n">
        <f aca="false">IFERROR(S165/Q165,0)</f>
        <v>0.115384615384615</v>
      </c>
      <c r="U165" s="15" t="str">
        <f aca="false">TEXT(A165,"yyyy-mm")</f>
        <v>2022-02</v>
      </c>
    </row>
    <row r="166" customFormat="false" ht="15" hidden="false" customHeight="false" outlineLevel="0" collapsed="false">
      <c r="A166" s="10" t="n">
        <v>44619</v>
      </c>
      <c r="B166" s="11" t="s">
        <v>298</v>
      </c>
      <c r="C166" s="11" t="s">
        <v>92</v>
      </c>
      <c r="D166" s="11" t="s">
        <v>67</v>
      </c>
      <c r="E166" s="11" t="s">
        <v>79</v>
      </c>
      <c r="F166" s="12" t="n">
        <v>3577480</v>
      </c>
      <c r="G166" s="12" t="n">
        <v>3100000</v>
      </c>
      <c r="H166" s="11" t="n">
        <v>14</v>
      </c>
      <c r="I166" s="11" t="s">
        <v>69</v>
      </c>
      <c r="J166" s="11" t="s">
        <v>80</v>
      </c>
      <c r="K166" s="11" t="s">
        <v>81</v>
      </c>
      <c r="L166" s="11" t="s">
        <v>82</v>
      </c>
      <c r="M166" s="11" t="s">
        <v>73</v>
      </c>
      <c r="N166" s="11" t="s">
        <v>133</v>
      </c>
      <c r="O166" s="11" t="s">
        <v>60</v>
      </c>
      <c r="P166" s="11" t="s">
        <v>76</v>
      </c>
      <c r="Q166" s="13" t="n">
        <f aca="false">F166*H166</f>
        <v>50084720</v>
      </c>
      <c r="R166" s="13" t="n">
        <f aca="false">G166*H166</f>
        <v>43400000</v>
      </c>
      <c r="S166" s="13" t="n">
        <f aca="false">Q166-R166</f>
        <v>6684720</v>
      </c>
      <c r="T166" s="14" t="n">
        <f aca="false">IFERROR(S166/Q166,0)</f>
        <v>0.133468251394837</v>
      </c>
      <c r="U166" s="15" t="str">
        <f aca="false">TEXT(A166,"yyyy-mm")</f>
        <v>2022-02</v>
      </c>
    </row>
    <row r="167" customFormat="false" ht="15" hidden="false" customHeight="false" outlineLevel="0" collapsed="false">
      <c r="A167" s="10" t="n">
        <v>44619</v>
      </c>
      <c r="B167" s="11" t="s">
        <v>299</v>
      </c>
      <c r="C167" s="11" t="s">
        <v>97</v>
      </c>
      <c r="D167" s="11" t="s">
        <v>67</v>
      </c>
      <c r="E167" s="11" t="s">
        <v>98</v>
      </c>
      <c r="F167" s="12" t="n">
        <v>4969724</v>
      </c>
      <c r="G167" s="12" t="n">
        <v>4121560</v>
      </c>
      <c r="H167" s="11" t="n">
        <v>16</v>
      </c>
      <c r="I167" s="11" t="s">
        <v>69</v>
      </c>
      <c r="J167" s="11" t="s">
        <v>112</v>
      </c>
      <c r="K167" s="11" t="s">
        <v>113</v>
      </c>
      <c r="L167" s="11" t="s">
        <v>82</v>
      </c>
      <c r="M167" s="11" t="s">
        <v>157</v>
      </c>
      <c r="N167" s="11" t="s">
        <v>109</v>
      </c>
      <c r="O167" s="11" t="s">
        <v>75</v>
      </c>
      <c r="P167" s="11" t="s">
        <v>95</v>
      </c>
      <c r="Q167" s="13" t="n">
        <f aca="false">F167*H167</f>
        <v>79515584</v>
      </c>
      <c r="R167" s="13" t="n">
        <f aca="false">G167*H167</f>
        <v>65944960</v>
      </c>
      <c r="S167" s="13" t="n">
        <f aca="false">Q167-R167</f>
        <v>13570624</v>
      </c>
      <c r="T167" s="14" t="n">
        <f aca="false">IFERROR(S167/Q167,0)</f>
        <v>0.170666218083741</v>
      </c>
      <c r="U167" s="15" t="str">
        <f aca="false">TEXT(A167,"yyyy-mm")</f>
        <v>2022-02</v>
      </c>
    </row>
    <row r="168" customFormat="false" ht="15" hidden="false" customHeight="false" outlineLevel="0" collapsed="false">
      <c r="A168" s="10" t="n">
        <v>44619</v>
      </c>
      <c r="B168" s="11" t="s">
        <v>300</v>
      </c>
      <c r="C168" s="11" t="s">
        <v>103</v>
      </c>
      <c r="D168" s="11" t="s">
        <v>67</v>
      </c>
      <c r="E168" s="11" t="s">
        <v>68</v>
      </c>
      <c r="F168" s="12" t="n">
        <v>3319925</v>
      </c>
      <c r="G168" s="12" t="n">
        <v>2800000</v>
      </c>
      <c r="H168" s="11" t="n">
        <v>7</v>
      </c>
      <c r="I168" s="11" t="s">
        <v>69</v>
      </c>
      <c r="J168" s="11" t="s">
        <v>80</v>
      </c>
      <c r="K168" s="11" t="s">
        <v>81</v>
      </c>
      <c r="L168" s="11" t="s">
        <v>82</v>
      </c>
      <c r="M168" s="11" t="s">
        <v>73</v>
      </c>
      <c r="N168" s="11" t="s">
        <v>74</v>
      </c>
      <c r="O168" s="11" t="s">
        <v>75</v>
      </c>
      <c r="P168" s="11" t="s">
        <v>76</v>
      </c>
      <c r="Q168" s="13" t="n">
        <f aca="false">F168*H168</f>
        <v>23239475</v>
      </c>
      <c r="R168" s="13" t="n">
        <f aca="false">G168*H168</f>
        <v>19600000</v>
      </c>
      <c r="S168" s="13" t="n">
        <f aca="false">Q168-R168</f>
        <v>3639475</v>
      </c>
      <c r="T168" s="14" t="n">
        <f aca="false">IFERROR(S168/Q168,0)</f>
        <v>0.15660745348163</v>
      </c>
      <c r="U168" s="15" t="str">
        <f aca="false">TEXT(A168,"yyyy-mm")</f>
        <v>2022-02</v>
      </c>
    </row>
    <row r="169" customFormat="false" ht="15" hidden="false" customHeight="false" outlineLevel="0" collapsed="false">
      <c r="A169" s="10" t="n">
        <v>44619</v>
      </c>
      <c r="B169" s="11" t="s">
        <v>301</v>
      </c>
      <c r="C169" s="11" t="s">
        <v>108</v>
      </c>
      <c r="D169" s="11" t="s">
        <v>67</v>
      </c>
      <c r="E169" s="11" t="s">
        <v>68</v>
      </c>
      <c r="F169" s="12" t="n">
        <v>4757880</v>
      </c>
      <c r="G169" s="12" t="n">
        <v>3450000</v>
      </c>
      <c r="H169" s="11" t="n">
        <v>2</v>
      </c>
      <c r="I169" s="11" t="s">
        <v>86</v>
      </c>
      <c r="J169" s="11" t="s">
        <v>87</v>
      </c>
      <c r="K169" s="11" t="s">
        <v>88</v>
      </c>
      <c r="L169" s="11" t="s">
        <v>89</v>
      </c>
      <c r="M169" s="11" t="s">
        <v>90</v>
      </c>
      <c r="N169" s="11" t="s">
        <v>74</v>
      </c>
      <c r="O169" s="11" t="s">
        <v>75</v>
      </c>
      <c r="P169" s="11" t="s">
        <v>76</v>
      </c>
      <c r="Q169" s="13" t="n">
        <f aca="false">F169*H169</f>
        <v>9515760</v>
      </c>
      <c r="R169" s="13" t="n">
        <f aca="false">G169*H169</f>
        <v>6900000</v>
      </c>
      <c r="S169" s="13" t="n">
        <f aca="false">Q169-R169</f>
        <v>2615760</v>
      </c>
      <c r="T169" s="14" t="n">
        <f aca="false">IFERROR(S169/Q169,0)</f>
        <v>0.274887134606169</v>
      </c>
      <c r="U169" s="15" t="str">
        <f aca="false">TEXT(A169,"yyyy-mm")</f>
        <v>2022-02</v>
      </c>
    </row>
    <row r="170" customFormat="false" ht="15" hidden="false" customHeight="false" outlineLevel="0" collapsed="false">
      <c r="A170" s="10" t="n">
        <v>44621</v>
      </c>
      <c r="B170" s="11" t="s">
        <v>302</v>
      </c>
      <c r="C170" s="11" t="s">
        <v>111</v>
      </c>
      <c r="D170" s="11" t="s">
        <v>67</v>
      </c>
      <c r="E170" s="11" t="s">
        <v>79</v>
      </c>
      <c r="F170" s="12" t="n">
        <v>3545808</v>
      </c>
      <c r="G170" s="12" t="n">
        <v>3350000</v>
      </c>
      <c r="H170" s="11" t="n">
        <v>20</v>
      </c>
      <c r="I170" s="11" t="s">
        <v>69</v>
      </c>
      <c r="J170" s="11" t="s">
        <v>70</v>
      </c>
      <c r="K170" s="11" t="s">
        <v>71</v>
      </c>
      <c r="L170" s="11" t="s">
        <v>72</v>
      </c>
      <c r="M170" s="11" t="s">
        <v>73</v>
      </c>
      <c r="N170" s="11" t="s">
        <v>149</v>
      </c>
      <c r="O170" s="11" t="s">
        <v>150</v>
      </c>
      <c r="P170" s="11" t="s">
        <v>151</v>
      </c>
      <c r="Q170" s="13" t="n">
        <f aca="false">F170*H170</f>
        <v>70916160</v>
      </c>
      <c r="R170" s="13" t="n">
        <f aca="false">G170*H170</f>
        <v>67000000</v>
      </c>
      <c r="S170" s="13" t="n">
        <f aca="false">Q170-R170</f>
        <v>3916160</v>
      </c>
      <c r="T170" s="14" t="n">
        <f aca="false">IFERROR(S170/Q170,0)</f>
        <v>0.0552223921881839</v>
      </c>
      <c r="U170" s="15" t="str">
        <f aca="false">TEXT(A170,"yyyy-mm")</f>
        <v>2022-03</v>
      </c>
    </row>
    <row r="171" customFormat="false" ht="15" hidden="false" customHeight="false" outlineLevel="0" collapsed="false">
      <c r="A171" s="10" t="n">
        <v>44621</v>
      </c>
      <c r="B171" s="11" t="s">
        <v>303</v>
      </c>
      <c r="C171" s="11" t="s">
        <v>115</v>
      </c>
      <c r="D171" s="11" t="s">
        <v>67</v>
      </c>
      <c r="E171" s="11" t="s">
        <v>98</v>
      </c>
      <c r="F171" s="12" t="n">
        <v>4200743</v>
      </c>
      <c r="G171" s="12" t="n">
        <v>4101000</v>
      </c>
      <c r="H171" s="11" t="n">
        <v>9</v>
      </c>
      <c r="I171" s="11" t="s">
        <v>69</v>
      </c>
      <c r="J171" s="11" t="s">
        <v>80</v>
      </c>
      <c r="K171" s="11" t="s">
        <v>81</v>
      </c>
      <c r="L171" s="11" t="s">
        <v>82</v>
      </c>
      <c r="M171" s="11" t="s">
        <v>73</v>
      </c>
      <c r="N171" s="11" t="s">
        <v>123</v>
      </c>
      <c r="O171" s="11" t="s">
        <v>60</v>
      </c>
      <c r="P171" s="11" t="s">
        <v>106</v>
      </c>
      <c r="Q171" s="13" t="n">
        <f aca="false">F171*H171</f>
        <v>37806687</v>
      </c>
      <c r="R171" s="13" t="n">
        <f aca="false">G171*H171</f>
        <v>36909000</v>
      </c>
      <c r="S171" s="13" t="n">
        <f aca="false">Q171-R171</f>
        <v>897687</v>
      </c>
      <c r="T171" s="14" t="n">
        <f aca="false">IFERROR(S171/Q171,0)</f>
        <v>0.023744132883159</v>
      </c>
      <c r="U171" s="15" t="str">
        <f aca="false">TEXT(A171,"yyyy-mm")</f>
        <v>2022-03</v>
      </c>
    </row>
    <row r="172" customFormat="false" ht="15" hidden="false" customHeight="false" outlineLevel="0" collapsed="false">
      <c r="A172" s="10" t="n">
        <v>44621</v>
      </c>
      <c r="B172" s="11" t="s">
        <v>304</v>
      </c>
      <c r="C172" s="11" t="s">
        <v>117</v>
      </c>
      <c r="D172" s="11" t="s">
        <v>118</v>
      </c>
      <c r="E172" s="11" t="s">
        <v>119</v>
      </c>
      <c r="F172" s="12" t="n">
        <v>8220549</v>
      </c>
      <c r="G172" s="12" t="n">
        <v>6500000</v>
      </c>
      <c r="H172" s="11" t="n">
        <v>23</v>
      </c>
      <c r="I172" s="11" t="s">
        <v>69</v>
      </c>
      <c r="J172" s="11" t="s">
        <v>80</v>
      </c>
      <c r="K172" s="11" t="s">
        <v>81</v>
      </c>
      <c r="L172" s="11" t="s">
        <v>82</v>
      </c>
      <c r="M172" s="11" t="s">
        <v>73</v>
      </c>
      <c r="N172" s="11" t="s">
        <v>149</v>
      </c>
      <c r="O172" s="11" t="s">
        <v>150</v>
      </c>
      <c r="P172" s="11" t="s">
        <v>151</v>
      </c>
      <c r="Q172" s="13" t="n">
        <f aca="false">F172*H172</f>
        <v>189072627</v>
      </c>
      <c r="R172" s="13" t="n">
        <f aca="false">G172*H172</f>
        <v>149500000</v>
      </c>
      <c r="S172" s="13" t="n">
        <f aca="false">Q172-R172</f>
        <v>39572627</v>
      </c>
      <c r="T172" s="14" t="n">
        <f aca="false">IFERROR(S172/Q172,0)</f>
        <v>0.209298551714733</v>
      </c>
      <c r="U172" s="15" t="str">
        <f aca="false">TEXT(A172,"yyyy-mm")</f>
        <v>2022-03</v>
      </c>
    </row>
    <row r="173" customFormat="false" ht="15" hidden="false" customHeight="false" outlineLevel="0" collapsed="false">
      <c r="A173" s="10" t="n">
        <v>44621</v>
      </c>
      <c r="B173" s="11" t="s">
        <v>305</v>
      </c>
      <c r="C173" s="11" t="s">
        <v>121</v>
      </c>
      <c r="D173" s="11" t="s">
        <v>118</v>
      </c>
      <c r="E173" s="11" t="s">
        <v>122</v>
      </c>
      <c r="F173" s="12" t="n">
        <v>7687274</v>
      </c>
      <c r="G173" s="12" t="n">
        <v>6500000</v>
      </c>
      <c r="H173" s="11" t="n">
        <v>18</v>
      </c>
      <c r="I173" s="11" t="s">
        <v>69</v>
      </c>
      <c r="J173" s="11" t="s">
        <v>70</v>
      </c>
      <c r="K173" s="11" t="s">
        <v>71</v>
      </c>
      <c r="L173" s="11" t="s">
        <v>72</v>
      </c>
      <c r="M173" s="11" t="s">
        <v>73</v>
      </c>
      <c r="N173" s="11" t="s">
        <v>93</v>
      </c>
      <c r="O173" s="11" t="s">
        <v>94</v>
      </c>
      <c r="P173" s="11" t="s">
        <v>95</v>
      </c>
      <c r="Q173" s="13" t="n">
        <f aca="false">F173*H173</f>
        <v>138370932</v>
      </c>
      <c r="R173" s="13" t="n">
        <f aca="false">G173*H173</f>
        <v>117000000</v>
      </c>
      <c r="S173" s="13" t="n">
        <f aca="false">Q173-R173</f>
        <v>21370932</v>
      </c>
      <c r="T173" s="14" t="n">
        <f aca="false">IFERROR(S173/Q173,0)</f>
        <v>0.154446686822923</v>
      </c>
      <c r="U173" s="15" t="str">
        <f aca="false">TEXT(A173,"yyyy-mm")</f>
        <v>2022-03</v>
      </c>
    </row>
    <row r="174" customFormat="false" ht="15" hidden="false" customHeight="false" outlineLevel="0" collapsed="false">
      <c r="A174" s="10" t="n">
        <v>44621</v>
      </c>
      <c r="B174" s="11" t="s">
        <v>306</v>
      </c>
      <c r="C174" s="11" t="s">
        <v>125</v>
      </c>
      <c r="D174" s="11" t="s">
        <v>118</v>
      </c>
      <c r="E174" s="11" t="s">
        <v>126</v>
      </c>
      <c r="F174" s="12" t="n">
        <v>5684211</v>
      </c>
      <c r="G174" s="12" t="n">
        <v>4300000</v>
      </c>
      <c r="H174" s="11" t="n">
        <v>1</v>
      </c>
      <c r="I174" s="11" t="s">
        <v>69</v>
      </c>
      <c r="J174" s="11" t="s">
        <v>112</v>
      </c>
      <c r="K174" s="11" t="s">
        <v>113</v>
      </c>
      <c r="L174" s="11" t="s">
        <v>82</v>
      </c>
      <c r="M174" s="11" t="s">
        <v>157</v>
      </c>
      <c r="N174" s="11" t="s">
        <v>149</v>
      </c>
      <c r="O174" s="11" t="s">
        <v>150</v>
      </c>
      <c r="P174" s="11" t="s">
        <v>151</v>
      </c>
      <c r="Q174" s="13" t="n">
        <f aca="false">F174*H174</f>
        <v>5684211</v>
      </c>
      <c r="R174" s="13" t="n">
        <f aca="false">G174*H174</f>
        <v>4300000</v>
      </c>
      <c r="S174" s="13" t="n">
        <f aca="false">Q174-R174</f>
        <v>1384211</v>
      </c>
      <c r="T174" s="14" t="n">
        <f aca="false">IFERROR(S174/Q174,0)</f>
        <v>0.243518581558637</v>
      </c>
      <c r="U174" s="15" t="str">
        <f aca="false">TEXT(A174,"yyyy-mm")</f>
        <v>2022-03</v>
      </c>
    </row>
    <row r="175" customFormat="false" ht="15" hidden="false" customHeight="false" outlineLevel="0" collapsed="false">
      <c r="A175" s="10" t="n">
        <v>44622</v>
      </c>
      <c r="B175" s="11" t="s">
        <v>307</v>
      </c>
      <c r="C175" s="11" t="s">
        <v>128</v>
      </c>
      <c r="D175" s="11" t="s">
        <v>118</v>
      </c>
      <c r="E175" s="11" t="s">
        <v>119</v>
      </c>
      <c r="F175" s="12" t="n">
        <v>3370302</v>
      </c>
      <c r="G175" s="12" t="n">
        <v>2100000</v>
      </c>
      <c r="H175" s="11" t="n">
        <v>19</v>
      </c>
      <c r="I175" s="11" t="s">
        <v>86</v>
      </c>
      <c r="J175" s="11" t="s">
        <v>87</v>
      </c>
      <c r="K175" s="11" t="s">
        <v>88</v>
      </c>
      <c r="L175" s="11" t="s">
        <v>89</v>
      </c>
      <c r="M175" s="11" t="s">
        <v>90</v>
      </c>
      <c r="N175" s="11" t="s">
        <v>104</v>
      </c>
      <c r="O175" s="11" t="s">
        <v>105</v>
      </c>
      <c r="P175" s="11" t="s">
        <v>106</v>
      </c>
      <c r="Q175" s="13" t="n">
        <f aca="false">F175*H175</f>
        <v>64035738</v>
      </c>
      <c r="R175" s="13" t="n">
        <f aca="false">G175*H175</f>
        <v>39900000</v>
      </c>
      <c r="S175" s="13" t="n">
        <f aca="false">Q175-R175</f>
        <v>24135738</v>
      </c>
      <c r="T175" s="14" t="n">
        <f aca="false">IFERROR(S175/Q175,0)</f>
        <v>0.37691043710623</v>
      </c>
      <c r="U175" s="15" t="str">
        <f aca="false">TEXT(A175,"yyyy-mm")</f>
        <v>2022-03</v>
      </c>
    </row>
    <row r="176" customFormat="false" ht="15" hidden="false" customHeight="false" outlineLevel="0" collapsed="false">
      <c r="A176" s="10" t="n">
        <v>44622</v>
      </c>
      <c r="B176" s="11" t="s">
        <v>308</v>
      </c>
      <c r="C176" s="11" t="s">
        <v>130</v>
      </c>
      <c r="D176" s="11" t="s">
        <v>118</v>
      </c>
      <c r="E176" s="11" t="s">
        <v>68</v>
      </c>
      <c r="F176" s="12" t="n">
        <v>2852897</v>
      </c>
      <c r="G176" s="12" t="n">
        <v>2450000</v>
      </c>
      <c r="H176" s="11" t="n">
        <v>4</v>
      </c>
      <c r="I176" s="11" t="s">
        <v>69</v>
      </c>
      <c r="J176" s="11" t="s">
        <v>70</v>
      </c>
      <c r="K176" s="11" t="s">
        <v>71</v>
      </c>
      <c r="L176" s="11" t="s">
        <v>72</v>
      </c>
      <c r="M176" s="11" t="s">
        <v>73</v>
      </c>
      <c r="N176" s="11" t="s">
        <v>123</v>
      </c>
      <c r="O176" s="11" t="s">
        <v>60</v>
      </c>
      <c r="P176" s="11" t="s">
        <v>106</v>
      </c>
      <c r="Q176" s="13" t="n">
        <f aca="false">F176*H176</f>
        <v>11411588</v>
      </c>
      <c r="R176" s="13" t="n">
        <f aca="false">G176*H176</f>
        <v>9800000</v>
      </c>
      <c r="S176" s="13" t="n">
        <f aca="false">Q176-R176</f>
        <v>1611588</v>
      </c>
      <c r="T176" s="14" t="n">
        <f aca="false">IFERROR(S176/Q176,0)</f>
        <v>0.141223815651249</v>
      </c>
      <c r="U176" s="15" t="str">
        <f aca="false">TEXT(A176,"yyyy-mm")</f>
        <v>2022-03</v>
      </c>
    </row>
    <row r="177" customFormat="false" ht="15" hidden="false" customHeight="false" outlineLevel="0" collapsed="false">
      <c r="A177" s="10" t="n">
        <v>44623</v>
      </c>
      <c r="B177" s="11" t="s">
        <v>309</v>
      </c>
      <c r="C177" s="11" t="s">
        <v>132</v>
      </c>
      <c r="D177" s="11" t="s">
        <v>118</v>
      </c>
      <c r="E177" s="11" t="s">
        <v>68</v>
      </c>
      <c r="F177" s="12" t="n">
        <v>4803603</v>
      </c>
      <c r="G177" s="12" t="n">
        <v>4121000</v>
      </c>
      <c r="H177" s="11" t="n">
        <v>19</v>
      </c>
      <c r="I177" s="11" t="s">
        <v>69</v>
      </c>
      <c r="J177" s="11" t="s">
        <v>70</v>
      </c>
      <c r="K177" s="11" t="s">
        <v>71</v>
      </c>
      <c r="L177" s="11" t="s">
        <v>72</v>
      </c>
      <c r="M177" s="11" t="s">
        <v>73</v>
      </c>
      <c r="N177" s="11" t="s">
        <v>74</v>
      </c>
      <c r="O177" s="11" t="s">
        <v>75</v>
      </c>
      <c r="P177" s="11" t="s">
        <v>76</v>
      </c>
      <c r="Q177" s="13" t="n">
        <f aca="false">F177*H177</f>
        <v>91268457</v>
      </c>
      <c r="R177" s="13" t="n">
        <f aca="false">G177*H177</f>
        <v>78299000</v>
      </c>
      <c r="S177" s="13" t="n">
        <f aca="false">Q177-R177</f>
        <v>12969457</v>
      </c>
      <c r="T177" s="14" t="n">
        <f aca="false">IFERROR(S177/Q177,0)</f>
        <v>0.142102292799801</v>
      </c>
      <c r="U177" s="15" t="str">
        <f aca="false">TEXT(A177,"yyyy-mm")</f>
        <v>2022-03</v>
      </c>
    </row>
    <row r="178" customFormat="false" ht="15" hidden="false" customHeight="false" outlineLevel="0" collapsed="false">
      <c r="A178" s="10" t="n">
        <v>44623</v>
      </c>
      <c r="B178" s="11" t="s">
        <v>310</v>
      </c>
      <c r="C178" s="11" t="s">
        <v>135</v>
      </c>
      <c r="D178" s="11" t="s">
        <v>118</v>
      </c>
      <c r="E178" s="11" t="s">
        <v>68</v>
      </c>
      <c r="F178" s="12" t="n">
        <v>5689947</v>
      </c>
      <c r="G178" s="12" t="n">
        <v>5235000</v>
      </c>
      <c r="H178" s="11" t="n">
        <v>16</v>
      </c>
      <c r="I178" s="11" t="s">
        <v>69</v>
      </c>
      <c r="J178" s="11" t="s">
        <v>70</v>
      </c>
      <c r="K178" s="11" t="s">
        <v>71</v>
      </c>
      <c r="L178" s="11" t="s">
        <v>72</v>
      </c>
      <c r="M178" s="11" t="s">
        <v>73</v>
      </c>
      <c r="N178" s="11" t="s">
        <v>74</v>
      </c>
      <c r="O178" s="11" t="s">
        <v>75</v>
      </c>
      <c r="P178" s="11" t="s">
        <v>76</v>
      </c>
      <c r="Q178" s="13" t="n">
        <f aca="false">F178*H178</f>
        <v>91039152</v>
      </c>
      <c r="R178" s="13" t="n">
        <f aca="false">G178*H178</f>
        <v>83760000</v>
      </c>
      <c r="S178" s="13" t="n">
        <f aca="false">Q178-R178</f>
        <v>7279152</v>
      </c>
      <c r="T178" s="14" t="n">
        <f aca="false">IFERROR(S178/Q178,0)</f>
        <v>0.0799562807878527</v>
      </c>
      <c r="U178" s="15" t="str">
        <f aca="false">TEXT(A178,"yyyy-mm")</f>
        <v>2022-03</v>
      </c>
    </row>
    <row r="179" customFormat="false" ht="15" hidden="false" customHeight="false" outlineLevel="0" collapsed="false">
      <c r="A179" s="10" t="n">
        <v>44623</v>
      </c>
      <c r="B179" s="11" t="s">
        <v>311</v>
      </c>
      <c r="C179" s="11" t="s">
        <v>137</v>
      </c>
      <c r="D179" s="11" t="s">
        <v>138</v>
      </c>
      <c r="E179" s="11" t="s">
        <v>139</v>
      </c>
      <c r="F179" s="12" t="n">
        <v>5171827</v>
      </c>
      <c r="G179" s="12" t="n">
        <v>4890000</v>
      </c>
      <c r="H179" s="11" t="n">
        <v>16</v>
      </c>
      <c r="I179" s="11" t="s">
        <v>69</v>
      </c>
      <c r="J179" s="11" t="s">
        <v>80</v>
      </c>
      <c r="K179" s="11" t="s">
        <v>81</v>
      </c>
      <c r="L179" s="11" t="s">
        <v>82</v>
      </c>
      <c r="M179" s="11" t="s">
        <v>73</v>
      </c>
      <c r="N179" s="11" t="s">
        <v>104</v>
      </c>
      <c r="O179" s="11" t="s">
        <v>105</v>
      </c>
      <c r="P179" s="11" t="s">
        <v>106</v>
      </c>
      <c r="Q179" s="13" t="n">
        <f aca="false">F179*H179</f>
        <v>82749232</v>
      </c>
      <c r="R179" s="13" t="n">
        <f aca="false">G179*H179</f>
        <v>78240000</v>
      </c>
      <c r="S179" s="13" t="n">
        <f aca="false">Q179-R179</f>
        <v>4509232</v>
      </c>
      <c r="T179" s="14" t="n">
        <f aca="false">IFERROR(S179/Q179,0)</f>
        <v>0.0544927353525166</v>
      </c>
      <c r="U179" s="15" t="str">
        <f aca="false">TEXT(A179,"yyyy-mm")</f>
        <v>2022-03</v>
      </c>
    </row>
    <row r="180" customFormat="false" ht="15" hidden="false" customHeight="false" outlineLevel="0" collapsed="false">
      <c r="A180" s="10" t="n">
        <v>44624</v>
      </c>
      <c r="B180" s="11" t="s">
        <v>312</v>
      </c>
      <c r="C180" s="11" t="s">
        <v>141</v>
      </c>
      <c r="D180" s="11" t="s">
        <v>138</v>
      </c>
      <c r="E180" s="11" t="s">
        <v>142</v>
      </c>
      <c r="F180" s="12" t="n">
        <v>2805124</v>
      </c>
      <c r="G180" s="12" t="n">
        <v>2178000</v>
      </c>
      <c r="H180" s="11" t="n">
        <v>9</v>
      </c>
      <c r="I180" s="11" t="s">
        <v>86</v>
      </c>
      <c r="J180" s="11" t="s">
        <v>87</v>
      </c>
      <c r="K180" s="11" t="s">
        <v>88</v>
      </c>
      <c r="L180" s="11" t="s">
        <v>89</v>
      </c>
      <c r="M180" s="11" t="s">
        <v>90</v>
      </c>
      <c r="N180" s="11" t="s">
        <v>123</v>
      </c>
      <c r="O180" s="11" t="s">
        <v>60</v>
      </c>
      <c r="P180" s="11" t="s">
        <v>106</v>
      </c>
      <c r="Q180" s="13" t="n">
        <f aca="false">F180*H180</f>
        <v>25246116</v>
      </c>
      <c r="R180" s="13" t="n">
        <f aca="false">G180*H180</f>
        <v>19602000</v>
      </c>
      <c r="S180" s="13" t="n">
        <f aca="false">Q180-R180</f>
        <v>5644116</v>
      </c>
      <c r="T180" s="14" t="n">
        <f aca="false">IFERROR(S180/Q180,0)</f>
        <v>0.22356373550688</v>
      </c>
      <c r="U180" s="15" t="str">
        <f aca="false">TEXT(A180,"yyyy-mm")</f>
        <v>2022-03</v>
      </c>
    </row>
    <row r="181" customFormat="false" ht="15" hidden="false" customHeight="false" outlineLevel="0" collapsed="false">
      <c r="A181" s="10" t="n">
        <v>44624</v>
      </c>
      <c r="B181" s="11" t="s">
        <v>313</v>
      </c>
      <c r="C181" s="11" t="s">
        <v>146</v>
      </c>
      <c r="D181" s="11" t="s">
        <v>138</v>
      </c>
      <c r="E181" s="11" t="s">
        <v>139</v>
      </c>
      <c r="F181" s="12" t="n">
        <v>2728100</v>
      </c>
      <c r="G181" s="12" t="n">
        <v>2321000</v>
      </c>
      <c r="H181" s="11" t="n">
        <v>21</v>
      </c>
      <c r="I181" s="11" t="s">
        <v>86</v>
      </c>
      <c r="J181" s="11" t="s">
        <v>87</v>
      </c>
      <c r="K181" s="11" t="s">
        <v>88</v>
      </c>
      <c r="L181" s="11" t="s">
        <v>89</v>
      </c>
      <c r="M181" s="11" t="s">
        <v>90</v>
      </c>
      <c r="N181" s="11" t="s">
        <v>93</v>
      </c>
      <c r="O181" s="11" t="s">
        <v>94</v>
      </c>
      <c r="P181" s="11" t="s">
        <v>95</v>
      </c>
      <c r="Q181" s="13" t="n">
        <f aca="false">F181*H181</f>
        <v>57290100</v>
      </c>
      <c r="R181" s="13" t="n">
        <f aca="false">G181*H181</f>
        <v>48741000</v>
      </c>
      <c r="S181" s="13" t="n">
        <f aca="false">Q181-R181</f>
        <v>8549100</v>
      </c>
      <c r="T181" s="14" t="n">
        <f aca="false">IFERROR(S181/Q181,0)</f>
        <v>0.149224735163667</v>
      </c>
      <c r="U181" s="15" t="str">
        <f aca="false">TEXT(A181,"yyyy-mm")</f>
        <v>2022-03</v>
      </c>
    </row>
    <row r="182" customFormat="false" ht="15" hidden="false" customHeight="false" outlineLevel="0" collapsed="false">
      <c r="A182" s="10" t="n">
        <v>44625</v>
      </c>
      <c r="B182" s="11" t="s">
        <v>314</v>
      </c>
      <c r="C182" s="11" t="s">
        <v>148</v>
      </c>
      <c r="D182" s="11" t="s">
        <v>138</v>
      </c>
      <c r="E182" s="11" t="s">
        <v>122</v>
      </c>
      <c r="F182" s="12" t="n">
        <v>4941716</v>
      </c>
      <c r="G182" s="12" t="n">
        <v>4456000</v>
      </c>
      <c r="H182" s="11" t="n">
        <v>20</v>
      </c>
      <c r="I182" s="11" t="s">
        <v>69</v>
      </c>
      <c r="J182" s="11" t="s">
        <v>70</v>
      </c>
      <c r="K182" s="11" t="s">
        <v>71</v>
      </c>
      <c r="L182" s="11" t="s">
        <v>72</v>
      </c>
      <c r="M182" s="11" t="s">
        <v>73</v>
      </c>
      <c r="N182" s="11" t="s">
        <v>123</v>
      </c>
      <c r="O182" s="11" t="s">
        <v>60</v>
      </c>
      <c r="P182" s="11" t="s">
        <v>106</v>
      </c>
      <c r="Q182" s="13" t="n">
        <f aca="false">F182*H182</f>
        <v>98834320</v>
      </c>
      <c r="R182" s="13" t="n">
        <f aca="false">G182*H182</f>
        <v>89120000</v>
      </c>
      <c r="S182" s="13" t="n">
        <f aca="false">Q182-R182</f>
        <v>9714320</v>
      </c>
      <c r="T182" s="14" t="n">
        <f aca="false">IFERROR(S182/Q182,0)</f>
        <v>0.0982889344511097</v>
      </c>
      <c r="U182" s="15" t="str">
        <f aca="false">TEXT(A182,"yyyy-mm")</f>
        <v>2022-03</v>
      </c>
    </row>
    <row r="183" customFormat="false" ht="15" hidden="false" customHeight="false" outlineLevel="0" collapsed="false">
      <c r="A183" s="10" t="n">
        <v>44625</v>
      </c>
      <c r="B183" s="11" t="s">
        <v>315</v>
      </c>
      <c r="C183" s="11" t="s">
        <v>66</v>
      </c>
      <c r="D183" s="11" t="s">
        <v>67</v>
      </c>
      <c r="E183" s="11" t="s">
        <v>68</v>
      </c>
      <c r="F183" s="12" t="n">
        <v>3048952</v>
      </c>
      <c r="G183" s="12" t="n">
        <v>2560000</v>
      </c>
      <c r="H183" s="11" t="n">
        <v>15</v>
      </c>
      <c r="I183" s="11" t="s">
        <v>69</v>
      </c>
      <c r="J183" s="11" t="s">
        <v>70</v>
      </c>
      <c r="K183" s="11" t="s">
        <v>71</v>
      </c>
      <c r="L183" s="11" t="s">
        <v>72</v>
      </c>
      <c r="M183" s="11" t="s">
        <v>73</v>
      </c>
      <c r="N183" s="11" t="s">
        <v>123</v>
      </c>
      <c r="O183" s="11" t="s">
        <v>60</v>
      </c>
      <c r="P183" s="11" t="s">
        <v>106</v>
      </c>
      <c r="Q183" s="13" t="n">
        <f aca="false">F183*H183</f>
        <v>45734280</v>
      </c>
      <c r="R183" s="13" t="n">
        <f aca="false">G183*H183</f>
        <v>38400000</v>
      </c>
      <c r="S183" s="13" t="n">
        <f aca="false">Q183-R183</f>
        <v>7334280</v>
      </c>
      <c r="T183" s="14" t="n">
        <f aca="false">IFERROR(S183/Q183,0)</f>
        <v>0.160367234380863</v>
      </c>
      <c r="U183" s="15" t="str">
        <f aca="false">TEXT(A183,"yyyy-mm")</f>
        <v>2022-03</v>
      </c>
    </row>
    <row r="184" customFormat="false" ht="15" hidden="false" customHeight="false" outlineLevel="0" collapsed="false">
      <c r="A184" s="10" t="n">
        <v>44626</v>
      </c>
      <c r="B184" s="11" t="s">
        <v>316</v>
      </c>
      <c r="C184" s="11" t="s">
        <v>78</v>
      </c>
      <c r="D184" s="11" t="s">
        <v>67</v>
      </c>
      <c r="E184" s="11" t="s">
        <v>79</v>
      </c>
      <c r="F184" s="12" t="n">
        <v>1870000</v>
      </c>
      <c r="G184" s="12" t="n">
        <v>1650000</v>
      </c>
      <c r="H184" s="11" t="n">
        <v>2</v>
      </c>
      <c r="I184" s="11" t="s">
        <v>69</v>
      </c>
      <c r="J184" s="11" t="s">
        <v>70</v>
      </c>
      <c r="K184" s="11" t="s">
        <v>71</v>
      </c>
      <c r="L184" s="11" t="s">
        <v>72</v>
      </c>
      <c r="M184" s="11" t="s">
        <v>73</v>
      </c>
      <c r="N184" s="11" t="s">
        <v>173</v>
      </c>
      <c r="O184" s="11" t="s">
        <v>174</v>
      </c>
      <c r="P184" s="11" t="s">
        <v>95</v>
      </c>
      <c r="Q184" s="13" t="n">
        <f aca="false">F184*H184</f>
        <v>3740000</v>
      </c>
      <c r="R184" s="13" t="n">
        <f aca="false">G184*H184</f>
        <v>3300000</v>
      </c>
      <c r="S184" s="13" t="n">
        <f aca="false">Q184-R184</f>
        <v>440000</v>
      </c>
      <c r="T184" s="14" t="n">
        <f aca="false">IFERROR(S184/Q184,0)</f>
        <v>0.117647058823529</v>
      </c>
      <c r="U184" s="15" t="str">
        <f aca="false">TEXT(A184,"yyyy-mm")</f>
        <v>2022-03</v>
      </c>
    </row>
    <row r="185" customFormat="false" ht="15" hidden="false" customHeight="false" outlineLevel="0" collapsed="false">
      <c r="A185" s="10" t="n">
        <v>44627</v>
      </c>
      <c r="B185" s="11" t="s">
        <v>317</v>
      </c>
      <c r="C185" s="11" t="s">
        <v>84</v>
      </c>
      <c r="D185" s="11" t="s">
        <v>67</v>
      </c>
      <c r="E185" s="11" t="s">
        <v>85</v>
      </c>
      <c r="F185" s="12" t="n">
        <v>2600000</v>
      </c>
      <c r="G185" s="12" t="n">
        <v>2300000</v>
      </c>
      <c r="H185" s="11" t="n">
        <v>14</v>
      </c>
      <c r="I185" s="11" t="s">
        <v>86</v>
      </c>
      <c r="J185" s="11" t="s">
        <v>87</v>
      </c>
      <c r="K185" s="11" t="s">
        <v>88</v>
      </c>
      <c r="L185" s="11" t="s">
        <v>89</v>
      </c>
      <c r="M185" s="11" t="s">
        <v>90</v>
      </c>
      <c r="N185" s="11" t="s">
        <v>99</v>
      </c>
      <c r="O185" s="11" t="s">
        <v>100</v>
      </c>
      <c r="P185" s="11" t="s">
        <v>101</v>
      </c>
      <c r="Q185" s="13" t="n">
        <f aca="false">F185*H185</f>
        <v>36400000</v>
      </c>
      <c r="R185" s="13" t="n">
        <f aca="false">G185*H185</f>
        <v>32200000</v>
      </c>
      <c r="S185" s="13" t="n">
        <f aca="false">Q185-R185</f>
        <v>4200000</v>
      </c>
      <c r="T185" s="14" t="n">
        <f aca="false">IFERROR(S185/Q185,0)</f>
        <v>0.115384615384615</v>
      </c>
      <c r="U185" s="15" t="str">
        <f aca="false">TEXT(A185,"yyyy-mm")</f>
        <v>2022-03</v>
      </c>
    </row>
    <row r="186" customFormat="false" ht="15" hidden="false" customHeight="false" outlineLevel="0" collapsed="false">
      <c r="A186" s="10" t="n">
        <v>44627</v>
      </c>
      <c r="B186" s="11" t="s">
        <v>318</v>
      </c>
      <c r="C186" s="11" t="s">
        <v>92</v>
      </c>
      <c r="D186" s="11" t="s">
        <v>67</v>
      </c>
      <c r="E186" s="11" t="s">
        <v>79</v>
      </c>
      <c r="F186" s="12" t="n">
        <v>3577480</v>
      </c>
      <c r="G186" s="12" t="n">
        <v>3100000</v>
      </c>
      <c r="H186" s="11" t="n">
        <v>26</v>
      </c>
      <c r="I186" s="11" t="s">
        <v>69</v>
      </c>
      <c r="J186" s="11" t="s">
        <v>112</v>
      </c>
      <c r="K186" s="11" t="s">
        <v>113</v>
      </c>
      <c r="L186" s="11" t="s">
        <v>82</v>
      </c>
      <c r="M186" s="11" t="s">
        <v>157</v>
      </c>
      <c r="N186" s="11" t="s">
        <v>133</v>
      </c>
      <c r="O186" s="11" t="s">
        <v>60</v>
      </c>
      <c r="P186" s="11" t="s">
        <v>76</v>
      </c>
      <c r="Q186" s="13" t="n">
        <f aca="false">F186*H186</f>
        <v>93014480</v>
      </c>
      <c r="R186" s="13" t="n">
        <f aca="false">G186*H186</f>
        <v>80600000</v>
      </c>
      <c r="S186" s="13" t="n">
        <f aca="false">Q186-R186</f>
        <v>12414480</v>
      </c>
      <c r="T186" s="14" t="n">
        <f aca="false">IFERROR(S186/Q186,0)</f>
        <v>0.133468251394837</v>
      </c>
      <c r="U186" s="15" t="str">
        <f aca="false">TEXT(A186,"yyyy-mm")</f>
        <v>2022-03</v>
      </c>
    </row>
    <row r="187" customFormat="false" ht="15" hidden="false" customHeight="false" outlineLevel="0" collapsed="false">
      <c r="A187" s="10" t="n">
        <v>44627</v>
      </c>
      <c r="B187" s="11" t="s">
        <v>319</v>
      </c>
      <c r="C187" s="11" t="s">
        <v>97</v>
      </c>
      <c r="D187" s="11" t="s">
        <v>67</v>
      </c>
      <c r="E187" s="11" t="s">
        <v>98</v>
      </c>
      <c r="F187" s="12" t="n">
        <v>4969724</v>
      </c>
      <c r="G187" s="12" t="n">
        <v>4121560</v>
      </c>
      <c r="H187" s="11" t="n">
        <v>7</v>
      </c>
      <c r="I187" s="11" t="s">
        <v>69</v>
      </c>
      <c r="J187" s="11" t="s">
        <v>70</v>
      </c>
      <c r="K187" s="11" t="s">
        <v>71</v>
      </c>
      <c r="L187" s="11" t="s">
        <v>72</v>
      </c>
      <c r="M187" s="11" t="s">
        <v>73</v>
      </c>
      <c r="N187" s="11" t="s">
        <v>133</v>
      </c>
      <c r="O187" s="11" t="s">
        <v>60</v>
      </c>
      <c r="P187" s="11" t="s">
        <v>76</v>
      </c>
      <c r="Q187" s="13" t="n">
        <f aca="false">F187*H187</f>
        <v>34788068</v>
      </c>
      <c r="R187" s="13" t="n">
        <f aca="false">G187*H187</f>
        <v>28850920</v>
      </c>
      <c r="S187" s="13" t="n">
        <f aca="false">Q187-R187</f>
        <v>5937148</v>
      </c>
      <c r="T187" s="14" t="n">
        <f aca="false">IFERROR(S187/Q187,0)</f>
        <v>0.170666218083741</v>
      </c>
      <c r="U187" s="15" t="str">
        <f aca="false">TEXT(A187,"yyyy-mm")</f>
        <v>2022-03</v>
      </c>
    </row>
    <row r="188" customFormat="false" ht="15" hidden="false" customHeight="false" outlineLevel="0" collapsed="false">
      <c r="A188" s="10" t="n">
        <v>44628</v>
      </c>
      <c r="B188" s="11" t="s">
        <v>320</v>
      </c>
      <c r="C188" s="11" t="s">
        <v>103</v>
      </c>
      <c r="D188" s="11" t="s">
        <v>67</v>
      </c>
      <c r="E188" s="11" t="s">
        <v>68</v>
      </c>
      <c r="F188" s="12" t="n">
        <v>3319925</v>
      </c>
      <c r="G188" s="12" t="n">
        <v>2800000</v>
      </c>
      <c r="H188" s="11" t="n">
        <v>17</v>
      </c>
      <c r="I188" s="11" t="s">
        <v>69</v>
      </c>
      <c r="J188" s="11" t="s">
        <v>112</v>
      </c>
      <c r="K188" s="11" t="s">
        <v>113</v>
      </c>
      <c r="L188" s="11" t="s">
        <v>82</v>
      </c>
      <c r="M188" s="11" t="s">
        <v>157</v>
      </c>
      <c r="N188" s="11" t="s">
        <v>109</v>
      </c>
      <c r="O188" s="11" t="s">
        <v>75</v>
      </c>
      <c r="P188" s="11" t="s">
        <v>95</v>
      </c>
      <c r="Q188" s="13" t="n">
        <f aca="false">F188*H188</f>
        <v>56438725</v>
      </c>
      <c r="R188" s="13" t="n">
        <f aca="false">G188*H188</f>
        <v>47600000</v>
      </c>
      <c r="S188" s="13" t="n">
        <f aca="false">Q188-R188</f>
        <v>8838725</v>
      </c>
      <c r="T188" s="14" t="n">
        <f aca="false">IFERROR(S188/Q188,0)</f>
        <v>0.15660745348163</v>
      </c>
      <c r="U188" s="15" t="str">
        <f aca="false">TEXT(A188,"yyyy-mm")</f>
        <v>2022-03</v>
      </c>
    </row>
    <row r="189" customFormat="false" ht="15" hidden="false" customHeight="false" outlineLevel="0" collapsed="false">
      <c r="A189" s="10" t="n">
        <v>44628</v>
      </c>
      <c r="B189" s="11" t="s">
        <v>321</v>
      </c>
      <c r="C189" s="11" t="s">
        <v>108</v>
      </c>
      <c r="D189" s="11" t="s">
        <v>67</v>
      </c>
      <c r="E189" s="11" t="s">
        <v>68</v>
      </c>
      <c r="F189" s="12" t="n">
        <v>4757880</v>
      </c>
      <c r="G189" s="12" t="n">
        <v>3450000</v>
      </c>
      <c r="H189" s="11" t="n">
        <v>13</v>
      </c>
      <c r="I189" s="11" t="s">
        <v>69</v>
      </c>
      <c r="J189" s="11" t="s">
        <v>80</v>
      </c>
      <c r="K189" s="11" t="s">
        <v>81</v>
      </c>
      <c r="L189" s="11" t="s">
        <v>82</v>
      </c>
      <c r="M189" s="11" t="s">
        <v>73</v>
      </c>
      <c r="N189" s="11" t="s">
        <v>173</v>
      </c>
      <c r="O189" s="11" t="s">
        <v>174</v>
      </c>
      <c r="P189" s="11" t="s">
        <v>95</v>
      </c>
      <c r="Q189" s="13" t="n">
        <f aca="false">F189*H189</f>
        <v>61852440</v>
      </c>
      <c r="R189" s="13" t="n">
        <f aca="false">G189*H189</f>
        <v>44850000</v>
      </c>
      <c r="S189" s="13" t="n">
        <f aca="false">Q189-R189</f>
        <v>17002440</v>
      </c>
      <c r="T189" s="14" t="n">
        <f aca="false">IFERROR(S189/Q189,0)</f>
        <v>0.274887134606169</v>
      </c>
      <c r="U189" s="15" t="str">
        <f aca="false">TEXT(A189,"yyyy-mm")</f>
        <v>2022-03</v>
      </c>
    </row>
    <row r="190" customFormat="false" ht="15" hidden="false" customHeight="false" outlineLevel="0" collapsed="false">
      <c r="A190" s="10" t="n">
        <v>44628</v>
      </c>
      <c r="B190" s="11" t="s">
        <v>322</v>
      </c>
      <c r="C190" s="11" t="s">
        <v>111</v>
      </c>
      <c r="D190" s="11" t="s">
        <v>67</v>
      </c>
      <c r="E190" s="11" t="s">
        <v>79</v>
      </c>
      <c r="F190" s="12" t="n">
        <v>3545808</v>
      </c>
      <c r="G190" s="12" t="n">
        <v>3350000</v>
      </c>
      <c r="H190" s="11" t="n">
        <v>18</v>
      </c>
      <c r="I190" s="11" t="s">
        <v>69</v>
      </c>
      <c r="J190" s="11" t="s">
        <v>80</v>
      </c>
      <c r="K190" s="11" t="s">
        <v>81</v>
      </c>
      <c r="L190" s="11" t="s">
        <v>82</v>
      </c>
      <c r="M190" s="11" t="s">
        <v>73</v>
      </c>
      <c r="N190" s="11" t="s">
        <v>99</v>
      </c>
      <c r="O190" s="11" t="s">
        <v>100</v>
      </c>
      <c r="P190" s="11" t="s">
        <v>101</v>
      </c>
      <c r="Q190" s="13" t="n">
        <f aca="false">F190*H190</f>
        <v>63824544</v>
      </c>
      <c r="R190" s="13" t="n">
        <f aca="false">G190*H190</f>
        <v>60300000</v>
      </c>
      <c r="S190" s="13" t="n">
        <f aca="false">Q190-R190</f>
        <v>3524544</v>
      </c>
      <c r="T190" s="14" t="n">
        <f aca="false">IFERROR(S190/Q190,0)</f>
        <v>0.0552223921881839</v>
      </c>
      <c r="U190" s="15" t="str">
        <f aca="false">TEXT(A190,"yyyy-mm")</f>
        <v>2022-03</v>
      </c>
    </row>
    <row r="191" customFormat="false" ht="15" hidden="false" customHeight="false" outlineLevel="0" collapsed="false">
      <c r="A191" s="10" t="n">
        <v>44628</v>
      </c>
      <c r="B191" s="11" t="s">
        <v>323</v>
      </c>
      <c r="C191" s="11" t="s">
        <v>115</v>
      </c>
      <c r="D191" s="11" t="s">
        <v>67</v>
      </c>
      <c r="E191" s="11" t="s">
        <v>98</v>
      </c>
      <c r="F191" s="12" t="n">
        <v>4200743</v>
      </c>
      <c r="G191" s="12" t="n">
        <v>4101000</v>
      </c>
      <c r="H191" s="11" t="n">
        <v>15</v>
      </c>
      <c r="I191" s="11" t="s">
        <v>69</v>
      </c>
      <c r="J191" s="11" t="s">
        <v>70</v>
      </c>
      <c r="K191" s="11" t="s">
        <v>71</v>
      </c>
      <c r="L191" s="11" t="s">
        <v>72</v>
      </c>
      <c r="M191" s="11" t="s">
        <v>73</v>
      </c>
      <c r="N191" s="11" t="s">
        <v>109</v>
      </c>
      <c r="O191" s="11" t="s">
        <v>75</v>
      </c>
      <c r="P191" s="11" t="s">
        <v>95</v>
      </c>
      <c r="Q191" s="13" t="n">
        <f aca="false">F191*H191</f>
        <v>63011145</v>
      </c>
      <c r="R191" s="13" t="n">
        <f aca="false">G191*H191</f>
        <v>61515000</v>
      </c>
      <c r="S191" s="13" t="n">
        <f aca="false">Q191-R191</f>
        <v>1496145</v>
      </c>
      <c r="T191" s="14" t="n">
        <f aca="false">IFERROR(S191/Q191,0)</f>
        <v>0.023744132883159</v>
      </c>
      <c r="U191" s="15" t="str">
        <f aca="false">TEXT(A191,"yyyy-mm")</f>
        <v>2022-03</v>
      </c>
    </row>
    <row r="192" customFormat="false" ht="15" hidden="false" customHeight="false" outlineLevel="0" collapsed="false">
      <c r="A192" s="10" t="n">
        <v>44628</v>
      </c>
      <c r="B192" s="11" t="s">
        <v>324</v>
      </c>
      <c r="C192" s="11" t="s">
        <v>117</v>
      </c>
      <c r="D192" s="11" t="s">
        <v>118</v>
      </c>
      <c r="E192" s="11" t="s">
        <v>119</v>
      </c>
      <c r="F192" s="12" t="n">
        <v>8220549</v>
      </c>
      <c r="G192" s="12" t="n">
        <v>6500000</v>
      </c>
      <c r="H192" s="11" t="n">
        <v>5</v>
      </c>
      <c r="I192" s="11" t="s">
        <v>86</v>
      </c>
      <c r="J192" s="11" t="s">
        <v>87</v>
      </c>
      <c r="K192" s="11" t="s">
        <v>88</v>
      </c>
      <c r="L192" s="11" t="s">
        <v>89</v>
      </c>
      <c r="M192" s="11" t="s">
        <v>90</v>
      </c>
      <c r="N192" s="11" t="s">
        <v>149</v>
      </c>
      <c r="O192" s="11" t="s">
        <v>150</v>
      </c>
      <c r="P192" s="11" t="s">
        <v>151</v>
      </c>
      <c r="Q192" s="13" t="n">
        <f aca="false">F192*H192</f>
        <v>41102745</v>
      </c>
      <c r="R192" s="13" t="n">
        <f aca="false">G192*H192</f>
        <v>32500000</v>
      </c>
      <c r="S192" s="13" t="n">
        <f aca="false">Q192-R192</f>
        <v>8602745</v>
      </c>
      <c r="T192" s="14" t="n">
        <f aca="false">IFERROR(S192/Q192,0)</f>
        <v>0.209298551714733</v>
      </c>
      <c r="U192" s="15" t="str">
        <f aca="false">TEXT(A192,"yyyy-mm")</f>
        <v>2022-03</v>
      </c>
    </row>
    <row r="193" customFormat="false" ht="15" hidden="false" customHeight="false" outlineLevel="0" collapsed="false">
      <c r="A193" s="10" t="n">
        <v>44629</v>
      </c>
      <c r="B193" s="11" t="s">
        <v>325</v>
      </c>
      <c r="C193" s="11" t="s">
        <v>121</v>
      </c>
      <c r="D193" s="11" t="s">
        <v>118</v>
      </c>
      <c r="E193" s="11" t="s">
        <v>122</v>
      </c>
      <c r="F193" s="12" t="n">
        <v>7687274</v>
      </c>
      <c r="G193" s="12" t="n">
        <v>6500000</v>
      </c>
      <c r="H193" s="11" t="n">
        <v>16</v>
      </c>
      <c r="I193" s="11" t="s">
        <v>69</v>
      </c>
      <c r="J193" s="11" t="s">
        <v>80</v>
      </c>
      <c r="K193" s="11" t="s">
        <v>81</v>
      </c>
      <c r="L193" s="11" t="s">
        <v>82</v>
      </c>
      <c r="M193" s="11" t="s">
        <v>73</v>
      </c>
      <c r="N193" s="11" t="s">
        <v>173</v>
      </c>
      <c r="O193" s="11" t="s">
        <v>174</v>
      </c>
      <c r="P193" s="11" t="s">
        <v>95</v>
      </c>
      <c r="Q193" s="13" t="n">
        <f aca="false">F193*H193</f>
        <v>122996384</v>
      </c>
      <c r="R193" s="13" t="n">
        <f aca="false">G193*H193</f>
        <v>104000000</v>
      </c>
      <c r="S193" s="13" t="n">
        <f aca="false">Q193-R193</f>
        <v>18996384</v>
      </c>
      <c r="T193" s="14" t="n">
        <f aca="false">IFERROR(S193/Q193,0)</f>
        <v>0.154446686822923</v>
      </c>
      <c r="U193" s="15" t="str">
        <f aca="false">TEXT(A193,"yyyy-mm")</f>
        <v>2022-03</v>
      </c>
    </row>
    <row r="194" customFormat="false" ht="15" hidden="false" customHeight="false" outlineLevel="0" collapsed="false">
      <c r="A194" s="10" t="n">
        <v>44629</v>
      </c>
      <c r="B194" s="11" t="s">
        <v>326</v>
      </c>
      <c r="C194" s="11" t="s">
        <v>125</v>
      </c>
      <c r="D194" s="11" t="s">
        <v>118</v>
      </c>
      <c r="E194" s="11" t="s">
        <v>126</v>
      </c>
      <c r="F194" s="12" t="n">
        <v>5684211</v>
      </c>
      <c r="G194" s="12" t="n">
        <v>4300000</v>
      </c>
      <c r="H194" s="11" t="n">
        <v>1</v>
      </c>
      <c r="I194" s="11" t="s">
        <v>69</v>
      </c>
      <c r="J194" s="11" t="s">
        <v>80</v>
      </c>
      <c r="K194" s="11" t="s">
        <v>81</v>
      </c>
      <c r="L194" s="11" t="s">
        <v>82</v>
      </c>
      <c r="M194" s="11" t="s">
        <v>73</v>
      </c>
      <c r="N194" s="11" t="s">
        <v>149</v>
      </c>
      <c r="O194" s="11" t="s">
        <v>150</v>
      </c>
      <c r="P194" s="11" t="s">
        <v>151</v>
      </c>
      <c r="Q194" s="13" t="n">
        <f aca="false">F194*H194</f>
        <v>5684211</v>
      </c>
      <c r="R194" s="13" t="n">
        <f aca="false">G194*H194</f>
        <v>4300000</v>
      </c>
      <c r="S194" s="13" t="n">
        <f aca="false">Q194-R194</f>
        <v>1384211</v>
      </c>
      <c r="T194" s="14" t="n">
        <f aca="false">IFERROR(S194/Q194,0)</f>
        <v>0.243518581558637</v>
      </c>
      <c r="U194" s="15" t="str">
        <f aca="false">TEXT(A194,"yyyy-mm")</f>
        <v>2022-03</v>
      </c>
    </row>
    <row r="195" customFormat="false" ht="15" hidden="false" customHeight="false" outlineLevel="0" collapsed="false">
      <c r="A195" s="10" t="n">
        <v>44630</v>
      </c>
      <c r="B195" s="11" t="s">
        <v>327</v>
      </c>
      <c r="C195" s="11" t="s">
        <v>128</v>
      </c>
      <c r="D195" s="11" t="s">
        <v>118</v>
      </c>
      <c r="E195" s="11" t="s">
        <v>119</v>
      </c>
      <c r="F195" s="12" t="n">
        <v>3370302</v>
      </c>
      <c r="G195" s="12" t="n">
        <v>2100000</v>
      </c>
      <c r="H195" s="11" t="n">
        <v>13</v>
      </c>
      <c r="I195" s="11" t="s">
        <v>69</v>
      </c>
      <c r="J195" s="11" t="s">
        <v>80</v>
      </c>
      <c r="K195" s="11" t="s">
        <v>81</v>
      </c>
      <c r="L195" s="11" t="s">
        <v>82</v>
      </c>
      <c r="M195" s="11" t="s">
        <v>73</v>
      </c>
      <c r="N195" s="11" t="s">
        <v>149</v>
      </c>
      <c r="O195" s="11" t="s">
        <v>150</v>
      </c>
      <c r="P195" s="11" t="s">
        <v>151</v>
      </c>
      <c r="Q195" s="13" t="n">
        <f aca="false">F195*H195</f>
        <v>43813926</v>
      </c>
      <c r="R195" s="13" t="n">
        <f aca="false">G195*H195</f>
        <v>27300000</v>
      </c>
      <c r="S195" s="13" t="n">
        <f aca="false">Q195-R195</f>
        <v>16513926</v>
      </c>
      <c r="T195" s="14" t="n">
        <f aca="false">IFERROR(S195/Q195,0)</f>
        <v>0.37691043710623</v>
      </c>
      <c r="U195" s="15" t="str">
        <f aca="false">TEXT(A195,"yyyy-mm")</f>
        <v>2022-03</v>
      </c>
    </row>
    <row r="196" customFormat="false" ht="15" hidden="false" customHeight="false" outlineLevel="0" collapsed="false">
      <c r="A196" s="10" t="n">
        <v>44631</v>
      </c>
      <c r="B196" s="11" t="s">
        <v>328</v>
      </c>
      <c r="C196" s="11" t="s">
        <v>130</v>
      </c>
      <c r="D196" s="11" t="s">
        <v>118</v>
      </c>
      <c r="E196" s="11" t="s">
        <v>68</v>
      </c>
      <c r="F196" s="12" t="n">
        <v>2852897</v>
      </c>
      <c r="G196" s="12" t="n">
        <v>2450000</v>
      </c>
      <c r="H196" s="11" t="n">
        <v>15</v>
      </c>
      <c r="I196" s="11" t="s">
        <v>69</v>
      </c>
      <c r="J196" s="11" t="s">
        <v>112</v>
      </c>
      <c r="K196" s="11" t="s">
        <v>113</v>
      </c>
      <c r="L196" s="11" t="s">
        <v>82</v>
      </c>
      <c r="M196" s="11" t="s">
        <v>157</v>
      </c>
      <c r="N196" s="11" t="s">
        <v>149</v>
      </c>
      <c r="O196" s="11" t="s">
        <v>150</v>
      </c>
      <c r="P196" s="11" t="s">
        <v>151</v>
      </c>
      <c r="Q196" s="13" t="n">
        <f aca="false">F196*H196</f>
        <v>42793455</v>
      </c>
      <c r="R196" s="13" t="n">
        <f aca="false">G196*H196</f>
        <v>36750000</v>
      </c>
      <c r="S196" s="13" t="n">
        <f aca="false">Q196-R196</f>
        <v>6043455</v>
      </c>
      <c r="T196" s="14" t="n">
        <f aca="false">IFERROR(S196/Q196,0)</f>
        <v>0.141223815651249</v>
      </c>
      <c r="U196" s="15" t="str">
        <f aca="false">TEXT(A196,"yyyy-mm")</f>
        <v>2022-03</v>
      </c>
    </row>
    <row r="197" customFormat="false" ht="15" hidden="false" customHeight="false" outlineLevel="0" collapsed="false">
      <c r="A197" s="10" t="n">
        <v>44632</v>
      </c>
      <c r="B197" s="11" t="s">
        <v>329</v>
      </c>
      <c r="C197" s="11" t="s">
        <v>132</v>
      </c>
      <c r="D197" s="11" t="s">
        <v>118</v>
      </c>
      <c r="E197" s="11" t="s">
        <v>68</v>
      </c>
      <c r="F197" s="12" t="n">
        <v>4803603</v>
      </c>
      <c r="G197" s="12" t="n">
        <v>4121000</v>
      </c>
      <c r="H197" s="11" t="n">
        <v>2</v>
      </c>
      <c r="I197" s="11" t="s">
        <v>69</v>
      </c>
      <c r="J197" s="11" t="s">
        <v>80</v>
      </c>
      <c r="K197" s="11" t="s">
        <v>81</v>
      </c>
      <c r="L197" s="11" t="s">
        <v>82</v>
      </c>
      <c r="M197" s="11" t="s">
        <v>73</v>
      </c>
      <c r="N197" s="11" t="s">
        <v>143</v>
      </c>
      <c r="O197" s="11" t="s">
        <v>144</v>
      </c>
      <c r="P197" s="11" t="s">
        <v>101</v>
      </c>
      <c r="Q197" s="13" t="n">
        <f aca="false">F197*H197</f>
        <v>9607206</v>
      </c>
      <c r="R197" s="13" t="n">
        <f aca="false">G197*H197</f>
        <v>8242000</v>
      </c>
      <c r="S197" s="13" t="n">
        <f aca="false">Q197-R197</f>
        <v>1365206</v>
      </c>
      <c r="T197" s="14" t="n">
        <f aca="false">IFERROR(S197/Q197,0)</f>
        <v>0.142102292799801</v>
      </c>
      <c r="U197" s="15" t="str">
        <f aca="false">TEXT(A197,"yyyy-mm")</f>
        <v>2022-03</v>
      </c>
    </row>
    <row r="198" customFormat="false" ht="15" hidden="false" customHeight="false" outlineLevel="0" collapsed="false">
      <c r="A198" s="10" t="n">
        <v>44632</v>
      </c>
      <c r="B198" s="11" t="s">
        <v>330</v>
      </c>
      <c r="C198" s="11" t="s">
        <v>135</v>
      </c>
      <c r="D198" s="11" t="s">
        <v>118</v>
      </c>
      <c r="E198" s="11" t="s">
        <v>68</v>
      </c>
      <c r="F198" s="12" t="n">
        <v>5689947</v>
      </c>
      <c r="G198" s="12" t="n">
        <v>5235000</v>
      </c>
      <c r="H198" s="11" t="n">
        <v>24</v>
      </c>
      <c r="I198" s="11" t="s">
        <v>69</v>
      </c>
      <c r="J198" s="11" t="s">
        <v>80</v>
      </c>
      <c r="K198" s="11" t="s">
        <v>81</v>
      </c>
      <c r="L198" s="11" t="s">
        <v>82</v>
      </c>
      <c r="M198" s="11" t="s">
        <v>73</v>
      </c>
      <c r="N198" s="11" t="s">
        <v>74</v>
      </c>
      <c r="O198" s="11" t="s">
        <v>75</v>
      </c>
      <c r="P198" s="11" t="s">
        <v>76</v>
      </c>
      <c r="Q198" s="13" t="n">
        <f aca="false">F198*H198</f>
        <v>136558728</v>
      </c>
      <c r="R198" s="13" t="n">
        <f aca="false">G198*H198</f>
        <v>125640000</v>
      </c>
      <c r="S198" s="13" t="n">
        <f aca="false">Q198-R198</f>
        <v>10918728</v>
      </c>
      <c r="T198" s="14" t="n">
        <f aca="false">IFERROR(S198/Q198,0)</f>
        <v>0.0799562807878527</v>
      </c>
      <c r="U198" s="15" t="str">
        <f aca="false">TEXT(A198,"yyyy-mm")</f>
        <v>2022-03</v>
      </c>
    </row>
    <row r="199" customFormat="false" ht="15" hidden="false" customHeight="false" outlineLevel="0" collapsed="false">
      <c r="A199" s="10" t="n">
        <v>44632</v>
      </c>
      <c r="B199" s="11" t="s">
        <v>331</v>
      </c>
      <c r="C199" s="11" t="s">
        <v>137</v>
      </c>
      <c r="D199" s="11" t="s">
        <v>138</v>
      </c>
      <c r="E199" s="11" t="s">
        <v>139</v>
      </c>
      <c r="F199" s="12" t="n">
        <v>5171827</v>
      </c>
      <c r="G199" s="12" t="n">
        <v>4890000</v>
      </c>
      <c r="H199" s="11" t="n">
        <v>19</v>
      </c>
      <c r="I199" s="11" t="s">
        <v>69</v>
      </c>
      <c r="J199" s="11" t="s">
        <v>112</v>
      </c>
      <c r="K199" s="11" t="s">
        <v>113</v>
      </c>
      <c r="L199" s="11" t="s">
        <v>82</v>
      </c>
      <c r="M199" s="11" t="s">
        <v>157</v>
      </c>
      <c r="N199" s="11" t="s">
        <v>149</v>
      </c>
      <c r="O199" s="11" t="s">
        <v>150</v>
      </c>
      <c r="P199" s="11" t="s">
        <v>151</v>
      </c>
      <c r="Q199" s="13" t="n">
        <f aca="false">F199*H199</f>
        <v>98264713</v>
      </c>
      <c r="R199" s="13" t="n">
        <f aca="false">G199*H199</f>
        <v>92910000</v>
      </c>
      <c r="S199" s="13" t="n">
        <f aca="false">Q199-R199</f>
        <v>5354713</v>
      </c>
      <c r="T199" s="14" t="n">
        <f aca="false">IFERROR(S199/Q199,0)</f>
        <v>0.0544927353525166</v>
      </c>
      <c r="U199" s="15" t="str">
        <f aca="false">TEXT(A199,"yyyy-mm")</f>
        <v>2022-03</v>
      </c>
    </row>
    <row r="200" customFormat="false" ht="15" hidden="false" customHeight="false" outlineLevel="0" collapsed="false">
      <c r="A200" s="10" t="n">
        <v>44632</v>
      </c>
      <c r="B200" s="11" t="s">
        <v>332</v>
      </c>
      <c r="C200" s="11" t="s">
        <v>141</v>
      </c>
      <c r="D200" s="11" t="s">
        <v>138</v>
      </c>
      <c r="E200" s="11" t="s">
        <v>142</v>
      </c>
      <c r="F200" s="12" t="n">
        <v>2805124</v>
      </c>
      <c r="G200" s="12" t="n">
        <v>2178000</v>
      </c>
      <c r="H200" s="11" t="n">
        <v>26</v>
      </c>
      <c r="I200" s="11" t="s">
        <v>69</v>
      </c>
      <c r="J200" s="11" t="s">
        <v>70</v>
      </c>
      <c r="K200" s="11" t="s">
        <v>71</v>
      </c>
      <c r="L200" s="11" t="s">
        <v>72</v>
      </c>
      <c r="M200" s="11" t="s">
        <v>73</v>
      </c>
      <c r="N200" s="11" t="s">
        <v>99</v>
      </c>
      <c r="O200" s="11" t="s">
        <v>100</v>
      </c>
      <c r="P200" s="11" t="s">
        <v>101</v>
      </c>
      <c r="Q200" s="13" t="n">
        <f aca="false">F200*H200</f>
        <v>72933224</v>
      </c>
      <c r="R200" s="13" t="n">
        <f aca="false">G200*H200</f>
        <v>56628000</v>
      </c>
      <c r="S200" s="13" t="n">
        <f aca="false">Q200-R200</f>
        <v>16305224</v>
      </c>
      <c r="T200" s="14" t="n">
        <f aca="false">IFERROR(S200/Q200,0)</f>
        <v>0.22356373550688</v>
      </c>
      <c r="U200" s="15" t="str">
        <f aca="false">TEXT(A200,"yyyy-mm")</f>
        <v>2022-03</v>
      </c>
    </row>
    <row r="201" customFormat="false" ht="15" hidden="false" customHeight="false" outlineLevel="0" collapsed="false">
      <c r="A201" s="10" t="n">
        <v>44633</v>
      </c>
      <c r="B201" s="11" t="s">
        <v>333</v>
      </c>
      <c r="C201" s="11" t="s">
        <v>146</v>
      </c>
      <c r="D201" s="11" t="s">
        <v>138</v>
      </c>
      <c r="E201" s="11" t="s">
        <v>139</v>
      </c>
      <c r="F201" s="12" t="n">
        <v>2728100</v>
      </c>
      <c r="G201" s="12" t="n">
        <v>2321000</v>
      </c>
      <c r="H201" s="11" t="n">
        <v>26</v>
      </c>
      <c r="I201" s="11" t="s">
        <v>86</v>
      </c>
      <c r="J201" s="11" t="s">
        <v>87</v>
      </c>
      <c r="K201" s="11" t="s">
        <v>88</v>
      </c>
      <c r="L201" s="11" t="s">
        <v>89</v>
      </c>
      <c r="M201" s="11" t="s">
        <v>90</v>
      </c>
      <c r="N201" s="11" t="s">
        <v>143</v>
      </c>
      <c r="O201" s="11" t="s">
        <v>144</v>
      </c>
      <c r="P201" s="11" t="s">
        <v>101</v>
      </c>
      <c r="Q201" s="13" t="n">
        <f aca="false">F201*H201</f>
        <v>70930600</v>
      </c>
      <c r="R201" s="13" t="n">
        <f aca="false">G201*H201</f>
        <v>60346000</v>
      </c>
      <c r="S201" s="13" t="n">
        <f aca="false">Q201-R201</f>
        <v>10584600</v>
      </c>
      <c r="T201" s="14" t="n">
        <f aca="false">IFERROR(S201/Q201,0)</f>
        <v>0.149224735163667</v>
      </c>
      <c r="U201" s="15" t="str">
        <f aca="false">TEXT(A201,"yyyy-mm")</f>
        <v>2022-03</v>
      </c>
    </row>
    <row r="202" customFormat="false" ht="15" hidden="false" customHeight="false" outlineLevel="0" collapsed="false">
      <c r="A202" s="10" t="n">
        <v>44633</v>
      </c>
      <c r="B202" s="11" t="s">
        <v>334</v>
      </c>
      <c r="C202" s="11" t="s">
        <v>148</v>
      </c>
      <c r="D202" s="11" t="s">
        <v>138</v>
      </c>
      <c r="E202" s="11" t="s">
        <v>122</v>
      </c>
      <c r="F202" s="12" t="n">
        <v>4941716</v>
      </c>
      <c r="G202" s="12" t="n">
        <v>4456000</v>
      </c>
      <c r="H202" s="11" t="n">
        <v>20</v>
      </c>
      <c r="I202" s="11" t="s">
        <v>69</v>
      </c>
      <c r="J202" s="11" t="s">
        <v>112</v>
      </c>
      <c r="K202" s="11" t="s">
        <v>113</v>
      </c>
      <c r="L202" s="11" t="s">
        <v>82</v>
      </c>
      <c r="M202" s="11" t="s">
        <v>157</v>
      </c>
      <c r="N202" s="11" t="s">
        <v>143</v>
      </c>
      <c r="O202" s="11" t="s">
        <v>144</v>
      </c>
      <c r="P202" s="11" t="s">
        <v>101</v>
      </c>
      <c r="Q202" s="13" t="n">
        <f aca="false">F202*H202</f>
        <v>98834320</v>
      </c>
      <c r="R202" s="13" t="n">
        <f aca="false">G202*H202</f>
        <v>89120000</v>
      </c>
      <c r="S202" s="13" t="n">
        <f aca="false">Q202-R202</f>
        <v>9714320</v>
      </c>
      <c r="T202" s="14" t="n">
        <f aca="false">IFERROR(S202/Q202,0)</f>
        <v>0.0982889344511097</v>
      </c>
      <c r="U202" s="15" t="str">
        <f aca="false">TEXT(A202,"yyyy-mm")</f>
        <v>2022-03</v>
      </c>
    </row>
    <row r="203" customFormat="false" ht="15" hidden="false" customHeight="false" outlineLevel="0" collapsed="false">
      <c r="A203" s="10" t="n">
        <v>44634</v>
      </c>
      <c r="B203" s="11" t="s">
        <v>335</v>
      </c>
      <c r="C203" s="11" t="s">
        <v>66</v>
      </c>
      <c r="D203" s="11" t="s">
        <v>67</v>
      </c>
      <c r="E203" s="11" t="s">
        <v>68</v>
      </c>
      <c r="F203" s="12" t="n">
        <v>3048952</v>
      </c>
      <c r="G203" s="12" t="n">
        <v>2560000</v>
      </c>
      <c r="H203" s="11" t="n">
        <v>6</v>
      </c>
      <c r="I203" s="11" t="s">
        <v>69</v>
      </c>
      <c r="J203" s="11" t="s">
        <v>80</v>
      </c>
      <c r="K203" s="11" t="s">
        <v>81</v>
      </c>
      <c r="L203" s="11" t="s">
        <v>82</v>
      </c>
      <c r="M203" s="11" t="s">
        <v>73</v>
      </c>
      <c r="N203" s="11" t="s">
        <v>74</v>
      </c>
      <c r="O203" s="11" t="s">
        <v>75</v>
      </c>
      <c r="P203" s="11" t="s">
        <v>76</v>
      </c>
      <c r="Q203" s="13" t="n">
        <f aca="false">F203*H203</f>
        <v>18293712</v>
      </c>
      <c r="R203" s="13" t="n">
        <f aca="false">G203*H203</f>
        <v>15360000</v>
      </c>
      <c r="S203" s="13" t="n">
        <f aca="false">Q203-R203</f>
        <v>2933712</v>
      </c>
      <c r="T203" s="14" t="n">
        <f aca="false">IFERROR(S203/Q203,0)</f>
        <v>0.160367234380863</v>
      </c>
      <c r="U203" s="15" t="str">
        <f aca="false">TEXT(A203,"yyyy-mm")</f>
        <v>2022-03</v>
      </c>
    </row>
    <row r="204" customFormat="false" ht="15" hidden="false" customHeight="false" outlineLevel="0" collapsed="false">
      <c r="A204" s="10" t="n">
        <v>44634</v>
      </c>
      <c r="B204" s="11" t="s">
        <v>336</v>
      </c>
      <c r="C204" s="11" t="s">
        <v>78</v>
      </c>
      <c r="D204" s="11" t="s">
        <v>67</v>
      </c>
      <c r="E204" s="11" t="s">
        <v>79</v>
      </c>
      <c r="F204" s="12" t="n">
        <v>1870000</v>
      </c>
      <c r="G204" s="12" t="n">
        <v>1650000</v>
      </c>
      <c r="H204" s="11" t="n">
        <v>22</v>
      </c>
      <c r="I204" s="11" t="s">
        <v>86</v>
      </c>
      <c r="J204" s="11" t="s">
        <v>87</v>
      </c>
      <c r="K204" s="11" t="s">
        <v>88</v>
      </c>
      <c r="L204" s="11" t="s">
        <v>89</v>
      </c>
      <c r="M204" s="11" t="s">
        <v>90</v>
      </c>
      <c r="N204" s="11" t="s">
        <v>149</v>
      </c>
      <c r="O204" s="11" t="s">
        <v>150</v>
      </c>
      <c r="P204" s="11" t="s">
        <v>151</v>
      </c>
      <c r="Q204" s="13" t="n">
        <f aca="false">F204*H204</f>
        <v>41140000</v>
      </c>
      <c r="R204" s="13" t="n">
        <f aca="false">G204*H204</f>
        <v>36300000</v>
      </c>
      <c r="S204" s="13" t="n">
        <f aca="false">Q204-R204</f>
        <v>4840000</v>
      </c>
      <c r="T204" s="14" t="n">
        <f aca="false">IFERROR(S204/Q204,0)</f>
        <v>0.117647058823529</v>
      </c>
      <c r="U204" s="15" t="str">
        <f aca="false">TEXT(A204,"yyyy-mm")</f>
        <v>2022-03</v>
      </c>
    </row>
    <row r="205" customFormat="false" ht="15" hidden="false" customHeight="false" outlineLevel="0" collapsed="false">
      <c r="A205" s="10" t="n">
        <v>44635</v>
      </c>
      <c r="B205" s="11" t="s">
        <v>337</v>
      </c>
      <c r="C205" s="11" t="s">
        <v>84</v>
      </c>
      <c r="D205" s="11" t="s">
        <v>67</v>
      </c>
      <c r="E205" s="11" t="s">
        <v>85</v>
      </c>
      <c r="F205" s="12" t="n">
        <v>2600000</v>
      </c>
      <c r="G205" s="12" t="n">
        <v>2300000</v>
      </c>
      <c r="H205" s="11" t="n">
        <v>18</v>
      </c>
      <c r="I205" s="11" t="s">
        <v>69</v>
      </c>
      <c r="J205" s="11" t="s">
        <v>80</v>
      </c>
      <c r="K205" s="11" t="s">
        <v>81</v>
      </c>
      <c r="L205" s="11" t="s">
        <v>82</v>
      </c>
      <c r="M205" s="11" t="s">
        <v>73</v>
      </c>
      <c r="N205" s="11" t="s">
        <v>133</v>
      </c>
      <c r="O205" s="11" t="s">
        <v>60</v>
      </c>
      <c r="P205" s="11" t="s">
        <v>76</v>
      </c>
      <c r="Q205" s="13" t="n">
        <f aca="false">F205*H205</f>
        <v>46800000</v>
      </c>
      <c r="R205" s="13" t="n">
        <f aca="false">G205*H205</f>
        <v>41400000</v>
      </c>
      <c r="S205" s="13" t="n">
        <f aca="false">Q205-R205</f>
        <v>5400000</v>
      </c>
      <c r="T205" s="14" t="n">
        <f aca="false">IFERROR(S205/Q205,0)</f>
        <v>0.115384615384615</v>
      </c>
      <c r="U205" s="15" t="str">
        <f aca="false">TEXT(A205,"yyyy-mm")</f>
        <v>2022-03</v>
      </c>
    </row>
    <row r="206" customFormat="false" ht="15" hidden="false" customHeight="false" outlineLevel="0" collapsed="false">
      <c r="A206" s="10" t="n">
        <v>44635</v>
      </c>
      <c r="B206" s="11" t="s">
        <v>338</v>
      </c>
      <c r="C206" s="11" t="s">
        <v>92</v>
      </c>
      <c r="D206" s="11" t="s">
        <v>67</v>
      </c>
      <c r="E206" s="11" t="s">
        <v>79</v>
      </c>
      <c r="F206" s="12" t="n">
        <v>3577480</v>
      </c>
      <c r="G206" s="12" t="n">
        <v>3100000</v>
      </c>
      <c r="H206" s="11" t="n">
        <v>29</v>
      </c>
      <c r="I206" s="11" t="s">
        <v>69</v>
      </c>
      <c r="J206" s="11" t="s">
        <v>80</v>
      </c>
      <c r="K206" s="11" t="s">
        <v>81</v>
      </c>
      <c r="L206" s="11" t="s">
        <v>82</v>
      </c>
      <c r="M206" s="11" t="s">
        <v>73</v>
      </c>
      <c r="N206" s="11" t="s">
        <v>93</v>
      </c>
      <c r="O206" s="11" t="s">
        <v>94</v>
      </c>
      <c r="P206" s="11" t="s">
        <v>95</v>
      </c>
      <c r="Q206" s="13" t="n">
        <f aca="false">F206*H206</f>
        <v>103746920</v>
      </c>
      <c r="R206" s="13" t="n">
        <f aca="false">G206*H206</f>
        <v>89900000</v>
      </c>
      <c r="S206" s="13" t="n">
        <f aca="false">Q206-R206</f>
        <v>13846920</v>
      </c>
      <c r="T206" s="14" t="n">
        <f aca="false">IFERROR(S206/Q206,0)</f>
        <v>0.133468251394837</v>
      </c>
      <c r="U206" s="15" t="str">
        <f aca="false">TEXT(A206,"yyyy-mm")</f>
        <v>2022-03</v>
      </c>
    </row>
    <row r="207" customFormat="false" ht="15" hidden="false" customHeight="false" outlineLevel="0" collapsed="false">
      <c r="A207" s="10" t="n">
        <v>44636</v>
      </c>
      <c r="B207" s="11" t="s">
        <v>339</v>
      </c>
      <c r="C207" s="11" t="s">
        <v>97</v>
      </c>
      <c r="D207" s="11" t="s">
        <v>67</v>
      </c>
      <c r="E207" s="11" t="s">
        <v>98</v>
      </c>
      <c r="F207" s="12" t="n">
        <v>4969724</v>
      </c>
      <c r="G207" s="12" t="n">
        <v>4121560</v>
      </c>
      <c r="H207" s="11" t="n">
        <v>2</v>
      </c>
      <c r="I207" s="11" t="s">
        <v>69</v>
      </c>
      <c r="J207" s="11" t="s">
        <v>80</v>
      </c>
      <c r="K207" s="11" t="s">
        <v>81</v>
      </c>
      <c r="L207" s="11" t="s">
        <v>82</v>
      </c>
      <c r="M207" s="11" t="s">
        <v>73</v>
      </c>
      <c r="N207" s="11" t="s">
        <v>93</v>
      </c>
      <c r="O207" s="11" t="s">
        <v>94</v>
      </c>
      <c r="P207" s="11" t="s">
        <v>95</v>
      </c>
      <c r="Q207" s="13" t="n">
        <f aca="false">F207*H207</f>
        <v>9939448</v>
      </c>
      <c r="R207" s="13" t="n">
        <f aca="false">G207*H207</f>
        <v>8243120</v>
      </c>
      <c r="S207" s="13" t="n">
        <f aca="false">Q207-R207</f>
        <v>1696328</v>
      </c>
      <c r="T207" s="14" t="n">
        <f aca="false">IFERROR(S207/Q207,0)</f>
        <v>0.170666218083741</v>
      </c>
      <c r="U207" s="15" t="str">
        <f aca="false">TEXT(A207,"yyyy-mm")</f>
        <v>2022-03</v>
      </c>
    </row>
    <row r="208" customFormat="false" ht="15" hidden="false" customHeight="false" outlineLevel="0" collapsed="false">
      <c r="A208" s="10" t="n">
        <v>44636</v>
      </c>
      <c r="B208" s="11" t="s">
        <v>340</v>
      </c>
      <c r="C208" s="11" t="s">
        <v>103</v>
      </c>
      <c r="D208" s="11" t="s">
        <v>67</v>
      </c>
      <c r="E208" s="11" t="s">
        <v>68</v>
      </c>
      <c r="F208" s="12" t="n">
        <v>3319925</v>
      </c>
      <c r="G208" s="12" t="n">
        <v>2800000</v>
      </c>
      <c r="H208" s="11" t="n">
        <v>10</v>
      </c>
      <c r="I208" s="11" t="s">
        <v>69</v>
      </c>
      <c r="J208" s="11" t="s">
        <v>70</v>
      </c>
      <c r="K208" s="11" t="s">
        <v>71</v>
      </c>
      <c r="L208" s="11" t="s">
        <v>72</v>
      </c>
      <c r="M208" s="11" t="s">
        <v>73</v>
      </c>
      <c r="N208" s="11" t="s">
        <v>104</v>
      </c>
      <c r="O208" s="11" t="s">
        <v>105</v>
      </c>
      <c r="P208" s="11" t="s">
        <v>106</v>
      </c>
      <c r="Q208" s="13" t="n">
        <f aca="false">F208*H208</f>
        <v>33199250</v>
      </c>
      <c r="R208" s="13" t="n">
        <f aca="false">G208*H208</f>
        <v>28000000</v>
      </c>
      <c r="S208" s="13" t="n">
        <f aca="false">Q208-R208</f>
        <v>5199250</v>
      </c>
      <c r="T208" s="14" t="n">
        <f aca="false">IFERROR(S208/Q208,0)</f>
        <v>0.15660745348163</v>
      </c>
      <c r="U208" s="15" t="str">
        <f aca="false">TEXT(A208,"yyyy-mm")</f>
        <v>2022-03</v>
      </c>
    </row>
    <row r="209" customFormat="false" ht="15" hidden="false" customHeight="false" outlineLevel="0" collapsed="false">
      <c r="A209" s="10" t="n">
        <v>44636</v>
      </c>
      <c r="B209" s="11" t="s">
        <v>341</v>
      </c>
      <c r="C209" s="11" t="s">
        <v>108</v>
      </c>
      <c r="D209" s="11" t="s">
        <v>67</v>
      </c>
      <c r="E209" s="11" t="s">
        <v>68</v>
      </c>
      <c r="F209" s="12" t="n">
        <v>4757880</v>
      </c>
      <c r="G209" s="12" t="n">
        <v>3450000</v>
      </c>
      <c r="H209" s="11" t="n">
        <v>12</v>
      </c>
      <c r="I209" s="11" t="s">
        <v>69</v>
      </c>
      <c r="J209" s="11" t="s">
        <v>80</v>
      </c>
      <c r="K209" s="11" t="s">
        <v>81</v>
      </c>
      <c r="L209" s="11" t="s">
        <v>82</v>
      </c>
      <c r="M209" s="11" t="s">
        <v>73</v>
      </c>
      <c r="N209" s="11" t="s">
        <v>133</v>
      </c>
      <c r="O209" s="11" t="s">
        <v>60</v>
      </c>
      <c r="P209" s="11" t="s">
        <v>76</v>
      </c>
      <c r="Q209" s="13" t="n">
        <f aca="false">F209*H209</f>
        <v>57094560</v>
      </c>
      <c r="R209" s="13" t="n">
        <f aca="false">G209*H209</f>
        <v>41400000</v>
      </c>
      <c r="S209" s="13" t="n">
        <f aca="false">Q209-R209</f>
        <v>15694560</v>
      </c>
      <c r="T209" s="14" t="n">
        <f aca="false">IFERROR(S209/Q209,0)</f>
        <v>0.274887134606169</v>
      </c>
      <c r="U209" s="15" t="str">
        <f aca="false">TEXT(A209,"yyyy-mm")</f>
        <v>2022-03</v>
      </c>
    </row>
    <row r="210" customFormat="false" ht="15" hidden="false" customHeight="false" outlineLevel="0" collapsed="false">
      <c r="A210" s="10" t="n">
        <v>44637</v>
      </c>
      <c r="B210" s="11" t="s">
        <v>342</v>
      </c>
      <c r="C210" s="11" t="s">
        <v>111</v>
      </c>
      <c r="D210" s="11" t="s">
        <v>67</v>
      </c>
      <c r="E210" s="11" t="s">
        <v>79</v>
      </c>
      <c r="F210" s="12" t="n">
        <v>3545808</v>
      </c>
      <c r="G210" s="12" t="n">
        <v>3350000</v>
      </c>
      <c r="H210" s="11" t="n">
        <v>13</v>
      </c>
      <c r="I210" s="11" t="s">
        <v>69</v>
      </c>
      <c r="J210" s="11" t="s">
        <v>80</v>
      </c>
      <c r="K210" s="11" t="s">
        <v>81</v>
      </c>
      <c r="L210" s="11" t="s">
        <v>82</v>
      </c>
      <c r="M210" s="11" t="s">
        <v>73</v>
      </c>
      <c r="N210" s="11" t="s">
        <v>123</v>
      </c>
      <c r="O210" s="11" t="s">
        <v>60</v>
      </c>
      <c r="P210" s="11" t="s">
        <v>106</v>
      </c>
      <c r="Q210" s="13" t="n">
        <f aca="false">F210*H210</f>
        <v>46095504</v>
      </c>
      <c r="R210" s="13" t="n">
        <f aca="false">G210*H210</f>
        <v>43550000</v>
      </c>
      <c r="S210" s="13" t="n">
        <f aca="false">Q210-R210</f>
        <v>2545504</v>
      </c>
      <c r="T210" s="14" t="n">
        <f aca="false">IFERROR(S210/Q210,0)</f>
        <v>0.0552223921881839</v>
      </c>
      <c r="U210" s="15" t="str">
        <f aca="false">TEXT(A210,"yyyy-mm")</f>
        <v>2022-03</v>
      </c>
    </row>
    <row r="211" customFormat="false" ht="15" hidden="false" customHeight="false" outlineLevel="0" collapsed="false">
      <c r="A211" s="10" t="n">
        <v>44637</v>
      </c>
      <c r="B211" s="11" t="s">
        <v>343</v>
      </c>
      <c r="C211" s="11" t="s">
        <v>115</v>
      </c>
      <c r="D211" s="11" t="s">
        <v>67</v>
      </c>
      <c r="E211" s="11" t="s">
        <v>98</v>
      </c>
      <c r="F211" s="12" t="n">
        <v>4200743</v>
      </c>
      <c r="G211" s="12" t="n">
        <v>4101000</v>
      </c>
      <c r="H211" s="11" t="n">
        <v>8</v>
      </c>
      <c r="I211" s="11" t="s">
        <v>69</v>
      </c>
      <c r="J211" s="11" t="s">
        <v>80</v>
      </c>
      <c r="K211" s="11" t="s">
        <v>81</v>
      </c>
      <c r="L211" s="11" t="s">
        <v>82</v>
      </c>
      <c r="M211" s="11" t="s">
        <v>73</v>
      </c>
      <c r="N211" s="11" t="s">
        <v>133</v>
      </c>
      <c r="O211" s="11" t="s">
        <v>60</v>
      </c>
      <c r="P211" s="11" t="s">
        <v>76</v>
      </c>
      <c r="Q211" s="13" t="n">
        <f aca="false">F211*H211</f>
        <v>33605944</v>
      </c>
      <c r="R211" s="13" t="n">
        <f aca="false">G211*H211</f>
        <v>32808000</v>
      </c>
      <c r="S211" s="13" t="n">
        <f aca="false">Q211-R211</f>
        <v>797944</v>
      </c>
      <c r="T211" s="14" t="n">
        <f aca="false">IFERROR(S211/Q211,0)</f>
        <v>0.023744132883159</v>
      </c>
      <c r="U211" s="15" t="str">
        <f aca="false">TEXT(A211,"yyyy-mm")</f>
        <v>2022-03</v>
      </c>
    </row>
    <row r="212" customFormat="false" ht="15" hidden="false" customHeight="false" outlineLevel="0" collapsed="false">
      <c r="A212" s="10" t="n">
        <v>44637</v>
      </c>
      <c r="B212" s="11" t="s">
        <v>344</v>
      </c>
      <c r="C212" s="11" t="s">
        <v>117</v>
      </c>
      <c r="D212" s="11" t="s">
        <v>118</v>
      </c>
      <c r="E212" s="11" t="s">
        <v>119</v>
      </c>
      <c r="F212" s="12" t="n">
        <v>8220549</v>
      </c>
      <c r="G212" s="12" t="n">
        <v>6500000</v>
      </c>
      <c r="H212" s="11" t="n">
        <v>8</v>
      </c>
      <c r="I212" s="11" t="s">
        <v>86</v>
      </c>
      <c r="J212" s="11" t="s">
        <v>87</v>
      </c>
      <c r="K212" s="11" t="s">
        <v>88</v>
      </c>
      <c r="L212" s="11" t="s">
        <v>89</v>
      </c>
      <c r="M212" s="11" t="s">
        <v>90</v>
      </c>
      <c r="N212" s="11" t="s">
        <v>133</v>
      </c>
      <c r="O212" s="11" t="s">
        <v>60</v>
      </c>
      <c r="P212" s="11" t="s">
        <v>76</v>
      </c>
      <c r="Q212" s="13" t="n">
        <f aca="false">F212*H212</f>
        <v>65764392</v>
      </c>
      <c r="R212" s="13" t="n">
        <f aca="false">G212*H212</f>
        <v>52000000</v>
      </c>
      <c r="S212" s="13" t="n">
        <f aca="false">Q212-R212</f>
        <v>13764392</v>
      </c>
      <c r="T212" s="14" t="n">
        <f aca="false">IFERROR(S212/Q212,0)</f>
        <v>0.209298551714733</v>
      </c>
      <c r="U212" s="15" t="str">
        <f aca="false">TEXT(A212,"yyyy-mm")</f>
        <v>2022-03</v>
      </c>
    </row>
    <row r="213" customFormat="false" ht="15" hidden="false" customHeight="false" outlineLevel="0" collapsed="false">
      <c r="A213" s="10" t="n">
        <v>44637</v>
      </c>
      <c r="B213" s="11" t="s">
        <v>345</v>
      </c>
      <c r="C213" s="11" t="s">
        <v>121</v>
      </c>
      <c r="D213" s="11" t="s">
        <v>118</v>
      </c>
      <c r="E213" s="11" t="s">
        <v>122</v>
      </c>
      <c r="F213" s="12" t="n">
        <v>7687274</v>
      </c>
      <c r="G213" s="12" t="n">
        <v>6500000</v>
      </c>
      <c r="H213" s="11" t="n">
        <v>14</v>
      </c>
      <c r="I213" s="11" t="s">
        <v>86</v>
      </c>
      <c r="J213" s="11" t="s">
        <v>87</v>
      </c>
      <c r="K213" s="11" t="s">
        <v>88</v>
      </c>
      <c r="L213" s="11" t="s">
        <v>89</v>
      </c>
      <c r="M213" s="11" t="s">
        <v>90</v>
      </c>
      <c r="N213" s="11" t="s">
        <v>123</v>
      </c>
      <c r="O213" s="11" t="s">
        <v>60</v>
      </c>
      <c r="P213" s="11" t="s">
        <v>106</v>
      </c>
      <c r="Q213" s="13" t="n">
        <f aca="false">F213*H213</f>
        <v>107621836</v>
      </c>
      <c r="R213" s="13" t="n">
        <f aca="false">G213*H213</f>
        <v>91000000</v>
      </c>
      <c r="S213" s="13" t="n">
        <f aca="false">Q213-R213</f>
        <v>16621836</v>
      </c>
      <c r="T213" s="14" t="n">
        <f aca="false">IFERROR(S213/Q213,0)</f>
        <v>0.154446686822923</v>
      </c>
      <c r="U213" s="15" t="str">
        <f aca="false">TEXT(A213,"yyyy-mm")</f>
        <v>2022-03</v>
      </c>
    </row>
    <row r="214" customFormat="false" ht="15" hidden="false" customHeight="false" outlineLevel="0" collapsed="false">
      <c r="A214" s="10" t="n">
        <v>44638</v>
      </c>
      <c r="B214" s="11" t="s">
        <v>346</v>
      </c>
      <c r="C214" s="11" t="s">
        <v>125</v>
      </c>
      <c r="D214" s="11" t="s">
        <v>118</v>
      </c>
      <c r="E214" s="11" t="s">
        <v>126</v>
      </c>
      <c r="F214" s="12" t="n">
        <v>5684211</v>
      </c>
      <c r="G214" s="12" t="n">
        <v>4300000</v>
      </c>
      <c r="H214" s="11" t="n">
        <v>6</v>
      </c>
      <c r="I214" s="11" t="s">
        <v>69</v>
      </c>
      <c r="J214" s="11" t="s">
        <v>80</v>
      </c>
      <c r="K214" s="11" t="s">
        <v>81</v>
      </c>
      <c r="L214" s="11" t="s">
        <v>82</v>
      </c>
      <c r="M214" s="11" t="s">
        <v>73</v>
      </c>
      <c r="N214" s="11" t="s">
        <v>123</v>
      </c>
      <c r="O214" s="11" t="s">
        <v>60</v>
      </c>
      <c r="P214" s="11" t="s">
        <v>106</v>
      </c>
      <c r="Q214" s="13" t="n">
        <f aca="false">F214*H214</f>
        <v>34105266</v>
      </c>
      <c r="R214" s="13" t="n">
        <f aca="false">G214*H214</f>
        <v>25800000</v>
      </c>
      <c r="S214" s="13" t="n">
        <f aca="false">Q214-R214</f>
        <v>8305266</v>
      </c>
      <c r="T214" s="14" t="n">
        <f aca="false">IFERROR(S214/Q214,0)</f>
        <v>0.243518581558637</v>
      </c>
      <c r="U214" s="15" t="str">
        <f aca="false">TEXT(A214,"yyyy-mm")</f>
        <v>2022-03</v>
      </c>
    </row>
    <row r="215" customFormat="false" ht="15" hidden="false" customHeight="false" outlineLevel="0" collapsed="false">
      <c r="A215" s="10" t="n">
        <v>44638</v>
      </c>
      <c r="B215" s="11" t="s">
        <v>347</v>
      </c>
      <c r="C215" s="11" t="s">
        <v>128</v>
      </c>
      <c r="D215" s="11" t="s">
        <v>118</v>
      </c>
      <c r="E215" s="11" t="s">
        <v>119</v>
      </c>
      <c r="F215" s="12" t="n">
        <v>3370302</v>
      </c>
      <c r="G215" s="12" t="n">
        <v>2100000</v>
      </c>
      <c r="H215" s="11" t="n">
        <v>5</v>
      </c>
      <c r="I215" s="11" t="s">
        <v>86</v>
      </c>
      <c r="J215" s="11" t="s">
        <v>87</v>
      </c>
      <c r="K215" s="11" t="s">
        <v>88</v>
      </c>
      <c r="L215" s="11" t="s">
        <v>89</v>
      </c>
      <c r="M215" s="11" t="s">
        <v>90</v>
      </c>
      <c r="N215" s="11" t="s">
        <v>99</v>
      </c>
      <c r="O215" s="11" t="s">
        <v>100</v>
      </c>
      <c r="P215" s="11" t="s">
        <v>101</v>
      </c>
      <c r="Q215" s="13" t="n">
        <f aca="false">F215*H215</f>
        <v>16851510</v>
      </c>
      <c r="R215" s="13" t="n">
        <f aca="false">G215*H215</f>
        <v>10500000</v>
      </c>
      <c r="S215" s="13" t="n">
        <f aca="false">Q215-R215</f>
        <v>6351510</v>
      </c>
      <c r="T215" s="14" t="n">
        <f aca="false">IFERROR(S215/Q215,0)</f>
        <v>0.37691043710623</v>
      </c>
      <c r="U215" s="15" t="str">
        <f aca="false">TEXT(A215,"yyyy-mm")</f>
        <v>2022-03</v>
      </c>
    </row>
    <row r="216" customFormat="false" ht="15" hidden="false" customHeight="false" outlineLevel="0" collapsed="false">
      <c r="A216" s="10" t="n">
        <v>44639</v>
      </c>
      <c r="B216" s="11" t="s">
        <v>348</v>
      </c>
      <c r="C216" s="11" t="s">
        <v>130</v>
      </c>
      <c r="D216" s="11" t="s">
        <v>118</v>
      </c>
      <c r="E216" s="11" t="s">
        <v>68</v>
      </c>
      <c r="F216" s="12" t="n">
        <v>2852897</v>
      </c>
      <c r="G216" s="12" t="n">
        <v>2450000</v>
      </c>
      <c r="H216" s="11" t="n">
        <v>6</v>
      </c>
      <c r="I216" s="11" t="s">
        <v>86</v>
      </c>
      <c r="J216" s="11" t="s">
        <v>87</v>
      </c>
      <c r="K216" s="11" t="s">
        <v>88</v>
      </c>
      <c r="L216" s="11" t="s">
        <v>89</v>
      </c>
      <c r="M216" s="11" t="s">
        <v>90</v>
      </c>
      <c r="N216" s="11" t="s">
        <v>123</v>
      </c>
      <c r="O216" s="11" t="s">
        <v>60</v>
      </c>
      <c r="P216" s="11" t="s">
        <v>106</v>
      </c>
      <c r="Q216" s="13" t="n">
        <f aca="false">F216*H216</f>
        <v>17117382</v>
      </c>
      <c r="R216" s="13" t="n">
        <f aca="false">G216*H216</f>
        <v>14700000</v>
      </c>
      <c r="S216" s="13" t="n">
        <f aca="false">Q216-R216</f>
        <v>2417382</v>
      </c>
      <c r="T216" s="14" t="n">
        <f aca="false">IFERROR(S216/Q216,0)</f>
        <v>0.141223815651249</v>
      </c>
      <c r="U216" s="15" t="str">
        <f aca="false">TEXT(A216,"yyyy-mm")</f>
        <v>2022-03</v>
      </c>
    </row>
    <row r="217" customFormat="false" ht="15" hidden="false" customHeight="false" outlineLevel="0" collapsed="false">
      <c r="A217" s="10" t="n">
        <v>44639</v>
      </c>
      <c r="B217" s="11" t="s">
        <v>349</v>
      </c>
      <c r="C217" s="11" t="s">
        <v>132</v>
      </c>
      <c r="D217" s="11" t="s">
        <v>118</v>
      </c>
      <c r="E217" s="11" t="s">
        <v>68</v>
      </c>
      <c r="F217" s="12" t="n">
        <v>4803603</v>
      </c>
      <c r="G217" s="12" t="n">
        <v>4121000</v>
      </c>
      <c r="H217" s="11" t="n">
        <v>6</v>
      </c>
      <c r="I217" s="11" t="s">
        <v>69</v>
      </c>
      <c r="J217" s="11" t="s">
        <v>80</v>
      </c>
      <c r="K217" s="11" t="s">
        <v>81</v>
      </c>
      <c r="L217" s="11" t="s">
        <v>82</v>
      </c>
      <c r="M217" s="11" t="s">
        <v>73</v>
      </c>
      <c r="N217" s="11" t="s">
        <v>99</v>
      </c>
      <c r="O217" s="11" t="s">
        <v>100</v>
      </c>
      <c r="P217" s="11" t="s">
        <v>101</v>
      </c>
      <c r="Q217" s="13" t="n">
        <f aca="false">F217*H217</f>
        <v>28821618</v>
      </c>
      <c r="R217" s="13" t="n">
        <f aca="false">G217*H217</f>
        <v>24726000</v>
      </c>
      <c r="S217" s="13" t="n">
        <f aca="false">Q217-R217</f>
        <v>4095618</v>
      </c>
      <c r="T217" s="14" t="n">
        <f aca="false">IFERROR(S217/Q217,0)</f>
        <v>0.142102292799801</v>
      </c>
      <c r="U217" s="15" t="str">
        <f aca="false">TEXT(A217,"yyyy-mm")</f>
        <v>2022-03</v>
      </c>
    </row>
    <row r="218" customFormat="false" ht="15" hidden="false" customHeight="false" outlineLevel="0" collapsed="false">
      <c r="A218" s="10" t="n">
        <v>44639</v>
      </c>
      <c r="B218" s="11" t="s">
        <v>350</v>
      </c>
      <c r="C218" s="11" t="s">
        <v>135</v>
      </c>
      <c r="D218" s="11" t="s">
        <v>118</v>
      </c>
      <c r="E218" s="11" t="s">
        <v>68</v>
      </c>
      <c r="F218" s="12" t="n">
        <v>5689947</v>
      </c>
      <c r="G218" s="12" t="n">
        <v>5235000</v>
      </c>
      <c r="H218" s="11" t="n">
        <v>27</v>
      </c>
      <c r="I218" s="11" t="s">
        <v>69</v>
      </c>
      <c r="J218" s="11" t="s">
        <v>112</v>
      </c>
      <c r="K218" s="11" t="s">
        <v>113</v>
      </c>
      <c r="L218" s="11" t="s">
        <v>82</v>
      </c>
      <c r="M218" s="11" t="s">
        <v>157</v>
      </c>
      <c r="N218" s="11" t="s">
        <v>143</v>
      </c>
      <c r="O218" s="11" t="s">
        <v>144</v>
      </c>
      <c r="P218" s="11" t="s">
        <v>101</v>
      </c>
      <c r="Q218" s="13" t="n">
        <f aca="false">F218*H218</f>
        <v>153628569</v>
      </c>
      <c r="R218" s="13" t="n">
        <f aca="false">G218*H218</f>
        <v>141345000</v>
      </c>
      <c r="S218" s="13" t="n">
        <f aca="false">Q218-R218</f>
        <v>12283569</v>
      </c>
      <c r="T218" s="14" t="n">
        <f aca="false">IFERROR(S218/Q218,0)</f>
        <v>0.0799562807878527</v>
      </c>
      <c r="U218" s="15" t="str">
        <f aca="false">TEXT(A218,"yyyy-mm")</f>
        <v>2022-03</v>
      </c>
    </row>
    <row r="219" customFormat="false" ht="15" hidden="false" customHeight="false" outlineLevel="0" collapsed="false">
      <c r="A219" s="10" t="n">
        <v>44639</v>
      </c>
      <c r="B219" s="11" t="s">
        <v>351</v>
      </c>
      <c r="C219" s="11" t="s">
        <v>137</v>
      </c>
      <c r="D219" s="11" t="s">
        <v>138</v>
      </c>
      <c r="E219" s="11" t="s">
        <v>139</v>
      </c>
      <c r="F219" s="12" t="n">
        <v>5171827</v>
      </c>
      <c r="G219" s="12" t="n">
        <v>4890000</v>
      </c>
      <c r="H219" s="11" t="n">
        <v>16</v>
      </c>
      <c r="I219" s="11" t="s">
        <v>86</v>
      </c>
      <c r="J219" s="11" t="s">
        <v>87</v>
      </c>
      <c r="K219" s="11" t="s">
        <v>88</v>
      </c>
      <c r="L219" s="11" t="s">
        <v>89</v>
      </c>
      <c r="M219" s="11" t="s">
        <v>90</v>
      </c>
      <c r="N219" s="11" t="s">
        <v>173</v>
      </c>
      <c r="O219" s="11" t="s">
        <v>174</v>
      </c>
      <c r="P219" s="11" t="s">
        <v>95</v>
      </c>
      <c r="Q219" s="13" t="n">
        <f aca="false">F219*H219</f>
        <v>82749232</v>
      </c>
      <c r="R219" s="13" t="n">
        <f aca="false">G219*H219</f>
        <v>78240000</v>
      </c>
      <c r="S219" s="13" t="n">
        <f aca="false">Q219-R219</f>
        <v>4509232</v>
      </c>
      <c r="T219" s="14" t="n">
        <f aca="false">IFERROR(S219/Q219,0)</f>
        <v>0.0544927353525166</v>
      </c>
      <c r="U219" s="15" t="str">
        <f aca="false">TEXT(A219,"yyyy-mm")</f>
        <v>2022-03</v>
      </c>
    </row>
    <row r="220" customFormat="false" ht="15" hidden="false" customHeight="false" outlineLevel="0" collapsed="false">
      <c r="A220" s="10" t="n">
        <v>44640</v>
      </c>
      <c r="B220" s="11" t="s">
        <v>352</v>
      </c>
      <c r="C220" s="11" t="s">
        <v>141</v>
      </c>
      <c r="D220" s="11" t="s">
        <v>138</v>
      </c>
      <c r="E220" s="11" t="s">
        <v>142</v>
      </c>
      <c r="F220" s="12" t="n">
        <v>2805124</v>
      </c>
      <c r="G220" s="12" t="n">
        <v>2178000</v>
      </c>
      <c r="H220" s="11" t="n">
        <v>29</v>
      </c>
      <c r="I220" s="11" t="s">
        <v>69</v>
      </c>
      <c r="J220" s="11" t="s">
        <v>80</v>
      </c>
      <c r="K220" s="11" t="s">
        <v>81</v>
      </c>
      <c r="L220" s="11" t="s">
        <v>82</v>
      </c>
      <c r="M220" s="11" t="s">
        <v>73</v>
      </c>
      <c r="N220" s="11" t="s">
        <v>99</v>
      </c>
      <c r="O220" s="11" t="s">
        <v>100</v>
      </c>
      <c r="P220" s="11" t="s">
        <v>101</v>
      </c>
      <c r="Q220" s="13" t="n">
        <f aca="false">F220*H220</f>
        <v>81348596</v>
      </c>
      <c r="R220" s="13" t="n">
        <f aca="false">G220*H220</f>
        <v>63162000</v>
      </c>
      <c r="S220" s="13" t="n">
        <f aca="false">Q220-R220</f>
        <v>18186596</v>
      </c>
      <c r="T220" s="14" t="n">
        <f aca="false">IFERROR(S220/Q220,0)</f>
        <v>0.22356373550688</v>
      </c>
      <c r="U220" s="15" t="str">
        <f aca="false">TEXT(A220,"yyyy-mm")</f>
        <v>2022-03</v>
      </c>
    </row>
    <row r="221" customFormat="false" ht="15" hidden="false" customHeight="false" outlineLevel="0" collapsed="false">
      <c r="A221" s="10" t="n">
        <v>44640</v>
      </c>
      <c r="B221" s="11" t="s">
        <v>353</v>
      </c>
      <c r="C221" s="11" t="s">
        <v>146</v>
      </c>
      <c r="D221" s="11" t="s">
        <v>138</v>
      </c>
      <c r="E221" s="11" t="s">
        <v>139</v>
      </c>
      <c r="F221" s="12" t="n">
        <v>2728100</v>
      </c>
      <c r="G221" s="12" t="n">
        <v>2321000</v>
      </c>
      <c r="H221" s="11" t="n">
        <v>9</v>
      </c>
      <c r="I221" s="11" t="s">
        <v>69</v>
      </c>
      <c r="J221" s="11" t="s">
        <v>112</v>
      </c>
      <c r="K221" s="11" t="s">
        <v>113</v>
      </c>
      <c r="L221" s="11" t="s">
        <v>82</v>
      </c>
      <c r="M221" s="11" t="s">
        <v>157</v>
      </c>
      <c r="N221" s="11" t="s">
        <v>143</v>
      </c>
      <c r="O221" s="11" t="s">
        <v>144</v>
      </c>
      <c r="P221" s="11" t="s">
        <v>101</v>
      </c>
      <c r="Q221" s="13" t="n">
        <f aca="false">F221*H221</f>
        <v>24552900</v>
      </c>
      <c r="R221" s="13" t="n">
        <f aca="false">G221*H221</f>
        <v>20889000</v>
      </c>
      <c r="S221" s="13" t="n">
        <f aca="false">Q221-R221</f>
        <v>3663900</v>
      </c>
      <c r="T221" s="14" t="n">
        <f aca="false">IFERROR(S221/Q221,0)</f>
        <v>0.149224735163667</v>
      </c>
      <c r="U221" s="15" t="str">
        <f aca="false">TEXT(A221,"yyyy-mm")</f>
        <v>2022-03</v>
      </c>
    </row>
    <row r="222" customFormat="false" ht="15" hidden="false" customHeight="false" outlineLevel="0" collapsed="false">
      <c r="A222" s="10" t="n">
        <v>44640</v>
      </c>
      <c r="B222" s="11" t="s">
        <v>354</v>
      </c>
      <c r="C222" s="11" t="s">
        <v>148</v>
      </c>
      <c r="D222" s="11" t="s">
        <v>138</v>
      </c>
      <c r="E222" s="11" t="s">
        <v>122</v>
      </c>
      <c r="F222" s="12" t="n">
        <v>4941716</v>
      </c>
      <c r="G222" s="12" t="n">
        <v>4456000</v>
      </c>
      <c r="H222" s="11" t="n">
        <v>16</v>
      </c>
      <c r="I222" s="11" t="s">
        <v>69</v>
      </c>
      <c r="J222" s="11" t="s">
        <v>70</v>
      </c>
      <c r="K222" s="11" t="s">
        <v>71</v>
      </c>
      <c r="L222" s="11" t="s">
        <v>72</v>
      </c>
      <c r="M222" s="11" t="s">
        <v>73</v>
      </c>
      <c r="N222" s="11" t="s">
        <v>74</v>
      </c>
      <c r="O222" s="11" t="s">
        <v>75</v>
      </c>
      <c r="P222" s="11" t="s">
        <v>76</v>
      </c>
      <c r="Q222" s="13" t="n">
        <f aca="false">F222*H222</f>
        <v>79067456</v>
      </c>
      <c r="R222" s="13" t="n">
        <f aca="false">G222*H222</f>
        <v>71296000</v>
      </c>
      <c r="S222" s="13" t="n">
        <f aca="false">Q222-R222</f>
        <v>7771456</v>
      </c>
      <c r="T222" s="14" t="n">
        <f aca="false">IFERROR(S222/Q222,0)</f>
        <v>0.0982889344511097</v>
      </c>
      <c r="U222" s="15" t="str">
        <f aca="false">TEXT(A222,"yyyy-mm")</f>
        <v>2022-03</v>
      </c>
    </row>
    <row r="223" customFormat="false" ht="15" hidden="false" customHeight="false" outlineLevel="0" collapsed="false">
      <c r="A223" s="10" t="n">
        <v>44640</v>
      </c>
      <c r="B223" s="11" t="s">
        <v>355</v>
      </c>
      <c r="C223" s="11" t="s">
        <v>66</v>
      </c>
      <c r="D223" s="11" t="s">
        <v>67</v>
      </c>
      <c r="E223" s="11" t="s">
        <v>68</v>
      </c>
      <c r="F223" s="12" t="n">
        <v>3048952</v>
      </c>
      <c r="G223" s="12" t="n">
        <v>2560000</v>
      </c>
      <c r="H223" s="11" t="n">
        <v>13</v>
      </c>
      <c r="I223" s="11" t="s">
        <v>69</v>
      </c>
      <c r="J223" s="11" t="s">
        <v>70</v>
      </c>
      <c r="K223" s="11" t="s">
        <v>71</v>
      </c>
      <c r="L223" s="11" t="s">
        <v>72</v>
      </c>
      <c r="M223" s="11" t="s">
        <v>73</v>
      </c>
      <c r="N223" s="11" t="s">
        <v>93</v>
      </c>
      <c r="O223" s="11" t="s">
        <v>94</v>
      </c>
      <c r="P223" s="11" t="s">
        <v>95</v>
      </c>
      <c r="Q223" s="13" t="n">
        <f aca="false">F223*H223</f>
        <v>39636376</v>
      </c>
      <c r="R223" s="13" t="n">
        <f aca="false">G223*H223</f>
        <v>33280000</v>
      </c>
      <c r="S223" s="13" t="n">
        <f aca="false">Q223-R223</f>
        <v>6356376</v>
      </c>
      <c r="T223" s="14" t="n">
        <f aca="false">IFERROR(S223/Q223,0)</f>
        <v>0.160367234380863</v>
      </c>
      <c r="U223" s="15" t="str">
        <f aca="false">TEXT(A223,"yyyy-mm")</f>
        <v>2022-03</v>
      </c>
    </row>
    <row r="224" customFormat="false" ht="15" hidden="false" customHeight="false" outlineLevel="0" collapsed="false">
      <c r="A224" s="10" t="n">
        <v>44641</v>
      </c>
      <c r="B224" s="11" t="s">
        <v>356</v>
      </c>
      <c r="C224" s="11" t="s">
        <v>78</v>
      </c>
      <c r="D224" s="11" t="s">
        <v>67</v>
      </c>
      <c r="E224" s="11" t="s">
        <v>79</v>
      </c>
      <c r="F224" s="12" t="n">
        <v>1870000</v>
      </c>
      <c r="G224" s="12" t="n">
        <v>1650000</v>
      </c>
      <c r="H224" s="11" t="n">
        <v>16</v>
      </c>
      <c r="I224" s="11" t="s">
        <v>69</v>
      </c>
      <c r="J224" s="11" t="s">
        <v>70</v>
      </c>
      <c r="K224" s="11" t="s">
        <v>71</v>
      </c>
      <c r="L224" s="11" t="s">
        <v>72</v>
      </c>
      <c r="M224" s="11" t="s">
        <v>73</v>
      </c>
      <c r="N224" s="11" t="s">
        <v>123</v>
      </c>
      <c r="O224" s="11" t="s">
        <v>60</v>
      </c>
      <c r="P224" s="11" t="s">
        <v>106</v>
      </c>
      <c r="Q224" s="13" t="n">
        <f aca="false">F224*H224</f>
        <v>29920000</v>
      </c>
      <c r="R224" s="13" t="n">
        <f aca="false">G224*H224</f>
        <v>26400000</v>
      </c>
      <c r="S224" s="13" t="n">
        <f aca="false">Q224-R224</f>
        <v>3520000</v>
      </c>
      <c r="T224" s="14" t="n">
        <f aca="false">IFERROR(S224/Q224,0)</f>
        <v>0.117647058823529</v>
      </c>
      <c r="U224" s="15" t="str">
        <f aca="false">TEXT(A224,"yyyy-mm")</f>
        <v>2022-03</v>
      </c>
    </row>
    <row r="225" customFormat="false" ht="15" hidden="false" customHeight="false" outlineLevel="0" collapsed="false">
      <c r="A225" s="10" t="n">
        <v>44642</v>
      </c>
      <c r="B225" s="11" t="s">
        <v>357</v>
      </c>
      <c r="C225" s="11" t="s">
        <v>84</v>
      </c>
      <c r="D225" s="11" t="s">
        <v>67</v>
      </c>
      <c r="E225" s="11" t="s">
        <v>85</v>
      </c>
      <c r="F225" s="12" t="n">
        <v>2600000</v>
      </c>
      <c r="G225" s="12" t="n">
        <v>2300000</v>
      </c>
      <c r="H225" s="11" t="n">
        <v>20</v>
      </c>
      <c r="I225" s="11" t="s">
        <v>69</v>
      </c>
      <c r="J225" s="11" t="s">
        <v>80</v>
      </c>
      <c r="K225" s="11" t="s">
        <v>81</v>
      </c>
      <c r="L225" s="11" t="s">
        <v>82</v>
      </c>
      <c r="M225" s="11" t="s">
        <v>73</v>
      </c>
      <c r="N225" s="11" t="s">
        <v>173</v>
      </c>
      <c r="O225" s="11" t="s">
        <v>174</v>
      </c>
      <c r="P225" s="11" t="s">
        <v>95</v>
      </c>
      <c r="Q225" s="13" t="n">
        <f aca="false">F225*H225</f>
        <v>52000000</v>
      </c>
      <c r="R225" s="13" t="n">
        <f aca="false">G225*H225</f>
        <v>46000000</v>
      </c>
      <c r="S225" s="13" t="n">
        <f aca="false">Q225-R225</f>
        <v>6000000</v>
      </c>
      <c r="T225" s="14" t="n">
        <f aca="false">IFERROR(S225/Q225,0)</f>
        <v>0.115384615384615</v>
      </c>
      <c r="U225" s="15" t="str">
        <f aca="false">TEXT(A225,"yyyy-mm")</f>
        <v>2022-03</v>
      </c>
    </row>
    <row r="226" customFormat="false" ht="15" hidden="false" customHeight="false" outlineLevel="0" collapsed="false">
      <c r="A226" s="10" t="n">
        <v>44642</v>
      </c>
      <c r="B226" s="11" t="s">
        <v>358</v>
      </c>
      <c r="C226" s="11" t="s">
        <v>92</v>
      </c>
      <c r="D226" s="11" t="s">
        <v>67</v>
      </c>
      <c r="E226" s="11" t="s">
        <v>79</v>
      </c>
      <c r="F226" s="12" t="n">
        <v>3577480</v>
      </c>
      <c r="G226" s="12" t="n">
        <v>3100000</v>
      </c>
      <c r="H226" s="11" t="n">
        <v>6</v>
      </c>
      <c r="I226" s="11" t="s">
        <v>69</v>
      </c>
      <c r="J226" s="11" t="s">
        <v>80</v>
      </c>
      <c r="K226" s="11" t="s">
        <v>81</v>
      </c>
      <c r="L226" s="11" t="s">
        <v>82</v>
      </c>
      <c r="M226" s="11" t="s">
        <v>73</v>
      </c>
      <c r="N226" s="11" t="s">
        <v>123</v>
      </c>
      <c r="O226" s="11" t="s">
        <v>60</v>
      </c>
      <c r="P226" s="11" t="s">
        <v>106</v>
      </c>
      <c r="Q226" s="13" t="n">
        <f aca="false">F226*H226</f>
        <v>21464880</v>
      </c>
      <c r="R226" s="13" t="n">
        <f aca="false">G226*H226</f>
        <v>18600000</v>
      </c>
      <c r="S226" s="13" t="n">
        <f aca="false">Q226-R226</f>
        <v>2864880</v>
      </c>
      <c r="T226" s="14" t="n">
        <f aca="false">IFERROR(S226/Q226,0)</f>
        <v>0.133468251394837</v>
      </c>
      <c r="U226" s="15" t="str">
        <f aca="false">TEXT(A226,"yyyy-mm")</f>
        <v>2022-03</v>
      </c>
    </row>
    <row r="227" customFormat="false" ht="15" hidden="false" customHeight="false" outlineLevel="0" collapsed="false">
      <c r="A227" s="10" t="n">
        <v>44642</v>
      </c>
      <c r="B227" s="11" t="s">
        <v>359</v>
      </c>
      <c r="C227" s="11" t="s">
        <v>97</v>
      </c>
      <c r="D227" s="11" t="s">
        <v>67</v>
      </c>
      <c r="E227" s="11" t="s">
        <v>98</v>
      </c>
      <c r="F227" s="12" t="n">
        <v>4969724</v>
      </c>
      <c r="G227" s="12" t="n">
        <v>4121560</v>
      </c>
      <c r="H227" s="11" t="n">
        <v>15</v>
      </c>
      <c r="I227" s="11" t="s">
        <v>69</v>
      </c>
      <c r="J227" s="11" t="s">
        <v>70</v>
      </c>
      <c r="K227" s="11" t="s">
        <v>71</v>
      </c>
      <c r="L227" s="11" t="s">
        <v>72</v>
      </c>
      <c r="M227" s="11" t="s">
        <v>73</v>
      </c>
      <c r="N227" s="11" t="s">
        <v>74</v>
      </c>
      <c r="O227" s="11" t="s">
        <v>75</v>
      </c>
      <c r="P227" s="11" t="s">
        <v>76</v>
      </c>
      <c r="Q227" s="13" t="n">
        <f aca="false">F227*H227</f>
        <v>74545860</v>
      </c>
      <c r="R227" s="13" t="n">
        <f aca="false">G227*H227</f>
        <v>61823400</v>
      </c>
      <c r="S227" s="13" t="n">
        <f aca="false">Q227-R227</f>
        <v>12722460</v>
      </c>
      <c r="T227" s="14" t="n">
        <f aca="false">IFERROR(S227/Q227,0)</f>
        <v>0.170666218083741</v>
      </c>
      <c r="U227" s="15" t="str">
        <f aca="false">TEXT(A227,"yyyy-mm")</f>
        <v>2022-03</v>
      </c>
    </row>
    <row r="228" customFormat="false" ht="15" hidden="false" customHeight="false" outlineLevel="0" collapsed="false">
      <c r="A228" s="10" t="n">
        <v>44642</v>
      </c>
      <c r="B228" s="11" t="s">
        <v>360</v>
      </c>
      <c r="C228" s="11" t="s">
        <v>103</v>
      </c>
      <c r="D228" s="11" t="s">
        <v>67</v>
      </c>
      <c r="E228" s="11" t="s">
        <v>68</v>
      </c>
      <c r="F228" s="12" t="n">
        <v>3319925</v>
      </c>
      <c r="G228" s="12" t="n">
        <v>2800000</v>
      </c>
      <c r="H228" s="11" t="n">
        <v>2</v>
      </c>
      <c r="I228" s="11" t="s">
        <v>69</v>
      </c>
      <c r="J228" s="11" t="s">
        <v>112</v>
      </c>
      <c r="K228" s="11" t="s">
        <v>113</v>
      </c>
      <c r="L228" s="11" t="s">
        <v>82</v>
      </c>
      <c r="M228" s="11" t="s">
        <v>157</v>
      </c>
      <c r="N228" s="11" t="s">
        <v>143</v>
      </c>
      <c r="O228" s="11" t="s">
        <v>144</v>
      </c>
      <c r="P228" s="11" t="s">
        <v>101</v>
      </c>
      <c r="Q228" s="13" t="n">
        <f aca="false">F228*H228</f>
        <v>6639850</v>
      </c>
      <c r="R228" s="13" t="n">
        <f aca="false">G228*H228</f>
        <v>5600000</v>
      </c>
      <c r="S228" s="13" t="n">
        <f aca="false">Q228-R228</f>
        <v>1039850</v>
      </c>
      <c r="T228" s="14" t="n">
        <f aca="false">IFERROR(S228/Q228,0)</f>
        <v>0.15660745348163</v>
      </c>
      <c r="U228" s="15" t="str">
        <f aca="false">TEXT(A228,"yyyy-mm")</f>
        <v>2022-03</v>
      </c>
    </row>
    <row r="229" customFormat="false" ht="15" hidden="false" customHeight="false" outlineLevel="0" collapsed="false">
      <c r="A229" s="10" t="n">
        <v>44643</v>
      </c>
      <c r="B229" s="11" t="s">
        <v>361</v>
      </c>
      <c r="C229" s="11" t="s">
        <v>108</v>
      </c>
      <c r="D229" s="11" t="s">
        <v>67</v>
      </c>
      <c r="E229" s="11" t="s">
        <v>68</v>
      </c>
      <c r="F229" s="12" t="n">
        <v>4757880</v>
      </c>
      <c r="G229" s="12" t="n">
        <v>3450000</v>
      </c>
      <c r="H229" s="11" t="n">
        <v>5</v>
      </c>
      <c r="I229" s="11" t="s">
        <v>86</v>
      </c>
      <c r="J229" s="11" t="s">
        <v>87</v>
      </c>
      <c r="K229" s="11" t="s">
        <v>88</v>
      </c>
      <c r="L229" s="11" t="s">
        <v>89</v>
      </c>
      <c r="M229" s="11" t="s">
        <v>90</v>
      </c>
      <c r="N229" s="11" t="s">
        <v>123</v>
      </c>
      <c r="O229" s="11" t="s">
        <v>60</v>
      </c>
      <c r="P229" s="11" t="s">
        <v>106</v>
      </c>
      <c r="Q229" s="13" t="n">
        <f aca="false">F229*H229</f>
        <v>23789400</v>
      </c>
      <c r="R229" s="13" t="n">
        <f aca="false">G229*H229</f>
        <v>17250000</v>
      </c>
      <c r="S229" s="13" t="n">
        <f aca="false">Q229-R229</f>
        <v>6539400</v>
      </c>
      <c r="T229" s="14" t="n">
        <f aca="false">IFERROR(S229/Q229,0)</f>
        <v>0.274887134606169</v>
      </c>
      <c r="U229" s="15" t="str">
        <f aca="false">TEXT(A229,"yyyy-mm")</f>
        <v>2022-03</v>
      </c>
    </row>
    <row r="230" customFormat="false" ht="15" hidden="false" customHeight="false" outlineLevel="0" collapsed="false">
      <c r="A230" s="10" t="n">
        <v>44644</v>
      </c>
      <c r="B230" s="11" t="s">
        <v>362</v>
      </c>
      <c r="C230" s="11" t="s">
        <v>111</v>
      </c>
      <c r="D230" s="11" t="s">
        <v>67</v>
      </c>
      <c r="E230" s="11" t="s">
        <v>79</v>
      </c>
      <c r="F230" s="12" t="n">
        <v>3545808</v>
      </c>
      <c r="G230" s="12" t="n">
        <v>3350000</v>
      </c>
      <c r="H230" s="11" t="n">
        <v>18</v>
      </c>
      <c r="I230" s="11" t="s">
        <v>69</v>
      </c>
      <c r="J230" s="11" t="s">
        <v>80</v>
      </c>
      <c r="K230" s="11" t="s">
        <v>81</v>
      </c>
      <c r="L230" s="11" t="s">
        <v>82</v>
      </c>
      <c r="M230" s="11" t="s">
        <v>73</v>
      </c>
      <c r="N230" s="11" t="s">
        <v>93</v>
      </c>
      <c r="O230" s="11" t="s">
        <v>94</v>
      </c>
      <c r="P230" s="11" t="s">
        <v>95</v>
      </c>
      <c r="Q230" s="13" t="n">
        <f aca="false">F230*H230</f>
        <v>63824544</v>
      </c>
      <c r="R230" s="13" t="n">
        <f aca="false">G230*H230</f>
        <v>60300000</v>
      </c>
      <c r="S230" s="13" t="n">
        <f aca="false">Q230-R230</f>
        <v>3524544</v>
      </c>
      <c r="T230" s="14" t="n">
        <f aca="false">IFERROR(S230/Q230,0)</f>
        <v>0.0552223921881839</v>
      </c>
      <c r="U230" s="15" t="str">
        <f aca="false">TEXT(A230,"yyyy-mm")</f>
        <v>2022-03</v>
      </c>
    </row>
    <row r="231" customFormat="false" ht="15" hidden="false" customHeight="false" outlineLevel="0" collapsed="false">
      <c r="A231" s="10" t="n">
        <v>44644</v>
      </c>
      <c r="B231" s="11" t="s">
        <v>363</v>
      </c>
      <c r="C231" s="11" t="s">
        <v>115</v>
      </c>
      <c r="D231" s="11" t="s">
        <v>67</v>
      </c>
      <c r="E231" s="11" t="s">
        <v>98</v>
      </c>
      <c r="F231" s="12" t="n">
        <v>4200743</v>
      </c>
      <c r="G231" s="12" t="n">
        <v>4101000</v>
      </c>
      <c r="H231" s="11" t="n">
        <v>4</v>
      </c>
      <c r="I231" s="11" t="s">
        <v>69</v>
      </c>
      <c r="J231" s="11" t="s">
        <v>70</v>
      </c>
      <c r="K231" s="11" t="s">
        <v>71</v>
      </c>
      <c r="L231" s="11" t="s">
        <v>72</v>
      </c>
      <c r="M231" s="11" t="s">
        <v>73</v>
      </c>
      <c r="N231" s="11" t="s">
        <v>149</v>
      </c>
      <c r="O231" s="11" t="s">
        <v>150</v>
      </c>
      <c r="P231" s="11" t="s">
        <v>151</v>
      </c>
      <c r="Q231" s="13" t="n">
        <f aca="false">F231*H231</f>
        <v>16802972</v>
      </c>
      <c r="R231" s="13" t="n">
        <f aca="false">G231*H231</f>
        <v>16404000</v>
      </c>
      <c r="S231" s="13" t="n">
        <f aca="false">Q231-R231</f>
        <v>398972</v>
      </c>
      <c r="T231" s="14" t="n">
        <f aca="false">IFERROR(S231/Q231,0)</f>
        <v>0.023744132883159</v>
      </c>
      <c r="U231" s="15" t="str">
        <f aca="false">TEXT(A231,"yyyy-mm")</f>
        <v>2022-03</v>
      </c>
    </row>
    <row r="232" customFormat="false" ht="15" hidden="false" customHeight="false" outlineLevel="0" collapsed="false">
      <c r="A232" s="10" t="n">
        <v>44644</v>
      </c>
      <c r="B232" s="11" t="s">
        <v>364</v>
      </c>
      <c r="C232" s="11" t="s">
        <v>117</v>
      </c>
      <c r="D232" s="11" t="s">
        <v>118</v>
      </c>
      <c r="E232" s="11" t="s">
        <v>119</v>
      </c>
      <c r="F232" s="12" t="n">
        <v>8220549</v>
      </c>
      <c r="G232" s="12" t="n">
        <v>6500000</v>
      </c>
      <c r="H232" s="11" t="n">
        <v>16</v>
      </c>
      <c r="I232" s="11" t="s">
        <v>86</v>
      </c>
      <c r="J232" s="11" t="s">
        <v>87</v>
      </c>
      <c r="K232" s="11" t="s">
        <v>88</v>
      </c>
      <c r="L232" s="11" t="s">
        <v>89</v>
      </c>
      <c r="M232" s="11" t="s">
        <v>90</v>
      </c>
      <c r="N232" s="11" t="s">
        <v>93</v>
      </c>
      <c r="O232" s="11" t="s">
        <v>94</v>
      </c>
      <c r="P232" s="11" t="s">
        <v>95</v>
      </c>
      <c r="Q232" s="13" t="n">
        <f aca="false">F232*H232</f>
        <v>131528784</v>
      </c>
      <c r="R232" s="13" t="n">
        <f aca="false">G232*H232</f>
        <v>104000000</v>
      </c>
      <c r="S232" s="13" t="n">
        <f aca="false">Q232-R232</f>
        <v>27528784</v>
      </c>
      <c r="T232" s="14" t="n">
        <f aca="false">IFERROR(S232/Q232,0)</f>
        <v>0.209298551714733</v>
      </c>
      <c r="U232" s="15" t="str">
        <f aca="false">TEXT(A232,"yyyy-mm")</f>
        <v>2022-03</v>
      </c>
    </row>
    <row r="233" customFormat="false" ht="15" hidden="false" customHeight="false" outlineLevel="0" collapsed="false">
      <c r="A233" s="10" t="n">
        <v>44645</v>
      </c>
      <c r="B233" s="11" t="s">
        <v>365</v>
      </c>
      <c r="C233" s="11" t="s">
        <v>121</v>
      </c>
      <c r="D233" s="11" t="s">
        <v>118</v>
      </c>
      <c r="E233" s="11" t="s">
        <v>122</v>
      </c>
      <c r="F233" s="12" t="n">
        <v>7687274</v>
      </c>
      <c r="G233" s="12" t="n">
        <v>6500000</v>
      </c>
      <c r="H233" s="11" t="n">
        <v>5</v>
      </c>
      <c r="I233" s="11" t="s">
        <v>69</v>
      </c>
      <c r="J233" s="11" t="s">
        <v>112</v>
      </c>
      <c r="K233" s="11" t="s">
        <v>113</v>
      </c>
      <c r="L233" s="11" t="s">
        <v>82</v>
      </c>
      <c r="M233" s="11" t="s">
        <v>157</v>
      </c>
      <c r="N233" s="11" t="s">
        <v>133</v>
      </c>
      <c r="O233" s="11" t="s">
        <v>60</v>
      </c>
      <c r="P233" s="11" t="s">
        <v>76</v>
      </c>
      <c r="Q233" s="13" t="n">
        <f aca="false">F233*H233</f>
        <v>38436370</v>
      </c>
      <c r="R233" s="13" t="n">
        <f aca="false">G233*H233</f>
        <v>32500000</v>
      </c>
      <c r="S233" s="13" t="n">
        <f aca="false">Q233-R233</f>
        <v>5936370</v>
      </c>
      <c r="T233" s="14" t="n">
        <f aca="false">IFERROR(S233/Q233,0)</f>
        <v>0.154446686822923</v>
      </c>
      <c r="U233" s="15" t="str">
        <f aca="false">TEXT(A233,"yyyy-mm")</f>
        <v>2022-03</v>
      </c>
    </row>
    <row r="234" customFormat="false" ht="15" hidden="false" customHeight="false" outlineLevel="0" collapsed="false">
      <c r="A234" s="10" t="n">
        <v>44645</v>
      </c>
      <c r="B234" s="11" t="s">
        <v>366</v>
      </c>
      <c r="C234" s="11" t="s">
        <v>125</v>
      </c>
      <c r="D234" s="11" t="s">
        <v>118</v>
      </c>
      <c r="E234" s="11" t="s">
        <v>126</v>
      </c>
      <c r="F234" s="12" t="n">
        <v>5684211</v>
      </c>
      <c r="G234" s="12" t="n">
        <v>4300000</v>
      </c>
      <c r="H234" s="11" t="n">
        <v>4</v>
      </c>
      <c r="I234" s="11" t="s">
        <v>69</v>
      </c>
      <c r="J234" s="11" t="s">
        <v>112</v>
      </c>
      <c r="K234" s="11" t="s">
        <v>113</v>
      </c>
      <c r="L234" s="11" t="s">
        <v>82</v>
      </c>
      <c r="M234" s="11" t="s">
        <v>157</v>
      </c>
      <c r="N234" s="11" t="s">
        <v>123</v>
      </c>
      <c r="O234" s="11" t="s">
        <v>60</v>
      </c>
      <c r="P234" s="11" t="s">
        <v>106</v>
      </c>
      <c r="Q234" s="13" t="n">
        <f aca="false">F234*H234</f>
        <v>22736844</v>
      </c>
      <c r="R234" s="13" t="n">
        <f aca="false">G234*H234</f>
        <v>17200000</v>
      </c>
      <c r="S234" s="13" t="n">
        <f aca="false">Q234-R234</f>
        <v>5536844</v>
      </c>
      <c r="T234" s="14" t="n">
        <f aca="false">IFERROR(S234/Q234,0)</f>
        <v>0.243518581558637</v>
      </c>
      <c r="U234" s="15" t="str">
        <f aca="false">TEXT(A234,"yyyy-mm")</f>
        <v>2022-03</v>
      </c>
    </row>
    <row r="235" customFormat="false" ht="15" hidden="false" customHeight="false" outlineLevel="0" collapsed="false">
      <c r="A235" s="10" t="n">
        <v>44646</v>
      </c>
      <c r="B235" s="11" t="s">
        <v>367</v>
      </c>
      <c r="C235" s="11" t="s">
        <v>128</v>
      </c>
      <c r="D235" s="11" t="s">
        <v>118</v>
      </c>
      <c r="E235" s="11" t="s">
        <v>119</v>
      </c>
      <c r="F235" s="12" t="n">
        <v>3370302</v>
      </c>
      <c r="G235" s="12" t="n">
        <v>2100000</v>
      </c>
      <c r="H235" s="11" t="n">
        <v>15</v>
      </c>
      <c r="I235" s="11" t="s">
        <v>69</v>
      </c>
      <c r="J235" s="11" t="s">
        <v>80</v>
      </c>
      <c r="K235" s="11" t="s">
        <v>81</v>
      </c>
      <c r="L235" s="11" t="s">
        <v>82</v>
      </c>
      <c r="M235" s="11" t="s">
        <v>73</v>
      </c>
      <c r="N235" s="11" t="s">
        <v>149</v>
      </c>
      <c r="O235" s="11" t="s">
        <v>150</v>
      </c>
      <c r="P235" s="11" t="s">
        <v>151</v>
      </c>
      <c r="Q235" s="13" t="n">
        <f aca="false">F235*H235</f>
        <v>50554530</v>
      </c>
      <c r="R235" s="13" t="n">
        <f aca="false">G235*H235</f>
        <v>31500000</v>
      </c>
      <c r="S235" s="13" t="n">
        <f aca="false">Q235-R235</f>
        <v>19054530</v>
      </c>
      <c r="T235" s="14" t="n">
        <f aca="false">IFERROR(S235/Q235,0)</f>
        <v>0.37691043710623</v>
      </c>
      <c r="U235" s="15" t="str">
        <f aca="false">TEXT(A235,"yyyy-mm")</f>
        <v>2022-03</v>
      </c>
    </row>
    <row r="236" customFormat="false" ht="15" hidden="false" customHeight="false" outlineLevel="0" collapsed="false">
      <c r="A236" s="10" t="n">
        <v>44646</v>
      </c>
      <c r="B236" s="11" t="s">
        <v>368</v>
      </c>
      <c r="C236" s="11" t="s">
        <v>130</v>
      </c>
      <c r="D236" s="11" t="s">
        <v>118</v>
      </c>
      <c r="E236" s="11" t="s">
        <v>68</v>
      </c>
      <c r="F236" s="12" t="n">
        <v>2852897</v>
      </c>
      <c r="G236" s="12" t="n">
        <v>2450000</v>
      </c>
      <c r="H236" s="11" t="n">
        <v>4</v>
      </c>
      <c r="I236" s="11" t="s">
        <v>69</v>
      </c>
      <c r="J236" s="11" t="s">
        <v>80</v>
      </c>
      <c r="K236" s="11" t="s">
        <v>81</v>
      </c>
      <c r="L236" s="11" t="s">
        <v>82</v>
      </c>
      <c r="M236" s="11" t="s">
        <v>73</v>
      </c>
      <c r="N236" s="11" t="s">
        <v>123</v>
      </c>
      <c r="O236" s="11" t="s">
        <v>60</v>
      </c>
      <c r="P236" s="11" t="s">
        <v>106</v>
      </c>
      <c r="Q236" s="13" t="n">
        <f aca="false">F236*H236</f>
        <v>11411588</v>
      </c>
      <c r="R236" s="13" t="n">
        <f aca="false">G236*H236</f>
        <v>9800000</v>
      </c>
      <c r="S236" s="13" t="n">
        <f aca="false">Q236-R236</f>
        <v>1611588</v>
      </c>
      <c r="T236" s="14" t="n">
        <f aca="false">IFERROR(S236/Q236,0)</f>
        <v>0.141223815651249</v>
      </c>
      <c r="U236" s="15" t="str">
        <f aca="false">TEXT(A236,"yyyy-mm")</f>
        <v>2022-03</v>
      </c>
    </row>
    <row r="237" customFormat="false" ht="15" hidden="false" customHeight="false" outlineLevel="0" collapsed="false">
      <c r="A237" s="10" t="n">
        <v>44646</v>
      </c>
      <c r="B237" s="11" t="s">
        <v>369</v>
      </c>
      <c r="C237" s="11" t="s">
        <v>132</v>
      </c>
      <c r="D237" s="11" t="s">
        <v>118</v>
      </c>
      <c r="E237" s="11" t="s">
        <v>68</v>
      </c>
      <c r="F237" s="12" t="n">
        <v>4803603</v>
      </c>
      <c r="G237" s="12" t="n">
        <v>4121000</v>
      </c>
      <c r="H237" s="11" t="n">
        <v>1</v>
      </c>
      <c r="I237" s="11" t="s">
        <v>69</v>
      </c>
      <c r="J237" s="11" t="s">
        <v>80</v>
      </c>
      <c r="K237" s="11" t="s">
        <v>81</v>
      </c>
      <c r="L237" s="11" t="s">
        <v>82</v>
      </c>
      <c r="M237" s="11" t="s">
        <v>73</v>
      </c>
      <c r="N237" s="11" t="s">
        <v>109</v>
      </c>
      <c r="O237" s="11" t="s">
        <v>75</v>
      </c>
      <c r="P237" s="11" t="s">
        <v>95</v>
      </c>
      <c r="Q237" s="13" t="n">
        <f aca="false">F237*H237</f>
        <v>4803603</v>
      </c>
      <c r="R237" s="13" t="n">
        <f aca="false">G237*H237</f>
        <v>4121000</v>
      </c>
      <c r="S237" s="13" t="n">
        <f aca="false">Q237-R237</f>
        <v>682603</v>
      </c>
      <c r="T237" s="14" t="n">
        <f aca="false">IFERROR(S237/Q237,0)</f>
        <v>0.142102292799801</v>
      </c>
      <c r="U237" s="15" t="str">
        <f aca="false">TEXT(A237,"yyyy-mm")</f>
        <v>2022-03</v>
      </c>
    </row>
    <row r="238" customFormat="false" ht="15" hidden="false" customHeight="false" outlineLevel="0" collapsed="false">
      <c r="A238" s="10" t="n">
        <v>44646</v>
      </c>
      <c r="B238" s="11" t="s">
        <v>370</v>
      </c>
      <c r="C238" s="11" t="s">
        <v>135</v>
      </c>
      <c r="D238" s="11" t="s">
        <v>118</v>
      </c>
      <c r="E238" s="11" t="s">
        <v>68</v>
      </c>
      <c r="F238" s="12" t="n">
        <v>5689947</v>
      </c>
      <c r="G238" s="12" t="n">
        <v>5235000</v>
      </c>
      <c r="H238" s="11" t="n">
        <v>20</v>
      </c>
      <c r="I238" s="11" t="s">
        <v>69</v>
      </c>
      <c r="J238" s="11" t="s">
        <v>80</v>
      </c>
      <c r="K238" s="11" t="s">
        <v>81</v>
      </c>
      <c r="L238" s="11" t="s">
        <v>82</v>
      </c>
      <c r="M238" s="11" t="s">
        <v>73</v>
      </c>
      <c r="N238" s="11" t="s">
        <v>104</v>
      </c>
      <c r="O238" s="11" t="s">
        <v>105</v>
      </c>
      <c r="P238" s="11" t="s">
        <v>106</v>
      </c>
      <c r="Q238" s="13" t="n">
        <f aca="false">F238*H238</f>
        <v>113798940</v>
      </c>
      <c r="R238" s="13" t="n">
        <f aca="false">G238*H238</f>
        <v>104700000</v>
      </c>
      <c r="S238" s="13" t="n">
        <f aca="false">Q238-R238</f>
        <v>9098940</v>
      </c>
      <c r="T238" s="14" t="n">
        <f aca="false">IFERROR(S238/Q238,0)</f>
        <v>0.0799562807878527</v>
      </c>
      <c r="U238" s="15" t="str">
        <f aca="false">TEXT(A238,"yyyy-mm")</f>
        <v>2022-03</v>
      </c>
    </row>
    <row r="239" customFormat="false" ht="15" hidden="false" customHeight="false" outlineLevel="0" collapsed="false">
      <c r="A239" s="10" t="n">
        <v>44648</v>
      </c>
      <c r="B239" s="11" t="s">
        <v>371</v>
      </c>
      <c r="C239" s="11" t="s">
        <v>137</v>
      </c>
      <c r="D239" s="11" t="s">
        <v>138</v>
      </c>
      <c r="E239" s="11" t="s">
        <v>139</v>
      </c>
      <c r="F239" s="12" t="n">
        <v>5171827</v>
      </c>
      <c r="G239" s="12" t="n">
        <v>4890000</v>
      </c>
      <c r="H239" s="11" t="n">
        <v>4</v>
      </c>
      <c r="I239" s="11" t="s">
        <v>69</v>
      </c>
      <c r="J239" s="11" t="s">
        <v>112</v>
      </c>
      <c r="K239" s="11" t="s">
        <v>113</v>
      </c>
      <c r="L239" s="11" t="s">
        <v>82</v>
      </c>
      <c r="M239" s="11" t="s">
        <v>157</v>
      </c>
      <c r="N239" s="11" t="s">
        <v>149</v>
      </c>
      <c r="O239" s="11" t="s">
        <v>150</v>
      </c>
      <c r="P239" s="11" t="s">
        <v>151</v>
      </c>
      <c r="Q239" s="13" t="n">
        <f aca="false">F239*H239</f>
        <v>20687308</v>
      </c>
      <c r="R239" s="13" t="n">
        <f aca="false">G239*H239</f>
        <v>19560000</v>
      </c>
      <c r="S239" s="13" t="n">
        <f aca="false">Q239-R239</f>
        <v>1127308</v>
      </c>
      <c r="T239" s="14" t="n">
        <f aca="false">IFERROR(S239/Q239,0)</f>
        <v>0.0544927353525166</v>
      </c>
      <c r="U239" s="15" t="str">
        <f aca="false">TEXT(A239,"yyyy-mm")</f>
        <v>2022-03</v>
      </c>
    </row>
    <row r="240" customFormat="false" ht="15" hidden="false" customHeight="false" outlineLevel="0" collapsed="false">
      <c r="A240" s="10" t="n">
        <v>44648</v>
      </c>
      <c r="B240" s="11" t="s">
        <v>372</v>
      </c>
      <c r="C240" s="11" t="s">
        <v>141</v>
      </c>
      <c r="D240" s="11" t="s">
        <v>138</v>
      </c>
      <c r="E240" s="11" t="s">
        <v>142</v>
      </c>
      <c r="F240" s="12" t="n">
        <v>2805124</v>
      </c>
      <c r="G240" s="12" t="n">
        <v>2178000</v>
      </c>
      <c r="H240" s="11" t="n">
        <v>16</v>
      </c>
      <c r="I240" s="11" t="s">
        <v>86</v>
      </c>
      <c r="J240" s="11" t="s">
        <v>87</v>
      </c>
      <c r="K240" s="11" t="s">
        <v>88</v>
      </c>
      <c r="L240" s="11" t="s">
        <v>89</v>
      </c>
      <c r="M240" s="11" t="s">
        <v>90</v>
      </c>
      <c r="N240" s="11" t="s">
        <v>74</v>
      </c>
      <c r="O240" s="11" t="s">
        <v>75</v>
      </c>
      <c r="P240" s="11" t="s">
        <v>76</v>
      </c>
      <c r="Q240" s="13" t="n">
        <f aca="false">F240*H240</f>
        <v>44881984</v>
      </c>
      <c r="R240" s="13" t="n">
        <f aca="false">G240*H240</f>
        <v>34848000</v>
      </c>
      <c r="S240" s="13" t="n">
        <f aca="false">Q240-R240</f>
        <v>10033984</v>
      </c>
      <c r="T240" s="14" t="n">
        <f aca="false">IFERROR(S240/Q240,0)</f>
        <v>0.22356373550688</v>
      </c>
      <c r="U240" s="15" t="str">
        <f aca="false">TEXT(A240,"yyyy-mm")</f>
        <v>2022-03</v>
      </c>
    </row>
    <row r="241" customFormat="false" ht="15" hidden="false" customHeight="false" outlineLevel="0" collapsed="false">
      <c r="A241" s="10" t="n">
        <v>44648</v>
      </c>
      <c r="B241" s="11" t="s">
        <v>373</v>
      </c>
      <c r="C241" s="11" t="s">
        <v>146</v>
      </c>
      <c r="D241" s="11" t="s">
        <v>138</v>
      </c>
      <c r="E241" s="11" t="s">
        <v>139</v>
      </c>
      <c r="F241" s="12" t="n">
        <v>2728100</v>
      </c>
      <c r="G241" s="12" t="n">
        <v>2321000</v>
      </c>
      <c r="H241" s="11" t="n">
        <v>25</v>
      </c>
      <c r="I241" s="11" t="s">
        <v>86</v>
      </c>
      <c r="J241" s="11" t="s">
        <v>87</v>
      </c>
      <c r="K241" s="11" t="s">
        <v>88</v>
      </c>
      <c r="L241" s="11" t="s">
        <v>89</v>
      </c>
      <c r="M241" s="11" t="s">
        <v>90</v>
      </c>
      <c r="N241" s="11" t="s">
        <v>143</v>
      </c>
      <c r="O241" s="11" t="s">
        <v>144</v>
      </c>
      <c r="P241" s="11" t="s">
        <v>101</v>
      </c>
      <c r="Q241" s="13" t="n">
        <f aca="false">F241*H241</f>
        <v>68202500</v>
      </c>
      <c r="R241" s="13" t="n">
        <f aca="false">G241*H241</f>
        <v>58025000</v>
      </c>
      <c r="S241" s="13" t="n">
        <f aca="false">Q241-R241</f>
        <v>10177500</v>
      </c>
      <c r="T241" s="14" t="n">
        <f aca="false">IFERROR(S241/Q241,0)</f>
        <v>0.149224735163667</v>
      </c>
      <c r="U241" s="15" t="str">
        <f aca="false">TEXT(A241,"yyyy-mm")</f>
        <v>2022-03</v>
      </c>
    </row>
    <row r="242" customFormat="false" ht="15" hidden="false" customHeight="false" outlineLevel="0" collapsed="false">
      <c r="A242" s="10" t="n">
        <v>44648</v>
      </c>
      <c r="B242" s="11" t="s">
        <v>374</v>
      </c>
      <c r="C242" s="11" t="s">
        <v>148</v>
      </c>
      <c r="D242" s="11" t="s">
        <v>138</v>
      </c>
      <c r="E242" s="11" t="s">
        <v>122</v>
      </c>
      <c r="F242" s="12" t="n">
        <v>4941716</v>
      </c>
      <c r="G242" s="12" t="n">
        <v>4456000</v>
      </c>
      <c r="H242" s="11" t="n">
        <v>29</v>
      </c>
      <c r="I242" s="11" t="s">
        <v>69</v>
      </c>
      <c r="J242" s="11" t="s">
        <v>80</v>
      </c>
      <c r="K242" s="11" t="s">
        <v>81</v>
      </c>
      <c r="L242" s="11" t="s">
        <v>82</v>
      </c>
      <c r="M242" s="11" t="s">
        <v>73</v>
      </c>
      <c r="N242" s="11" t="s">
        <v>74</v>
      </c>
      <c r="O242" s="11" t="s">
        <v>75</v>
      </c>
      <c r="P242" s="11" t="s">
        <v>76</v>
      </c>
      <c r="Q242" s="13" t="n">
        <f aca="false">F242*H242</f>
        <v>143309764</v>
      </c>
      <c r="R242" s="13" t="n">
        <f aca="false">G242*H242</f>
        <v>129224000</v>
      </c>
      <c r="S242" s="13" t="n">
        <f aca="false">Q242-R242</f>
        <v>14085764</v>
      </c>
      <c r="T242" s="14" t="n">
        <f aca="false">IFERROR(S242/Q242,0)</f>
        <v>0.0982889344511097</v>
      </c>
      <c r="U242" s="15" t="str">
        <f aca="false">TEXT(A242,"yyyy-mm")</f>
        <v>2022-03</v>
      </c>
    </row>
    <row r="243" customFormat="false" ht="15" hidden="false" customHeight="false" outlineLevel="0" collapsed="false">
      <c r="A243" s="10" t="n">
        <v>44648</v>
      </c>
      <c r="B243" s="11" t="s">
        <v>375</v>
      </c>
      <c r="C243" s="11" t="s">
        <v>66</v>
      </c>
      <c r="D243" s="11" t="s">
        <v>67</v>
      </c>
      <c r="E243" s="11" t="s">
        <v>68</v>
      </c>
      <c r="F243" s="12" t="n">
        <v>3048952</v>
      </c>
      <c r="G243" s="12" t="n">
        <v>2560000</v>
      </c>
      <c r="H243" s="11" t="n">
        <v>11</v>
      </c>
      <c r="I243" s="11" t="s">
        <v>69</v>
      </c>
      <c r="J243" s="11" t="s">
        <v>112</v>
      </c>
      <c r="K243" s="11" t="s">
        <v>113</v>
      </c>
      <c r="L243" s="11" t="s">
        <v>82</v>
      </c>
      <c r="M243" s="11" t="s">
        <v>157</v>
      </c>
      <c r="N243" s="11" t="s">
        <v>99</v>
      </c>
      <c r="O243" s="11" t="s">
        <v>100</v>
      </c>
      <c r="P243" s="11" t="s">
        <v>101</v>
      </c>
      <c r="Q243" s="13" t="n">
        <f aca="false">F243*H243</f>
        <v>33538472</v>
      </c>
      <c r="R243" s="13" t="n">
        <f aca="false">G243*H243</f>
        <v>28160000</v>
      </c>
      <c r="S243" s="13" t="n">
        <f aca="false">Q243-R243</f>
        <v>5378472</v>
      </c>
      <c r="T243" s="14" t="n">
        <f aca="false">IFERROR(S243/Q243,0)</f>
        <v>0.160367234380863</v>
      </c>
      <c r="U243" s="15" t="str">
        <f aca="false">TEXT(A243,"yyyy-mm")</f>
        <v>2022-03</v>
      </c>
    </row>
    <row r="244" customFormat="false" ht="15" hidden="false" customHeight="false" outlineLevel="0" collapsed="false">
      <c r="A244" s="10" t="n">
        <v>44648</v>
      </c>
      <c r="B244" s="11" t="s">
        <v>376</v>
      </c>
      <c r="C244" s="11" t="s">
        <v>78</v>
      </c>
      <c r="D244" s="11" t="s">
        <v>67</v>
      </c>
      <c r="E244" s="11" t="s">
        <v>79</v>
      </c>
      <c r="F244" s="12" t="n">
        <v>1870000</v>
      </c>
      <c r="G244" s="12" t="n">
        <v>1650000</v>
      </c>
      <c r="H244" s="11" t="n">
        <v>22</v>
      </c>
      <c r="I244" s="11" t="s">
        <v>69</v>
      </c>
      <c r="J244" s="11" t="s">
        <v>80</v>
      </c>
      <c r="K244" s="11" t="s">
        <v>81</v>
      </c>
      <c r="L244" s="11" t="s">
        <v>82</v>
      </c>
      <c r="M244" s="11" t="s">
        <v>73</v>
      </c>
      <c r="N244" s="11" t="s">
        <v>149</v>
      </c>
      <c r="O244" s="11" t="s">
        <v>150</v>
      </c>
      <c r="P244" s="11" t="s">
        <v>151</v>
      </c>
      <c r="Q244" s="13" t="n">
        <f aca="false">F244*H244</f>
        <v>41140000</v>
      </c>
      <c r="R244" s="13" t="n">
        <f aca="false">G244*H244</f>
        <v>36300000</v>
      </c>
      <c r="S244" s="13" t="n">
        <f aca="false">Q244-R244</f>
        <v>4840000</v>
      </c>
      <c r="T244" s="14" t="n">
        <f aca="false">IFERROR(S244/Q244,0)</f>
        <v>0.117647058823529</v>
      </c>
      <c r="U244" s="15" t="str">
        <f aca="false">TEXT(A244,"yyyy-mm")</f>
        <v>2022-03</v>
      </c>
    </row>
    <row r="245" customFormat="false" ht="15" hidden="false" customHeight="false" outlineLevel="0" collapsed="false">
      <c r="A245" s="10" t="n">
        <v>44648</v>
      </c>
      <c r="B245" s="11" t="s">
        <v>377</v>
      </c>
      <c r="C245" s="11" t="s">
        <v>84</v>
      </c>
      <c r="D245" s="11" t="s">
        <v>67</v>
      </c>
      <c r="E245" s="11" t="s">
        <v>85</v>
      </c>
      <c r="F245" s="12" t="n">
        <v>2600000</v>
      </c>
      <c r="G245" s="12" t="n">
        <v>2300000</v>
      </c>
      <c r="H245" s="11" t="n">
        <v>1</v>
      </c>
      <c r="I245" s="11" t="s">
        <v>69</v>
      </c>
      <c r="J245" s="11" t="s">
        <v>80</v>
      </c>
      <c r="K245" s="11" t="s">
        <v>81</v>
      </c>
      <c r="L245" s="11" t="s">
        <v>82</v>
      </c>
      <c r="M245" s="11" t="s">
        <v>73</v>
      </c>
      <c r="N245" s="11" t="s">
        <v>149</v>
      </c>
      <c r="O245" s="11" t="s">
        <v>150</v>
      </c>
      <c r="P245" s="11" t="s">
        <v>151</v>
      </c>
      <c r="Q245" s="13" t="n">
        <f aca="false">F245*H245</f>
        <v>2600000</v>
      </c>
      <c r="R245" s="13" t="n">
        <f aca="false">G245*H245</f>
        <v>2300000</v>
      </c>
      <c r="S245" s="13" t="n">
        <f aca="false">Q245-R245</f>
        <v>300000</v>
      </c>
      <c r="T245" s="14" t="n">
        <f aca="false">IFERROR(S245/Q245,0)</f>
        <v>0.115384615384615</v>
      </c>
      <c r="U245" s="15" t="str">
        <f aca="false">TEXT(A245,"yyyy-mm")</f>
        <v>2022-03</v>
      </c>
    </row>
    <row r="246" customFormat="false" ht="15" hidden="false" customHeight="false" outlineLevel="0" collapsed="false">
      <c r="A246" s="10" t="n">
        <v>44648</v>
      </c>
      <c r="B246" s="11" t="s">
        <v>378</v>
      </c>
      <c r="C246" s="11" t="s">
        <v>92</v>
      </c>
      <c r="D246" s="11" t="s">
        <v>67</v>
      </c>
      <c r="E246" s="11" t="s">
        <v>79</v>
      </c>
      <c r="F246" s="12" t="n">
        <v>3577480</v>
      </c>
      <c r="G246" s="12" t="n">
        <v>3100000</v>
      </c>
      <c r="H246" s="11" t="n">
        <v>26</v>
      </c>
      <c r="I246" s="11" t="s">
        <v>69</v>
      </c>
      <c r="J246" s="11" t="s">
        <v>70</v>
      </c>
      <c r="K246" s="11" t="s">
        <v>71</v>
      </c>
      <c r="L246" s="11" t="s">
        <v>72</v>
      </c>
      <c r="M246" s="11" t="s">
        <v>73</v>
      </c>
      <c r="N246" s="11" t="s">
        <v>173</v>
      </c>
      <c r="O246" s="11" t="s">
        <v>174</v>
      </c>
      <c r="P246" s="11" t="s">
        <v>95</v>
      </c>
      <c r="Q246" s="13" t="n">
        <f aca="false">F246*H246</f>
        <v>93014480</v>
      </c>
      <c r="R246" s="13" t="n">
        <f aca="false">G246*H246</f>
        <v>80600000</v>
      </c>
      <c r="S246" s="13" t="n">
        <f aca="false">Q246-R246</f>
        <v>12414480</v>
      </c>
      <c r="T246" s="14" t="n">
        <f aca="false">IFERROR(S246/Q246,0)</f>
        <v>0.133468251394837</v>
      </c>
      <c r="U246" s="15" t="str">
        <f aca="false">TEXT(A246,"yyyy-mm")</f>
        <v>2022-03</v>
      </c>
    </row>
    <row r="247" customFormat="false" ht="15" hidden="false" customHeight="false" outlineLevel="0" collapsed="false">
      <c r="A247" s="10" t="n">
        <v>44650</v>
      </c>
      <c r="B247" s="11" t="s">
        <v>379</v>
      </c>
      <c r="C247" s="11" t="s">
        <v>97</v>
      </c>
      <c r="D247" s="11" t="s">
        <v>67</v>
      </c>
      <c r="E247" s="11" t="s">
        <v>98</v>
      </c>
      <c r="F247" s="12" t="n">
        <v>4969724</v>
      </c>
      <c r="G247" s="12" t="n">
        <v>4121560</v>
      </c>
      <c r="H247" s="11" t="n">
        <v>10</v>
      </c>
      <c r="I247" s="11" t="s">
        <v>69</v>
      </c>
      <c r="J247" s="11" t="s">
        <v>80</v>
      </c>
      <c r="K247" s="11" t="s">
        <v>81</v>
      </c>
      <c r="L247" s="11" t="s">
        <v>82</v>
      </c>
      <c r="M247" s="11" t="s">
        <v>73</v>
      </c>
      <c r="N247" s="11" t="s">
        <v>74</v>
      </c>
      <c r="O247" s="11" t="s">
        <v>75</v>
      </c>
      <c r="P247" s="11" t="s">
        <v>76</v>
      </c>
      <c r="Q247" s="13" t="n">
        <f aca="false">F247*H247</f>
        <v>49697240</v>
      </c>
      <c r="R247" s="13" t="n">
        <f aca="false">G247*H247</f>
        <v>41215600</v>
      </c>
      <c r="S247" s="13" t="n">
        <f aca="false">Q247-R247</f>
        <v>8481640</v>
      </c>
      <c r="T247" s="14" t="n">
        <f aca="false">IFERROR(S247/Q247,0)</f>
        <v>0.170666218083741</v>
      </c>
      <c r="U247" s="15" t="str">
        <f aca="false">TEXT(A247,"yyyy-mm")</f>
        <v>2022-03</v>
      </c>
    </row>
    <row r="248" customFormat="false" ht="15" hidden="false" customHeight="false" outlineLevel="0" collapsed="false">
      <c r="A248" s="10" t="n">
        <v>44650</v>
      </c>
      <c r="B248" s="11" t="s">
        <v>380</v>
      </c>
      <c r="C248" s="11" t="s">
        <v>103</v>
      </c>
      <c r="D248" s="11" t="s">
        <v>67</v>
      </c>
      <c r="E248" s="11" t="s">
        <v>68</v>
      </c>
      <c r="F248" s="12" t="n">
        <v>3319925</v>
      </c>
      <c r="G248" s="12" t="n">
        <v>2800000</v>
      </c>
      <c r="H248" s="11" t="n">
        <v>5</v>
      </c>
      <c r="I248" s="11" t="s">
        <v>69</v>
      </c>
      <c r="J248" s="11" t="s">
        <v>112</v>
      </c>
      <c r="K248" s="11" t="s">
        <v>113</v>
      </c>
      <c r="L248" s="11" t="s">
        <v>82</v>
      </c>
      <c r="M248" s="11" t="s">
        <v>157</v>
      </c>
      <c r="N248" s="11" t="s">
        <v>143</v>
      </c>
      <c r="O248" s="11" t="s">
        <v>144</v>
      </c>
      <c r="P248" s="11" t="s">
        <v>101</v>
      </c>
      <c r="Q248" s="13" t="n">
        <f aca="false">F248*H248</f>
        <v>16599625</v>
      </c>
      <c r="R248" s="13" t="n">
        <f aca="false">G248*H248</f>
        <v>14000000</v>
      </c>
      <c r="S248" s="13" t="n">
        <f aca="false">Q248-R248</f>
        <v>2599625</v>
      </c>
      <c r="T248" s="14" t="n">
        <f aca="false">IFERROR(S248/Q248,0)</f>
        <v>0.15660745348163</v>
      </c>
      <c r="U248" s="15" t="str">
        <f aca="false">TEXT(A248,"yyyy-mm")</f>
        <v>2022-03</v>
      </c>
    </row>
    <row r="249" customFormat="false" ht="15" hidden="false" customHeight="false" outlineLevel="0" collapsed="false">
      <c r="A249" s="10" t="n">
        <v>44650</v>
      </c>
      <c r="B249" s="11" t="s">
        <v>381</v>
      </c>
      <c r="C249" s="11" t="s">
        <v>108</v>
      </c>
      <c r="D249" s="11" t="s">
        <v>67</v>
      </c>
      <c r="E249" s="11" t="s">
        <v>68</v>
      </c>
      <c r="F249" s="12" t="n">
        <v>4757880</v>
      </c>
      <c r="G249" s="12" t="n">
        <v>3450000</v>
      </c>
      <c r="H249" s="11" t="n">
        <v>9</v>
      </c>
      <c r="I249" s="11" t="s">
        <v>86</v>
      </c>
      <c r="J249" s="11" t="s">
        <v>87</v>
      </c>
      <c r="K249" s="11" t="s">
        <v>88</v>
      </c>
      <c r="L249" s="11" t="s">
        <v>89</v>
      </c>
      <c r="M249" s="11" t="s">
        <v>90</v>
      </c>
      <c r="N249" s="11" t="s">
        <v>143</v>
      </c>
      <c r="O249" s="11" t="s">
        <v>144</v>
      </c>
      <c r="P249" s="11" t="s">
        <v>101</v>
      </c>
      <c r="Q249" s="13" t="n">
        <f aca="false">F249*H249</f>
        <v>42820920</v>
      </c>
      <c r="R249" s="13" t="n">
        <f aca="false">G249*H249</f>
        <v>31050000</v>
      </c>
      <c r="S249" s="13" t="n">
        <f aca="false">Q249-R249</f>
        <v>11770920</v>
      </c>
      <c r="T249" s="14" t="n">
        <f aca="false">IFERROR(S249/Q249,0)</f>
        <v>0.274887134606169</v>
      </c>
      <c r="U249" s="15" t="str">
        <f aca="false">TEXT(A249,"yyyy-mm")</f>
        <v>2022-03</v>
      </c>
    </row>
    <row r="250" customFormat="false" ht="15" hidden="false" customHeight="false" outlineLevel="0" collapsed="false">
      <c r="A250" s="10" t="n">
        <v>44650</v>
      </c>
      <c r="B250" s="11" t="s">
        <v>382</v>
      </c>
      <c r="C250" s="11" t="s">
        <v>111</v>
      </c>
      <c r="D250" s="11" t="s">
        <v>67</v>
      </c>
      <c r="E250" s="11" t="s">
        <v>79</v>
      </c>
      <c r="F250" s="12" t="n">
        <v>3545808</v>
      </c>
      <c r="G250" s="12" t="n">
        <v>3350000</v>
      </c>
      <c r="H250" s="11" t="n">
        <v>18</v>
      </c>
      <c r="I250" s="11" t="s">
        <v>69</v>
      </c>
      <c r="J250" s="11" t="s">
        <v>70</v>
      </c>
      <c r="K250" s="11" t="s">
        <v>71</v>
      </c>
      <c r="L250" s="11" t="s">
        <v>72</v>
      </c>
      <c r="M250" s="11" t="s">
        <v>73</v>
      </c>
      <c r="N250" s="11" t="s">
        <v>109</v>
      </c>
      <c r="O250" s="11" t="s">
        <v>75</v>
      </c>
      <c r="P250" s="11" t="s">
        <v>95</v>
      </c>
      <c r="Q250" s="13" t="n">
        <f aca="false">F250*H250</f>
        <v>63824544</v>
      </c>
      <c r="R250" s="13" t="n">
        <f aca="false">G250*H250</f>
        <v>60300000</v>
      </c>
      <c r="S250" s="13" t="n">
        <f aca="false">Q250-R250</f>
        <v>3524544</v>
      </c>
      <c r="T250" s="14" t="n">
        <f aca="false">IFERROR(S250/Q250,0)</f>
        <v>0.0552223921881839</v>
      </c>
      <c r="U250" s="15" t="str">
        <f aca="false">TEXT(A250,"yyyy-mm")</f>
        <v>2022-03</v>
      </c>
    </row>
    <row r="251" customFormat="false" ht="15" hidden="false" customHeight="false" outlineLevel="0" collapsed="false">
      <c r="A251" s="10" t="n">
        <v>44652</v>
      </c>
      <c r="B251" s="11" t="s">
        <v>383</v>
      </c>
      <c r="C251" s="11" t="s">
        <v>115</v>
      </c>
      <c r="D251" s="11" t="s">
        <v>67</v>
      </c>
      <c r="E251" s="11" t="s">
        <v>98</v>
      </c>
      <c r="F251" s="12" t="n">
        <v>4200743</v>
      </c>
      <c r="G251" s="12" t="n">
        <v>4101000</v>
      </c>
      <c r="H251" s="11" t="n">
        <v>14</v>
      </c>
      <c r="I251" s="11" t="s">
        <v>69</v>
      </c>
      <c r="J251" s="11" t="s">
        <v>80</v>
      </c>
      <c r="K251" s="11" t="s">
        <v>81</v>
      </c>
      <c r="L251" s="11" t="s">
        <v>82</v>
      </c>
      <c r="M251" s="11" t="s">
        <v>73</v>
      </c>
      <c r="N251" s="11" t="s">
        <v>99</v>
      </c>
      <c r="O251" s="11" t="s">
        <v>100</v>
      </c>
      <c r="P251" s="11" t="s">
        <v>101</v>
      </c>
      <c r="Q251" s="13" t="n">
        <f aca="false">F251*H251</f>
        <v>58810402</v>
      </c>
      <c r="R251" s="13" t="n">
        <f aca="false">G251*H251</f>
        <v>57414000</v>
      </c>
      <c r="S251" s="13" t="n">
        <f aca="false">Q251-R251</f>
        <v>1396402</v>
      </c>
      <c r="T251" s="14" t="n">
        <f aca="false">IFERROR(S251/Q251,0)</f>
        <v>0.023744132883159</v>
      </c>
      <c r="U251" s="15" t="str">
        <f aca="false">TEXT(A251,"yyyy-mm")</f>
        <v>2022-04</v>
      </c>
    </row>
    <row r="252" customFormat="false" ht="15" hidden="false" customHeight="false" outlineLevel="0" collapsed="false">
      <c r="A252" s="10" t="n">
        <v>44652</v>
      </c>
      <c r="B252" s="11" t="s">
        <v>384</v>
      </c>
      <c r="C252" s="11" t="s">
        <v>117</v>
      </c>
      <c r="D252" s="11" t="s">
        <v>118</v>
      </c>
      <c r="E252" s="11" t="s">
        <v>119</v>
      </c>
      <c r="F252" s="12" t="n">
        <v>8220549</v>
      </c>
      <c r="G252" s="12" t="n">
        <v>6500000</v>
      </c>
      <c r="H252" s="11" t="n">
        <v>8</v>
      </c>
      <c r="I252" s="11" t="s">
        <v>86</v>
      </c>
      <c r="J252" s="11" t="s">
        <v>87</v>
      </c>
      <c r="K252" s="11" t="s">
        <v>88</v>
      </c>
      <c r="L252" s="11" t="s">
        <v>89</v>
      </c>
      <c r="M252" s="11" t="s">
        <v>90</v>
      </c>
      <c r="N252" s="11" t="s">
        <v>74</v>
      </c>
      <c r="O252" s="11" t="s">
        <v>75</v>
      </c>
      <c r="P252" s="11" t="s">
        <v>76</v>
      </c>
      <c r="Q252" s="13" t="n">
        <f aca="false">F252*H252</f>
        <v>65764392</v>
      </c>
      <c r="R252" s="13" t="n">
        <f aca="false">G252*H252</f>
        <v>52000000</v>
      </c>
      <c r="S252" s="13" t="n">
        <f aca="false">Q252-R252</f>
        <v>13764392</v>
      </c>
      <c r="T252" s="14" t="n">
        <f aca="false">IFERROR(S252/Q252,0)</f>
        <v>0.209298551714733</v>
      </c>
      <c r="U252" s="15" t="str">
        <f aca="false">TEXT(A252,"yyyy-mm")</f>
        <v>2022-04</v>
      </c>
    </row>
    <row r="253" customFormat="false" ht="15" hidden="false" customHeight="false" outlineLevel="0" collapsed="false">
      <c r="A253" s="10" t="n">
        <v>44652</v>
      </c>
      <c r="B253" s="11" t="s">
        <v>385</v>
      </c>
      <c r="C253" s="11" t="s">
        <v>121</v>
      </c>
      <c r="D253" s="11" t="s">
        <v>118</v>
      </c>
      <c r="E253" s="11" t="s">
        <v>122</v>
      </c>
      <c r="F253" s="12" t="n">
        <v>7687274</v>
      </c>
      <c r="G253" s="12" t="n">
        <v>6500000</v>
      </c>
      <c r="H253" s="11" t="n">
        <v>11</v>
      </c>
      <c r="I253" s="11" t="s">
        <v>69</v>
      </c>
      <c r="J253" s="11" t="s">
        <v>70</v>
      </c>
      <c r="K253" s="11" t="s">
        <v>71</v>
      </c>
      <c r="L253" s="11" t="s">
        <v>72</v>
      </c>
      <c r="M253" s="11" t="s">
        <v>73</v>
      </c>
      <c r="N253" s="11" t="s">
        <v>173</v>
      </c>
      <c r="O253" s="11" t="s">
        <v>174</v>
      </c>
      <c r="P253" s="11" t="s">
        <v>95</v>
      </c>
      <c r="Q253" s="13" t="n">
        <f aca="false">F253*H253</f>
        <v>84560014</v>
      </c>
      <c r="R253" s="13" t="n">
        <f aca="false">G253*H253</f>
        <v>71500000</v>
      </c>
      <c r="S253" s="13" t="n">
        <f aca="false">Q253-R253</f>
        <v>13060014</v>
      </c>
      <c r="T253" s="14" t="n">
        <f aca="false">IFERROR(S253/Q253,0)</f>
        <v>0.154446686822923</v>
      </c>
      <c r="U253" s="15" t="str">
        <f aca="false">TEXT(A253,"yyyy-mm")</f>
        <v>2022-04</v>
      </c>
    </row>
    <row r="254" customFormat="false" ht="15" hidden="false" customHeight="false" outlineLevel="0" collapsed="false">
      <c r="A254" s="10" t="n">
        <v>44653</v>
      </c>
      <c r="B254" s="11" t="s">
        <v>386</v>
      </c>
      <c r="C254" s="11" t="s">
        <v>125</v>
      </c>
      <c r="D254" s="11" t="s">
        <v>118</v>
      </c>
      <c r="E254" s="11" t="s">
        <v>126</v>
      </c>
      <c r="F254" s="12" t="n">
        <v>5684211</v>
      </c>
      <c r="G254" s="12" t="n">
        <v>4300000</v>
      </c>
      <c r="H254" s="11" t="n">
        <v>15</v>
      </c>
      <c r="I254" s="11" t="s">
        <v>69</v>
      </c>
      <c r="J254" s="11" t="s">
        <v>112</v>
      </c>
      <c r="K254" s="11" t="s">
        <v>113</v>
      </c>
      <c r="L254" s="11" t="s">
        <v>82</v>
      </c>
      <c r="M254" s="11" t="s">
        <v>157</v>
      </c>
      <c r="N254" s="11" t="s">
        <v>123</v>
      </c>
      <c r="O254" s="11" t="s">
        <v>60</v>
      </c>
      <c r="P254" s="11" t="s">
        <v>106</v>
      </c>
      <c r="Q254" s="13" t="n">
        <f aca="false">F254*H254</f>
        <v>85263165</v>
      </c>
      <c r="R254" s="13" t="n">
        <f aca="false">G254*H254</f>
        <v>64500000</v>
      </c>
      <c r="S254" s="13" t="n">
        <f aca="false">Q254-R254</f>
        <v>20763165</v>
      </c>
      <c r="T254" s="14" t="n">
        <f aca="false">IFERROR(S254/Q254,0)</f>
        <v>0.243518581558637</v>
      </c>
      <c r="U254" s="15" t="str">
        <f aca="false">TEXT(A254,"yyyy-mm")</f>
        <v>2022-04</v>
      </c>
    </row>
    <row r="255" customFormat="false" ht="15" hidden="false" customHeight="false" outlineLevel="0" collapsed="false">
      <c r="A255" s="10" t="n">
        <v>44653</v>
      </c>
      <c r="B255" s="11" t="s">
        <v>387</v>
      </c>
      <c r="C255" s="11" t="s">
        <v>128</v>
      </c>
      <c r="D255" s="11" t="s">
        <v>118</v>
      </c>
      <c r="E255" s="11" t="s">
        <v>119</v>
      </c>
      <c r="F255" s="12" t="n">
        <v>3370302</v>
      </c>
      <c r="G255" s="12" t="n">
        <v>2100000</v>
      </c>
      <c r="H255" s="11" t="n">
        <v>32</v>
      </c>
      <c r="I255" s="11" t="s">
        <v>69</v>
      </c>
      <c r="J255" s="11" t="s">
        <v>112</v>
      </c>
      <c r="K255" s="11" t="s">
        <v>113</v>
      </c>
      <c r="L255" s="11" t="s">
        <v>82</v>
      </c>
      <c r="M255" s="11" t="s">
        <v>157</v>
      </c>
      <c r="N255" s="11" t="s">
        <v>74</v>
      </c>
      <c r="O255" s="11" t="s">
        <v>75</v>
      </c>
      <c r="P255" s="11" t="s">
        <v>76</v>
      </c>
      <c r="Q255" s="13" t="n">
        <f aca="false">F255*H255</f>
        <v>107849664</v>
      </c>
      <c r="R255" s="13" t="n">
        <f aca="false">G255*H255</f>
        <v>67200000</v>
      </c>
      <c r="S255" s="13" t="n">
        <f aca="false">Q255-R255</f>
        <v>40649664</v>
      </c>
      <c r="T255" s="14" t="n">
        <f aca="false">IFERROR(S255/Q255,0)</f>
        <v>0.37691043710623</v>
      </c>
      <c r="U255" s="15" t="str">
        <f aca="false">TEXT(A255,"yyyy-mm")</f>
        <v>2022-04</v>
      </c>
    </row>
    <row r="256" customFormat="false" ht="15" hidden="false" customHeight="false" outlineLevel="0" collapsed="false">
      <c r="A256" s="10" t="n">
        <v>44653</v>
      </c>
      <c r="B256" s="11" t="s">
        <v>388</v>
      </c>
      <c r="C256" s="11" t="s">
        <v>130</v>
      </c>
      <c r="D256" s="11" t="s">
        <v>118</v>
      </c>
      <c r="E256" s="11" t="s">
        <v>68</v>
      </c>
      <c r="F256" s="12" t="n">
        <v>2852897</v>
      </c>
      <c r="G256" s="12" t="n">
        <v>2450000</v>
      </c>
      <c r="H256" s="11" t="n">
        <v>13</v>
      </c>
      <c r="I256" s="11" t="s">
        <v>69</v>
      </c>
      <c r="J256" s="11" t="s">
        <v>80</v>
      </c>
      <c r="K256" s="11" t="s">
        <v>81</v>
      </c>
      <c r="L256" s="11" t="s">
        <v>82</v>
      </c>
      <c r="M256" s="11" t="s">
        <v>73</v>
      </c>
      <c r="N256" s="11" t="s">
        <v>74</v>
      </c>
      <c r="O256" s="11" t="s">
        <v>75</v>
      </c>
      <c r="P256" s="11" t="s">
        <v>76</v>
      </c>
      <c r="Q256" s="13" t="n">
        <f aca="false">F256*H256</f>
        <v>37087661</v>
      </c>
      <c r="R256" s="13" t="n">
        <f aca="false">G256*H256</f>
        <v>31850000</v>
      </c>
      <c r="S256" s="13" t="n">
        <f aca="false">Q256-R256</f>
        <v>5237661</v>
      </c>
      <c r="T256" s="14" t="n">
        <f aca="false">IFERROR(S256/Q256,0)</f>
        <v>0.141223815651249</v>
      </c>
      <c r="U256" s="15" t="str">
        <f aca="false">TEXT(A256,"yyyy-mm")</f>
        <v>2022-04</v>
      </c>
    </row>
    <row r="257" customFormat="false" ht="15" hidden="false" customHeight="false" outlineLevel="0" collapsed="false">
      <c r="A257" s="10" t="n">
        <v>44654</v>
      </c>
      <c r="B257" s="11" t="s">
        <v>389</v>
      </c>
      <c r="C257" s="11" t="s">
        <v>132</v>
      </c>
      <c r="D257" s="11" t="s">
        <v>118</v>
      </c>
      <c r="E257" s="11" t="s">
        <v>68</v>
      </c>
      <c r="F257" s="12" t="n">
        <v>4803603</v>
      </c>
      <c r="G257" s="12" t="n">
        <v>4121000</v>
      </c>
      <c r="H257" s="11" t="n">
        <v>12</v>
      </c>
      <c r="I257" s="11" t="s">
        <v>69</v>
      </c>
      <c r="J257" s="11" t="s">
        <v>80</v>
      </c>
      <c r="K257" s="11" t="s">
        <v>81</v>
      </c>
      <c r="L257" s="11" t="s">
        <v>82</v>
      </c>
      <c r="M257" s="11" t="s">
        <v>73</v>
      </c>
      <c r="N257" s="11" t="s">
        <v>173</v>
      </c>
      <c r="O257" s="11" t="s">
        <v>174</v>
      </c>
      <c r="P257" s="11" t="s">
        <v>95</v>
      </c>
      <c r="Q257" s="13" t="n">
        <f aca="false">F257*H257</f>
        <v>57643236</v>
      </c>
      <c r="R257" s="13" t="n">
        <f aca="false">G257*H257</f>
        <v>49452000</v>
      </c>
      <c r="S257" s="13" t="n">
        <f aca="false">Q257-R257</f>
        <v>8191236</v>
      </c>
      <c r="T257" s="14" t="n">
        <f aca="false">IFERROR(S257/Q257,0)</f>
        <v>0.142102292799801</v>
      </c>
      <c r="U257" s="15" t="str">
        <f aca="false">TEXT(A257,"yyyy-mm")</f>
        <v>2022-04</v>
      </c>
    </row>
    <row r="258" customFormat="false" ht="15" hidden="false" customHeight="false" outlineLevel="0" collapsed="false">
      <c r="A258" s="10" t="n">
        <v>44654</v>
      </c>
      <c r="B258" s="11" t="s">
        <v>390</v>
      </c>
      <c r="C258" s="11" t="s">
        <v>135</v>
      </c>
      <c r="D258" s="11" t="s">
        <v>118</v>
      </c>
      <c r="E258" s="11" t="s">
        <v>68</v>
      </c>
      <c r="F258" s="12" t="n">
        <v>5689947</v>
      </c>
      <c r="G258" s="12" t="n">
        <v>5235000</v>
      </c>
      <c r="H258" s="11" t="n">
        <v>27</v>
      </c>
      <c r="I258" s="11" t="s">
        <v>69</v>
      </c>
      <c r="J258" s="11" t="s">
        <v>80</v>
      </c>
      <c r="K258" s="11" t="s">
        <v>81</v>
      </c>
      <c r="L258" s="11" t="s">
        <v>82</v>
      </c>
      <c r="M258" s="11" t="s">
        <v>73</v>
      </c>
      <c r="N258" s="11" t="s">
        <v>149</v>
      </c>
      <c r="O258" s="11" t="s">
        <v>150</v>
      </c>
      <c r="P258" s="11" t="s">
        <v>151</v>
      </c>
      <c r="Q258" s="13" t="n">
        <f aca="false">F258*H258</f>
        <v>153628569</v>
      </c>
      <c r="R258" s="13" t="n">
        <f aca="false">G258*H258</f>
        <v>141345000</v>
      </c>
      <c r="S258" s="13" t="n">
        <f aca="false">Q258-R258</f>
        <v>12283569</v>
      </c>
      <c r="T258" s="14" t="n">
        <f aca="false">IFERROR(S258/Q258,0)</f>
        <v>0.0799562807878527</v>
      </c>
      <c r="U258" s="15" t="str">
        <f aca="false">TEXT(A258,"yyyy-mm")</f>
        <v>2022-04</v>
      </c>
    </row>
    <row r="259" customFormat="false" ht="15" hidden="false" customHeight="false" outlineLevel="0" collapsed="false">
      <c r="A259" s="10" t="n">
        <v>44654</v>
      </c>
      <c r="B259" s="11" t="s">
        <v>391</v>
      </c>
      <c r="C259" s="11" t="s">
        <v>137</v>
      </c>
      <c r="D259" s="11" t="s">
        <v>138</v>
      </c>
      <c r="E259" s="11" t="s">
        <v>139</v>
      </c>
      <c r="F259" s="12" t="n">
        <v>5171827</v>
      </c>
      <c r="G259" s="12" t="n">
        <v>4890000</v>
      </c>
      <c r="H259" s="11" t="n">
        <v>18</v>
      </c>
      <c r="I259" s="11" t="s">
        <v>69</v>
      </c>
      <c r="J259" s="11" t="s">
        <v>80</v>
      </c>
      <c r="K259" s="11" t="s">
        <v>81</v>
      </c>
      <c r="L259" s="11" t="s">
        <v>82</v>
      </c>
      <c r="M259" s="11" t="s">
        <v>73</v>
      </c>
      <c r="N259" s="11" t="s">
        <v>173</v>
      </c>
      <c r="O259" s="11" t="s">
        <v>174</v>
      </c>
      <c r="P259" s="11" t="s">
        <v>95</v>
      </c>
      <c r="Q259" s="13" t="n">
        <f aca="false">F259*H259</f>
        <v>93092886</v>
      </c>
      <c r="R259" s="13" t="n">
        <f aca="false">G259*H259</f>
        <v>88020000</v>
      </c>
      <c r="S259" s="13" t="n">
        <f aca="false">Q259-R259</f>
        <v>5072886</v>
      </c>
      <c r="T259" s="14" t="n">
        <f aca="false">IFERROR(S259/Q259,0)</f>
        <v>0.0544927353525166</v>
      </c>
      <c r="U259" s="15" t="str">
        <f aca="false">TEXT(A259,"yyyy-mm")</f>
        <v>2022-04</v>
      </c>
    </row>
    <row r="260" customFormat="false" ht="15" hidden="false" customHeight="false" outlineLevel="0" collapsed="false">
      <c r="A260" s="10" t="n">
        <v>44655</v>
      </c>
      <c r="B260" s="11" t="s">
        <v>392</v>
      </c>
      <c r="C260" s="11" t="s">
        <v>141</v>
      </c>
      <c r="D260" s="11" t="s">
        <v>138</v>
      </c>
      <c r="E260" s="11" t="s">
        <v>142</v>
      </c>
      <c r="F260" s="12" t="n">
        <v>2805124</v>
      </c>
      <c r="G260" s="12" t="n">
        <v>2178000</v>
      </c>
      <c r="H260" s="11" t="n">
        <v>14</v>
      </c>
      <c r="I260" s="11" t="s">
        <v>69</v>
      </c>
      <c r="J260" s="11" t="s">
        <v>80</v>
      </c>
      <c r="K260" s="11" t="s">
        <v>81</v>
      </c>
      <c r="L260" s="11" t="s">
        <v>82</v>
      </c>
      <c r="M260" s="11" t="s">
        <v>73</v>
      </c>
      <c r="N260" s="11" t="s">
        <v>104</v>
      </c>
      <c r="O260" s="11" t="s">
        <v>105</v>
      </c>
      <c r="P260" s="11" t="s">
        <v>106</v>
      </c>
      <c r="Q260" s="13" t="n">
        <f aca="false">F260*H260</f>
        <v>39271736</v>
      </c>
      <c r="R260" s="13" t="n">
        <f aca="false">G260*H260</f>
        <v>30492000</v>
      </c>
      <c r="S260" s="13" t="n">
        <f aca="false">Q260-R260</f>
        <v>8779736</v>
      </c>
      <c r="T260" s="14" t="n">
        <f aca="false">IFERROR(S260/Q260,0)</f>
        <v>0.22356373550688</v>
      </c>
      <c r="U260" s="15" t="str">
        <f aca="false">TEXT(A260,"yyyy-mm")</f>
        <v>2022-04</v>
      </c>
    </row>
    <row r="261" customFormat="false" ht="15" hidden="false" customHeight="false" outlineLevel="0" collapsed="false">
      <c r="A261" s="10" t="n">
        <v>44655</v>
      </c>
      <c r="B261" s="11" t="s">
        <v>393</v>
      </c>
      <c r="C261" s="11" t="s">
        <v>146</v>
      </c>
      <c r="D261" s="11" t="s">
        <v>138</v>
      </c>
      <c r="E261" s="11" t="s">
        <v>139</v>
      </c>
      <c r="F261" s="12" t="n">
        <v>2728100</v>
      </c>
      <c r="G261" s="12" t="n">
        <v>2321000</v>
      </c>
      <c r="H261" s="11" t="n">
        <v>17</v>
      </c>
      <c r="I261" s="11" t="s">
        <v>86</v>
      </c>
      <c r="J261" s="11" t="s">
        <v>87</v>
      </c>
      <c r="K261" s="11" t="s">
        <v>88</v>
      </c>
      <c r="L261" s="11" t="s">
        <v>89</v>
      </c>
      <c r="M261" s="11" t="s">
        <v>90</v>
      </c>
      <c r="N261" s="11" t="s">
        <v>149</v>
      </c>
      <c r="O261" s="11" t="s">
        <v>150</v>
      </c>
      <c r="P261" s="11" t="s">
        <v>151</v>
      </c>
      <c r="Q261" s="13" t="n">
        <f aca="false">F261*H261</f>
        <v>46377700</v>
      </c>
      <c r="R261" s="13" t="n">
        <f aca="false">G261*H261</f>
        <v>39457000</v>
      </c>
      <c r="S261" s="13" t="n">
        <f aca="false">Q261-R261</f>
        <v>6920700</v>
      </c>
      <c r="T261" s="14" t="n">
        <f aca="false">IFERROR(S261/Q261,0)</f>
        <v>0.149224735163667</v>
      </c>
      <c r="U261" s="15" t="str">
        <f aca="false">TEXT(A261,"yyyy-mm")</f>
        <v>2022-04</v>
      </c>
    </row>
    <row r="262" customFormat="false" ht="15" hidden="false" customHeight="false" outlineLevel="0" collapsed="false">
      <c r="A262" s="10" t="n">
        <v>44655</v>
      </c>
      <c r="B262" s="11" t="s">
        <v>394</v>
      </c>
      <c r="C262" s="11" t="s">
        <v>148</v>
      </c>
      <c r="D262" s="11" t="s">
        <v>138</v>
      </c>
      <c r="E262" s="11" t="s">
        <v>122</v>
      </c>
      <c r="F262" s="12" t="n">
        <v>4941716</v>
      </c>
      <c r="G262" s="12" t="n">
        <v>4456000</v>
      </c>
      <c r="H262" s="11" t="n">
        <v>18</v>
      </c>
      <c r="I262" s="11" t="s">
        <v>69</v>
      </c>
      <c r="J262" s="11" t="s">
        <v>70</v>
      </c>
      <c r="K262" s="11" t="s">
        <v>71</v>
      </c>
      <c r="L262" s="11" t="s">
        <v>72</v>
      </c>
      <c r="M262" s="11" t="s">
        <v>73</v>
      </c>
      <c r="N262" s="11" t="s">
        <v>123</v>
      </c>
      <c r="O262" s="11" t="s">
        <v>60</v>
      </c>
      <c r="P262" s="11" t="s">
        <v>106</v>
      </c>
      <c r="Q262" s="13" t="n">
        <f aca="false">F262*H262</f>
        <v>88950888</v>
      </c>
      <c r="R262" s="13" t="n">
        <f aca="false">G262*H262</f>
        <v>80208000</v>
      </c>
      <c r="S262" s="13" t="n">
        <f aca="false">Q262-R262</f>
        <v>8742888</v>
      </c>
      <c r="T262" s="14" t="n">
        <f aca="false">IFERROR(S262/Q262,0)</f>
        <v>0.0982889344511097</v>
      </c>
      <c r="U262" s="15" t="str">
        <f aca="false">TEXT(A262,"yyyy-mm")</f>
        <v>2022-04</v>
      </c>
    </row>
    <row r="263" customFormat="false" ht="15" hidden="false" customHeight="false" outlineLevel="0" collapsed="false">
      <c r="A263" s="10" t="n">
        <v>44655</v>
      </c>
      <c r="B263" s="11" t="s">
        <v>395</v>
      </c>
      <c r="C263" s="11" t="s">
        <v>66</v>
      </c>
      <c r="D263" s="11" t="s">
        <v>67</v>
      </c>
      <c r="E263" s="11" t="s">
        <v>68</v>
      </c>
      <c r="F263" s="12" t="n">
        <v>3048952</v>
      </c>
      <c r="G263" s="12" t="n">
        <v>2560000</v>
      </c>
      <c r="H263" s="11" t="n">
        <v>13</v>
      </c>
      <c r="I263" s="11" t="s">
        <v>69</v>
      </c>
      <c r="J263" s="11" t="s">
        <v>70</v>
      </c>
      <c r="K263" s="11" t="s">
        <v>71</v>
      </c>
      <c r="L263" s="11" t="s">
        <v>72</v>
      </c>
      <c r="M263" s="11" t="s">
        <v>73</v>
      </c>
      <c r="N263" s="11" t="s">
        <v>93</v>
      </c>
      <c r="O263" s="11" t="s">
        <v>94</v>
      </c>
      <c r="P263" s="11" t="s">
        <v>95</v>
      </c>
      <c r="Q263" s="13" t="n">
        <f aca="false">F263*H263</f>
        <v>39636376</v>
      </c>
      <c r="R263" s="13" t="n">
        <f aca="false">G263*H263</f>
        <v>33280000</v>
      </c>
      <c r="S263" s="13" t="n">
        <f aca="false">Q263-R263</f>
        <v>6356376</v>
      </c>
      <c r="T263" s="14" t="n">
        <f aca="false">IFERROR(S263/Q263,0)</f>
        <v>0.160367234380863</v>
      </c>
      <c r="U263" s="15" t="str">
        <f aca="false">TEXT(A263,"yyyy-mm")</f>
        <v>2022-04</v>
      </c>
    </row>
    <row r="264" customFormat="false" ht="15" hidden="false" customHeight="false" outlineLevel="0" collapsed="false">
      <c r="A264" s="10" t="n">
        <v>44656</v>
      </c>
      <c r="B264" s="11" t="s">
        <v>396</v>
      </c>
      <c r="C264" s="11" t="s">
        <v>78</v>
      </c>
      <c r="D264" s="11" t="s">
        <v>67</v>
      </c>
      <c r="E264" s="11" t="s">
        <v>79</v>
      </c>
      <c r="F264" s="12" t="n">
        <v>1870000</v>
      </c>
      <c r="G264" s="12" t="n">
        <v>1650000</v>
      </c>
      <c r="H264" s="11" t="n">
        <v>1</v>
      </c>
      <c r="I264" s="11" t="s">
        <v>69</v>
      </c>
      <c r="J264" s="11" t="s">
        <v>112</v>
      </c>
      <c r="K264" s="11" t="s">
        <v>113</v>
      </c>
      <c r="L264" s="11" t="s">
        <v>82</v>
      </c>
      <c r="M264" s="11" t="s">
        <v>157</v>
      </c>
      <c r="N264" s="11" t="s">
        <v>143</v>
      </c>
      <c r="O264" s="11" t="s">
        <v>144</v>
      </c>
      <c r="P264" s="11" t="s">
        <v>101</v>
      </c>
      <c r="Q264" s="13" t="n">
        <f aca="false">F264*H264</f>
        <v>1870000</v>
      </c>
      <c r="R264" s="13" t="n">
        <f aca="false">G264*H264</f>
        <v>1650000</v>
      </c>
      <c r="S264" s="13" t="n">
        <f aca="false">Q264-R264</f>
        <v>220000</v>
      </c>
      <c r="T264" s="14" t="n">
        <f aca="false">IFERROR(S264/Q264,0)</f>
        <v>0.117647058823529</v>
      </c>
      <c r="U264" s="15" t="str">
        <f aca="false">TEXT(A264,"yyyy-mm")</f>
        <v>2022-04</v>
      </c>
    </row>
    <row r="265" customFormat="false" ht="15" hidden="false" customHeight="false" outlineLevel="0" collapsed="false">
      <c r="A265" s="10" t="n">
        <v>44656</v>
      </c>
      <c r="B265" s="11" t="s">
        <v>397</v>
      </c>
      <c r="C265" s="11" t="s">
        <v>84</v>
      </c>
      <c r="D265" s="11" t="s">
        <v>67</v>
      </c>
      <c r="E265" s="11" t="s">
        <v>85</v>
      </c>
      <c r="F265" s="12" t="n">
        <v>2600000</v>
      </c>
      <c r="G265" s="12" t="n">
        <v>2300000</v>
      </c>
      <c r="H265" s="11" t="n">
        <v>7</v>
      </c>
      <c r="I265" s="11" t="s">
        <v>69</v>
      </c>
      <c r="J265" s="11" t="s">
        <v>112</v>
      </c>
      <c r="K265" s="11" t="s">
        <v>113</v>
      </c>
      <c r="L265" s="11" t="s">
        <v>82</v>
      </c>
      <c r="M265" s="11" t="s">
        <v>157</v>
      </c>
      <c r="N265" s="11" t="s">
        <v>99</v>
      </c>
      <c r="O265" s="11" t="s">
        <v>100</v>
      </c>
      <c r="P265" s="11" t="s">
        <v>101</v>
      </c>
      <c r="Q265" s="13" t="n">
        <f aca="false">F265*H265</f>
        <v>18200000</v>
      </c>
      <c r="R265" s="13" t="n">
        <f aca="false">G265*H265</f>
        <v>16100000</v>
      </c>
      <c r="S265" s="13" t="n">
        <f aca="false">Q265-R265</f>
        <v>2100000</v>
      </c>
      <c r="T265" s="14" t="n">
        <f aca="false">IFERROR(S265/Q265,0)</f>
        <v>0.115384615384615</v>
      </c>
      <c r="U265" s="15" t="str">
        <f aca="false">TEXT(A265,"yyyy-mm")</f>
        <v>2022-04</v>
      </c>
    </row>
    <row r="266" customFormat="false" ht="15" hidden="false" customHeight="false" outlineLevel="0" collapsed="false">
      <c r="A266" s="10" t="n">
        <v>44656</v>
      </c>
      <c r="B266" s="11" t="s">
        <v>398</v>
      </c>
      <c r="C266" s="11" t="s">
        <v>92</v>
      </c>
      <c r="D266" s="11" t="s">
        <v>67</v>
      </c>
      <c r="E266" s="11" t="s">
        <v>79</v>
      </c>
      <c r="F266" s="12" t="n">
        <v>3577480</v>
      </c>
      <c r="G266" s="12" t="n">
        <v>3100000</v>
      </c>
      <c r="H266" s="11" t="n">
        <v>17</v>
      </c>
      <c r="I266" s="11" t="s">
        <v>69</v>
      </c>
      <c r="J266" s="11" t="s">
        <v>70</v>
      </c>
      <c r="K266" s="11" t="s">
        <v>71</v>
      </c>
      <c r="L266" s="11" t="s">
        <v>72</v>
      </c>
      <c r="M266" s="11" t="s">
        <v>73</v>
      </c>
      <c r="N266" s="11" t="s">
        <v>93</v>
      </c>
      <c r="O266" s="11" t="s">
        <v>94</v>
      </c>
      <c r="P266" s="11" t="s">
        <v>95</v>
      </c>
      <c r="Q266" s="13" t="n">
        <f aca="false">F266*H266</f>
        <v>60817160</v>
      </c>
      <c r="R266" s="13" t="n">
        <f aca="false">G266*H266</f>
        <v>52700000</v>
      </c>
      <c r="S266" s="13" t="n">
        <f aca="false">Q266-R266</f>
        <v>8117160</v>
      </c>
      <c r="T266" s="14" t="n">
        <f aca="false">IFERROR(S266/Q266,0)</f>
        <v>0.133468251394837</v>
      </c>
      <c r="U266" s="15" t="str">
        <f aca="false">TEXT(A266,"yyyy-mm")</f>
        <v>2022-04</v>
      </c>
    </row>
    <row r="267" customFormat="false" ht="15" hidden="false" customHeight="false" outlineLevel="0" collapsed="false">
      <c r="A267" s="10" t="n">
        <v>44657</v>
      </c>
      <c r="B267" s="11" t="s">
        <v>399</v>
      </c>
      <c r="C267" s="11" t="s">
        <v>97</v>
      </c>
      <c r="D267" s="11" t="s">
        <v>67</v>
      </c>
      <c r="E267" s="11" t="s">
        <v>98</v>
      </c>
      <c r="F267" s="12" t="n">
        <v>4969724</v>
      </c>
      <c r="G267" s="12" t="n">
        <v>4121560</v>
      </c>
      <c r="H267" s="11" t="n">
        <v>13</v>
      </c>
      <c r="I267" s="11" t="s">
        <v>69</v>
      </c>
      <c r="J267" s="11" t="s">
        <v>80</v>
      </c>
      <c r="K267" s="11" t="s">
        <v>81</v>
      </c>
      <c r="L267" s="11" t="s">
        <v>82</v>
      </c>
      <c r="M267" s="11" t="s">
        <v>73</v>
      </c>
      <c r="N267" s="11" t="s">
        <v>133</v>
      </c>
      <c r="O267" s="11" t="s">
        <v>60</v>
      </c>
      <c r="P267" s="11" t="s">
        <v>76</v>
      </c>
      <c r="Q267" s="13" t="n">
        <f aca="false">F267*H267</f>
        <v>64606412</v>
      </c>
      <c r="R267" s="13" t="n">
        <f aca="false">G267*H267</f>
        <v>53580280</v>
      </c>
      <c r="S267" s="13" t="n">
        <f aca="false">Q267-R267</f>
        <v>11026132</v>
      </c>
      <c r="T267" s="14" t="n">
        <f aca="false">IFERROR(S267/Q267,0)</f>
        <v>0.170666218083741</v>
      </c>
      <c r="U267" s="15" t="str">
        <f aca="false">TEXT(A267,"yyyy-mm")</f>
        <v>2022-04</v>
      </c>
    </row>
    <row r="268" customFormat="false" ht="15" hidden="false" customHeight="false" outlineLevel="0" collapsed="false">
      <c r="A268" s="10" t="n">
        <v>44657</v>
      </c>
      <c r="B268" s="11" t="s">
        <v>400</v>
      </c>
      <c r="C268" s="11" t="s">
        <v>103</v>
      </c>
      <c r="D268" s="11" t="s">
        <v>67</v>
      </c>
      <c r="E268" s="11" t="s">
        <v>68</v>
      </c>
      <c r="F268" s="12" t="n">
        <v>3319925</v>
      </c>
      <c r="G268" s="12" t="n">
        <v>2800000</v>
      </c>
      <c r="H268" s="11" t="n">
        <v>20</v>
      </c>
      <c r="I268" s="11" t="s">
        <v>86</v>
      </c>
      <c r="J268" s="11" t="s">
        <v>87</v>
      </c>
      <c r="K268" s="11" t="s">
        <v>88</v>
      </c>
      <c r="L268" s="11" t="s">
        <v>89</v>
      </c>
      <c r="M268" s="11" t="s">
        <v>90</v>
      </c>
      <c r="N268" s="11" t="s">
        <v>74</v>
      </c>
      <c r="O268" s="11" t="s">
        <v>75</v>
      </c>
      <c r="P268" s="11" t="s">
        <v>76</v>
      </c>
      <c r="Q268" s="13" t="n">
        <f aca="false">F268*H268</f>
        <v>66398500</v>
      </c>
      <c r="R268" s="13" t="n">
        <f aca="false">G268*H268</f>
        <v>56000000</v>
      </c>
      <c r="S268" s="13" t="n">
        <f aca="false">Q268-R268</f>
        <v>10398500</v>
      </c>
      <c r="T268" s="14" t="n">
        <f aca="false">IFERROR(S268/Q268,0)</f>
        <v>0.15660745348163</v>
      </c>
      <c r="U268" s="15" t="str">
        <f aca="false">TEXT(A268,"yyyy-mm")</f>
        <v>2022-04</v>
      </c>
    </row>
    <row r="269" customFormat="false" ht="15" hidden="false" customHeight="false" outlineLevel="0" collapsed="false">
      <c r="A269" s="10" t="n">
        <v>44657</v>
      </c>
      <c r="B269" s="11" t="s">
        <v>401</v>
      </c>
      <c r="C269" s="11" t="s">
        <v>108</v>
      </c>
      <c r="D269" s="11" t="s">
        <v>67</v>
      </c>
      <c r="E269" s="11" t="s">
        <v>68</v>
      </c>
      <c r="F269" s="12" t="n">
        <v>4757880</v>
      </c>
      <c r="G269" s="12" t="n">
        <v>3450000</v>
      </c>
      <c r="H269" s="11" t="n">
        <v>11</v>
      </c>
      <c r="I269" s="11" t="s">
        <v>69</v>
      </c>
      <c r="J269" s="11" t="s">
        <v>112</v>
      </c>
      <c r="K269" s="11" t="s">
        <v>113</v>
      </c>
      <c r="L269" s="11" t="s">
        <v>82</v>
      </c>
      <c r="M269" s="11" t="s">
        <v>157</v>
      </c>
      <c r="N269" s="11" t="s">
        <v>93</v>
      </c>
      <c r="O269" s="11" t="s">
        <v>94</v>
      </c>
      <c r="P269" s="11" t="s">
        <v>95</v>
      </c>
      <c r="Q269" s="13" t="n">
        <f aca="false">F269*H269</f>
        <v>52336680</v>
      </c>
      <c r="R269" s="13" t="n">
        <f aca="false">G269*H269</f>
        <v>37950000</v>
      </c>
      <c r="S269" s="13" t="n">
        <f aca="false">Q269-R269</f>
        <v>14386680</v>
      </c>
      <c r="T269" s="14" t="n">
        <f aca="false">IFERROR(S269/Q269,0)</f>
        <v>0.274887134606169</v>
      </c>
      <c r="U269" s="15" t="str">
        <f aca="false">TEXT(A269,"yyyy-mm")</f>
        <v>2022-04</v>
      </c>
    </row>
    <row r="270" customFormat="false" ht="15" hidden="false" customHeight="false" outlineLevel="0" collapsed="false">
      <c r="A270" s="10" t="n">
        <v>44657</v>
      </c>
      <c r="B270" s="11" t="s">
        <v>402</v>
      </c>
      <c r="C270" s="11" t="s">
        <v>111</v>
      </c>
      <c r="D270" s="11" t="s">
        <v>67</v>
      </c>
      <c r="E270" s="11" t="s">
        <v>79</v>
      </c>
      <c r="F270" s="12" t="n">
        <v>3545808</v>
      </c>
      <c r="G270" s="12" t="n">
        <v>3350000</v>
      </c>
      <c r="H270" s="11" t="n">
        <v>6</v>
      </c>
      <c r="I270" s="11" t="s">
        <v>86</v>
      </c>
      <c r="J270" s="11" t="s">
        <v>87</v>
      </c>
      <c r="K270" s="11" t="s">
        <v>88</v>
      </c>
      <c r="L270" s="11" t="s">
        <v>89</v>
      </c>
      <c r="M270" s="11" t="s">
        <v>90</v>
      </c>
      <c r="N270" s="11" t="s">
        <v>149</v>
      </c>
      <c r="O270" s="11" t="s">
        <v>150</v>
      </c>
      <c r="P270" s="11" t="s">
        <v>151</v>
      </c>
      <c r="Q270" s="13" t="n">
        <f aca="false">F270*H270</f>
        <v>21274848</v>
      </c>
      <c r="R270" s="13" t="n">
        <f aca="false">G270*H270</f>
        <v>20100000</v>
      </c>
      <c r="S270" s="13" t="n">
        <f aca="false">Q270-R270</f>
        <v>1174848</v>
      </c>
      <c r="T270" s="14" t="n">
        <f aca="false">IFERROR(S270/Q270,0)</f>
        <v>0.0552223921881839</v>
      </c>
      <c r="U270" s="15" t="str">
        <f aca="false">TEXT(A270,"yyyy-mm")</f>
        <v>2022-04</v>
      </c>
    </row>
    <row r="271" customFormat="false" ht="15" hidden="false" customHeight="false" outlineLevel="0" collapsed="false">
      <c r="A271" s="10" t="n">
        <v>44658</v>
      </c>
      <c r="B271" s="11" t="s">
        <v>403</v>
      </c>
      <c r="C271" s="11" t="s">
        <v>115</v>
      </c>
      <c r="D271" s="11" t="s">
        <v>67</v>
      </c>
      <c r="E271" s="11" t="s">
        <v>98</v>
      </c>
      <c r="F271" s="12" t="n">
        <v>4200743</v>
      </c>
      <c r="G271" s="12" t="n">
        <v>4101000</v>
      </c>
      <c r="H271" s="11" t="n">
        <v>13</v>
      </c>
      <c r="I271" s="11" t="s">
        <v>69</v>
      </c>
      <c r="J271" s="11" t="s">
        <v>112</v>
      </c>
      <c r="K271" s="11" t="s">
        <v>113</v>
      </c>
      <c r="L271" s="11" t="s">
        <v>82</v>
      </c>
      <c r="M271" s="11" t="s">
        <v>157</v>
      </c>
      <c r="N271" s="11" t="s">
        <v>173</v>
      </c>
      <c r="O271" s="11" t="s">
        <v>174</v>
      </c>
      <c r="P271" s="11" t="s">
        <v>95</v>
      </c>
      <c r="Q271" s="13" t="n">
        <f aca="false">F271*H271</f>
        <v>54609659</v>
      </c>
      <c r="R271" s="13" t="n">
        <f aca="false">G271*H271</f>
        <v>53313000</v>
      </c>
      <c r="S271" s="13" t="n">
        <f aca="false">Q271-R271</f>
        <v>1296659</v>
      </c>
      <c r="T271" s="14" t="n">
        <f aca="false">IFERROR(S271/Q271,0)</f>
        <v>0.023744132883159</v>
      </c>
      <c r="U271" s="15" t="str">
        <f aca="false">TEXT(A271,"yyyy-mm")</f>
        <v>2022-04</v>
      </c>
    </row>
    <row r="272" customFormat="false" ht="15" hidden="false" customHeight="false" outlineLevel="0" collapsed="false">
      <c r="A272" s="10" t="n">
        <v>44658</v>
      </c>
      <c r="B272" s="11" t="s">
        <v>404</v>
      </c>
      <c r="C272" s="11" t="s">
        <v>117</v>
      </c>
      <c r="D272" s="11" t="s">
        <v>118</v>
      </c>
      <c r="E272" s="11" t="s">
        <v>119</v>
      </c>
      <c r="F272" s="12" t="n">
        <v>8220549</v>
      </c>
      <c r="G272" s="12" t="n">
        <v>6500000</v>
      </c>
      <c r="H272" s="11" t="n">
        <v>14</v>
      </c>
      <c r="I272" s="11" t="s">
        <v>69</v>
      </c>
      <c r="J272" s="11" t="s">
        <v>112</v>
      </c>
      <c r="K272" s="11" t="s">
        <v>113</v>
      </c>
      <c r="L272" s="11" t="s">
        <v>82</v>
      </c>
      <c r="M272" s="11" t="s">
        <v>157</v>
      </c>
      <c r="N272" s="11" t="s">
        <v>74</v>
      </c>
      <c r="O272" s="11" t="s">
        <v>75</v>
      </c>
      <c r="P272" s="11" t="s">
        <v>76</v>
      </c>
      <c r="Q272" s="13" t="n">
        <f aca="false">F272*H272</f>
        <v>115087686</v>
      </c>
      <c r="R272" s="13" t="n">
        <f aca="false">G272*H272</f>
        <v>91000000</v>
      </c>
      <c r="S272" s="13" t="n">
        <f aca="false">Q272-R272</f>
        <v>24087686</v>
      </c>
      <c r="T272" s="14" t="n">
        <f aca="false">IFERROR(S272/Q272,0)</f>
        <v>0.209298551714733</v>
      </c>
      <c r="U272" s="15" t="str">
        <f aca="false">TEXT(A272,"yyyy-mm")</f>
        <v>2022-04</v>
      </c>
    </row>
    <row r="273" customFormat="false" ht="15" hidden="false" customHeight="false" outlineLevel="0" collapsed="false">
      <c r="A273" s="10" t="n">
        <v>44658</v>
      </c>
      <c r="B273" s="11" t="s">
        <v>405</v>
      </c>
      <c r="C273" s="11" t="s">
        <v>121</v>
      </c>
      <c r="D273" s="11" t="s">
        <v>118</v>
      </c>
      <c r="E273" s="11" t="s">
        <v>122</v>
      </c>
      <c r="F273" s="12" t="n">
        <v>7687274</v>
      </c>
      <c r="G273" s="12" t="n">
        <v>6500000</v>
      </c>
      <c r="H273" s="11" t="n">
        <v>19</v>
      </c>
      <c r="I273" s="11" t="s">
        <v>69</v>
      </c>
      <c r="J273" s="11" t="s">
        <v>80</v>
      </c>
      <c r="K273" s="11" t="s">
        <v>81</v>
      </c>
      <c r="L273" s="11" t="s">
        <v>82</v>
      </c>
      <c r="M273" s="11" t="s">
        <v>73</v>
      </c>
      <c r="N273" s="11" t="s">
        <v>149</v>
      </c>
      <c r="O273" s="11" t="s">
        <v>150</v>
      </c>
      <c r="P273" s="11" t="s">
        <v>151</v>
      </c>
      <c r="Q273" s="13" t="n">
        <f aca="false">F273*H273</f>
        <v>146058206</v>
      </c>
      <c r="R273" s="13" t="n">
        <f aca="false">G273*H273</f>
        <v>123500000</v>
      </c>
      <c r="S273" s="13" t="n">
        <f aca="false">Q273-R273</f>
        <v>22558206</v>
      </c>
      <c r="T273" s="14" t="n">
        <f aca="false">IFERROR(S273/Q273,0)</f>
        <v>0.154446686822923</v>
      </c>
      <c r="U273" s="15" t="str">
        <f aca="false">TEXT(A273,"yyyy-mm")</f>
        <v>2022-04</v>
      </c>
    </row>
    <row r="274" customFormat="false" ht="15" hidden="false" customHeight="false" outlineLevel="0" collapsed="false">
      <c r="A274" s="10" t="n">
        <v>44659</v>
      </c>
      <c r="B274" s="11" t="s">
        <v>406</v>
      </c>
      <c r="C274" s="11" t="s">
        <v>125</v>
      </c>
      <c r="D274" s="11" t="s">
        <v>118</v>
      </c>
      <c r="E274" s="11" t="s">
        <v>126</v>
      </c>
      <c r="F274" s="12" t="n">
        <v>5684211</v>
      </c>
      <c r="G274" s="12" t="n">
        <v>4300000</v>
      </c>
      <c r="H274" s="11" t="n">
        <v>5</v>
      </c>
      <c r="I274" s="11" t="s">
        <v>69</v>
      </c>
      <c r="J274" s="11" t="s">
        <v>80</v>
      </c>
      <c r="K274" s="11" t="s">
        <v>81</v>
      </c>
      <c r="L274" s="11" t="s">
        <v>82</v>
      </c>
      <c r="M274" s="11" t="s">
        <v>73</v>
      </c>
      <c r="N274" s="11" t="s">
        <v>99</v>
      </c>
      <c r="O274" s="11" t="s">
        <v>100</v>
      </c>
      <c r="P274" s="11" t="s">
        <v>101</v>
      </c>
      <c r="Q274" s="13" t="n">
        <f aca="false">F274*H274</f>
        <v>28421055</v>
      </c>
      <c r="R274" s="13" t="n">
        <f aca="false">G274*H274</f>
        <v>21500000</v>
      </c>
      <c r="S274" s="13" t="n">
        <f aca="false">Q274-R274</f>
        <v>6921055</v>
      </c>
      <c r="T274" s="14" t="n">
        <f aca="false">IFERROR(S274/Q274,0)</f>
        <v>0.243518581558637</v>
      </c>
      <c r="U274" s="15" t="str">
        <f aca="false">TEXT(A274,"yyyy-mm")</f>
        <v>2022-04</v>
      </c>
    </row>
    <row r="275" customFormat="false" ht="15" hidden="false" customHeight="false" outlineLevel="0" collapsed="false">
      <c r="A275" s="10" t="n">
        <v>44659</v>
      </c>
      <c r="B275" s="11" t="s">
        <v>407</v>
      </c>
      <c r="C275" s="11" t="s">
        <v>128</v>
      </c>
      <c r="D275" s="11" t="s">
        <v>118</v>
      </c>
      <c r="E275" s="11" t="s">
        <v>119</v>
      </c>
      <c r="F275" s="12" t="n">
        <v>3370302</v>
      </c>
      <c r="G275" s="12" t="n">
        <v>2100000</v>
      </c>
      <c r="H275" s="11" t="n">
        <v>23</v>
      </c>
      <c r="I275" s="11" t="s">
        <v>69</v>
      </c>
      <c r="J275" s="11" t="s">
        <v>80</v>
      </c>
      <c r="K275" s="11" t="s">
        <v>81</v>
      </c>
      <c r="L275" s="11" t="s">
        <v>82</v>
      </c>
      <c r="M275" s="11" t="s">
        <v>73</v>
      </c>
      <c r="N275" s="11" t="s">
        <v>109</v>
      </c>
      <c r="O275" s="11" t="s">
        <v>75</v>
      </c>
      <c r="P275" s="11" t="s">
        <v>95</v>
      </c>
      <c r="Q275" s="13" t="n">
        <f aca="false">F275*H275</f>
        <v>77516946</v>
      </c>
      <c r="R275" s="13" t="n">
        <f aca="false">G275*H275</f>
        <v>48300000</v>
      </c>
      <c r="S275" s="13" t="n">
        <f aca="false">Q275-R275</f>
        <v>29216946</v>
      </c>
      <c r="T275" s="14" t="n">
        <f aca="false">IFERROR(S275/Q275,0)</f>
        <v>0.37691043710623</v>
      </c>
      <c r="U275" s="15" t="str">
        <f aca="false">TEXT(A275,"yyyy-mm")</f>
        <v>2022-04</v>
      </c>
    </row>
    <row r="276" customFormat="false" ht="15" hidden="false" customHeight="false" outlineLevel="0" collapsed="false">
      <c r="A276" s="10" t="n">
        <v>44659</v>
      </c>
      <c r="B276" s="11" t="s">
        <v>408</v>
      </c>
      <c r="C276" s="11" t="s">
        <v>130</v>
      </c>
      <c r="D276" s="11" t="s">
        <v>118</v>
      </c>
      <c r="E276" s="11" t="s">
        <v>68</v>
      </c>
      <c r="F276" s="12" t="n">
        <v>2852897</v>
      </c>
      <c r="G276" s="12" t="n">
        <v>2450000</v>
      </c>
      <c r="H276" s="11" t="n">
        <v>3</v>
      </c>
      <c r="I276" s="11" t="s">
        <v>69</v>
      </c>
      <c r="J276" s="11" t="s">
        <v>80</v>
      </c>
      <c r="K276" s="11" t="s">
        <v>81</v>
      </c>
      <c r="L276" s="11" t="s">
        <v>82</v>
      </c>
      <c r="M276" s="11" t="s">
        <v>73</v>
      </c>
      <c r="N276" s="11" t="s">
        <v>149</v>
      </c>
      <c r="O276" s="11" t="s">
        <v>150</v>
      </c>
      <c r="P276" s="11" t="s">
        <v>151</v>
      </c>
      <c r="Q276" s="13" t="n">
        <f aca="false">F276*H276</f>
        <v>8558691</v>
      </c>
      <c r="R276" s="13" t="n">
        <f aca="false">G276*H276</f>
        <v>7350000</v>
      </c>
      <c r="S276" s="13" t="n">
        <f aca="false">Q276-R276</f>
        <v>1208691</v>
      </c>
      <c r="T276" s="14" t="n">
        <f aca="false">IFERROR(S276/Q276,0)</f>
        <v>0.141223815651249</v>
      </c>
      <c r="U276" s="15" t="str">
        <f aca="false">TEXT(A276,"yyyy-mm")</f>
        <v>2022-04</v>
      </c>
    </row>
    <row r="277" customFormat="false" ht="15" hidden="false" customHeight="false" outlineLevel="0" collapsed="false">
      <c r="A277" s="10" t="n">
        <v>44660</v>
      </c>
      <c r="B277" s="11" t="s">
        <v>409</v>
      </c>
      <c r="C277" s="11" t="s">
        <v>132</v>
      </c>
      <c r="D277" s="11" t="s">
        <v>118</v>
      </c>
      <c r="E277" s="11" t="s">
        <v>68</v>
      </c>
      <c r="F277" s="12" t="n">
        <v>4803603</v>
      </c>
      <c r="G277" s="12" t="n">
        <v>4121000</v>
      </c>
      <c r="H277" s="11" t="n">
        <v>19</v>
      </c>
      <c r="I277" s="11" t="s">
        <v>69</v>
      </c>
      <c r="J277" s="11" t="s">
        <v>70</v>
      </c>
      <c r="K277" s="11" t="s">
        <v>71</v>
      </c>
      <c r="L277" s="11" t="s">
        <v>72</v>
      </c>
      <c r="M277" s="11" t="s">
        <v>73</v>
      </c>
      <c r="N277" s="11" t="s">
        <v>143</v>
      </c>
      <c r="O277" s="11" t="s">
        <v>144</v>
      </c>
      <c r="P277" s="11" t="s">
        <v>101</v>
      </c>
      <c r="Q277" s="13" t="n">
        <f aca="false">F277*H277</f>
        <v>91268457</v>
      </c>
      <c r="R277" s="13" t="n">
        <f aca="false">G277*H277</f>
        <v>78299000</v>
      </c>
      <c r="S277" s="13" t="n">
        <f aca="false">Q277-R277</f>
        <v>12969457</v>
      </c>
      <c r="T277" s="14" t="n">
        <f aca="false">IFERROR(S277/Q277,0)</f>
        <v>0.142102292799801</v>
      </c>
      <c r="U277" s="15" t="str">
        <f aca="false">TEXT(A277,"yyyy-mm")</f>
        <v>2022-04</v>
      </c>
    </row>
    <row r="278" customFormat="false" ht="15" hidden="false" customHeight="false" outlineLevel="0" collapsed="false">
      <c r="A278" s="10" t="n">
        <v>44660</v>
      </c>
      <c r="B278" s="11" t="s">
        <v>410</v>
      </c>
      <c r="C278" s="11" t="s">
        <v>135</v>
      </c>
      <c r="D278" s="11" t="s">
        <v>118</v>
      </c>
      <c r="E278" s="11" t="s">
        <v>68</v>
      </c>
      <c r="F278" s="12" t="n">
        <v>5689947</v>
      </c>
      <c r="G278" s="12" t="n">
        <v>5235000</v>
      </c>
      <c r="H278" s="11" t="n">
        <v>9</v>
      </c>
      <c r="I278" s="11" t="s">
        <v>86</v>
      </c>
      <c r="J278" s="11" t="s">
        <v>87</v>
      </c>
      <c r="K278" s="11" t="s">
        <v>88</v>
      </c>
      <c r="L278" s="11" t="s">
        <v>89</v>
      </c>
      <c r="M278" s="11" t="s">
        <v>90</v>
      </c>
      <c r="N278" s="11" t="s">
        <v>109</v>
      </c>
      <c r="O278" s="11" t="s">
        <v>75</v>
      </c>
      <c r="P278" s="11" t="s">
        <v>95</v>
      </c>
      <c r="Q278" s="13" t="n">
        <f aca="false">F278*H278</f>
        <v>51209523</v>
      </c>
      <c r="R278" s="13" t="n">
        <f aca="false">G278*H278</f>
        <v>47115000</v>
      </c>
      <c r="S278" s="13" t="n">
        <f aca="false">Q278-R278</f>
        <v>4094523</v>
      </c>
      <c r="T278" s="14" t="n">
        <f aca="false">IFERROR(S278/Q278,0)</f>
        <v>0.0799562807878527</v>
      </c>
      <c r="U278" s="15" t="str">
        <f aca="false">TEXT(A278,"yyyy-mm")</f>
        <v>2022-04</v>
      </c>
    </row>
    <row r="279" customFormat="false" ht="15" hidden="false" customHeight="false" outlineLevel="0" collapsed="false">
      <c r="A279" s="10" t="n">
        <v>44661</v>
      </c>
      <c r="B279" s="11" t="s">
        <v>411</v>
      </c>
      <c r="C279" s="11" t="s">
        <v>137</v>
      </c>
      <c r="D279" s="11" t="s">
        <v>138</v>
      </c>
      <c r="E279" s="11" t="s">
        <v>139</v>
      </c>
      <c r="F279" s="12" t="n">
        <v>5171827</v>
      </c>
      <c r="G279" s="12" t="n">
        <v>4890000</v>
      </c>
      <c r="H279" s="11" t="n">
        <v>15</v>
      </c>
      <c r="I279" s="11" t="s">
        <v>86</v>
      </c>
      <c r="J279" s="11" t="s">
        <v>87</v>
      </c>
      <c r="K279" s="11" t="s">
        <v>88</v>
      </c>
      <c r="L279" s="11" t="s">
        <v>89</v>
      </c>
      <c r="M279" s="11" t="s">
        <v>90</v>
      </c>
      <c r="N279" s="11" t="s">
        <v>104</v>
      </c>
      <c r="O279" s="11" t="s">
        <v>105</v>
      </c>
      <c r="P279" s="11" t="s">
        <v>106</v>
      </c>
      <c r="Q279" s="13" t="n">
        <f aca="false">F279*H279</f>
        <v>77577405</v>
      </c>
      <c r="R279" s="13" t="n">
        <f aca="false">G279*H279</f>
        <v>73350000</v>
      </c>
      <c r="S279" s="13" t="n">
        <f aca="false">Q279-R279</f>
        <v>4227405</v>
      </c>
      <c r="T279" s="14" t="n">
        <f aca="false">IFERROR(S279/Q279,0)</f>
        <v>0.0544927353525166</v>
      </c>
      <c r="U279" s="15" t="str">
        <f aca="false">TEXT(A279,"yyyy-mm")</f>
        <v>2022-04</v>
      </c>
    </row>
    <row r="280" customFormat="false" ht="15" hidden="false" customHeight="false" outlineLevel="0" collapsed="false">
      <c r="A280" s="10" t="n">
        <v>44661</v>
      </c>
      <c r="B280" s="11" t="s">
        <v>412</v>
      </c>
      <c r="C280" s="11" t="s">
        <v>141</v>
      </c>
      <c r="D280" s="11" t="s">
        <v>138</v>
      </c>
      <c r="E280" s="11" t="s">
        <v>142</v>
      </c>
      <c r="F280" s="12" t="n">
        <v>2805124</v>
      </c>
      <c r="G280" s="12" t="n">
        <v>2178000</v>
      </c>
      <c r="H280" s="11" t="n">
        <v>7</v>
      </c>
      <c r="I280" s="11" t="s">
        <v>69</v>
      </c>
      <c r="J280" s="11" t="s">
        <v>80</v>
      </c>
      <c r="K280" s="11" t="s">
        <v>81</v>
      </c>
      <c r="L280" s="11" t="s">
        <v>82</v>
      </c>
      <c r="M280" s="11" t="s">
        <v>73</v>
      </c>
      <c r="N280" s="11" t="s">
        <v>109</v>
      </c>
      <c r="O280" s="11" t="s">
        <v>75</v>
      </c>
      <c r="P280" s="11" t="s">
        <v>95</v>
      </c>
      <c r="Q280" s="13" t="n">
        <f aca="false">F280*H280</f>
        <v>19635868</v>
      </c>
      <c r="R280" s="13" t="n">
        <f aca="false">G280*H280</f>
        <v>15246000</v>
      </c>
      <c r="S280" s="13" t="n">
        <f aca="false">Q280-R280</f>
        <v>4389868</v>
      </c>
      <c r="T280" s="14" t="n">
        <f aca="false">IFERROR(S280/Q280,0)</f>
        <v>0.22356373550688</v>
      </c>
      <c r="U280" s="15" t="str">
        <f aca="false">TEXT(A280,"yyyy-mm")</f>
        <v>2022-04</v>
      </c>
    </row>
    <row r="281" customFormat="false" ht="15" hidden="false" customHeight="false" outlineLevel="0" collapsed="false">
      <c r="A281" s="10" t="n">
        <v>44661</v>
      </c>
      <c r="B281" s="11" t="s">
        <v>413</v>
      </c>
      <c r="C281" s="11" t="s">
        <v>146</v>
      </c>
      <c r="D281" s="11" t="s">
        <v>138</v>
      </c>
      <c r="E281" s="11" t="s">
        <v>139</v>
      </c>
      <c r="F281" s="12" t="n">
        <v>2728100</v>
      </c>
      <c r="G281" s="12" t="n">
        <v>2321000</v>
      </c>
      <c r="H281" s="11" t="n">
        <v>29</v>
      </c>
      <c r="I281" s="11" t="s">
        <v>69</v>
      </c>
      <c r="J281" s="11" t="s">
        <v>112</v>
      </c>
      <c r="K281" s="11" t="s">
        <v>113</v>
      </c>
      <c r="L281" s="11" t="s">
        <v>82</v>
      </c>
      <c r="M281" s="11" t="s">
        <v>157</v>
      </c>
      <c r="N281" s="11" t="s">
        <v>93</v>
      </c>
      <c r="O281" s="11" t="s">
        <v>94</v>
      </c>
      <c r="P281" s="11" t="s">
        <v>95</v>
      </c>
      <c r="Q281" s="13" t="n">
        <f aca="false">F281*H281</f>
        <v>79114900</v>
      </c>
      <c r="R281" s="13" t="n">
        <f aca="false">G281*H281</f>
        <v>67309000</v>
      </c>
      <c r="S281" s="13" t="n">
        <f aca="false">Q281-R281</f>
        <v>11805900</v>
      </c>
      <c r="T281" s="14" t="n">
        <f aca="false">IFERROR(S281/Q281,0)</f>
        <v>0.149224735163667</v>
      </c>
      <c r="U281" s="15" t="str">
        <f aca="false">TEXT(A281,"yyyy-mm")</f>
        <v>2022-04</v>
      </c>
    </row>
    <row r="282" customFormat="false" ht="15" hidden="false" customHeight="false" outlineLevel="0" collapsed="false">
      <c r="A282" s="10" t="n">
        <v>44661</v>
      </c>
      <c r="B282" s="11" t="s">
        <v>414</v>
      </c>
      <c r="C282" s="11" t="s">
        <v>148</v>
      </c>
      <c r="D282" s="11" t="s">
        <v>138</v>
      </c>
      <c r="E282" s="11" t="s">
        <v>122</v>
      </c>
      <c r="F282" s="12" t="n">
        <v>4941716</v>
      </c>
      <c r="G282" s="12" t="n">
        <v>4456000</v>
      </c>
      <c r="H282" s="11" t="n">
        <v>22</v>
      </c>
      <c r="I282" s="11" t="s">
        <v>69</v>
      </c>
      <c r="J282" s="11" t="s">
        <v>70</v>
      </c>
      <c r="K282" s="11" t="s">
        <v>71</v>
      </c>
      <c r="L282" s="11" t="s">
        <v>72</v>
      </c>
      <c r="M282" s="11" t="s">
        <v>73</v>
      </c>
      <c r="N282" s="11" t="s">
        <v>104</v>
      </c>
      <c r="O282" s="11" t="s">
        <v>105</v>
      </c>
      <c r="P282" s="11" t="s">
        <v>106</v>
      </c>
      <c r="Q282" s="13" t="n">
        <f aca="false">F282*H282</f>
        <v>108717752</v>
      </c>
      <c r="R282" s="13" t="n">
        <f aca="false">G282*H282</f>
        <v>98032000</v>
      </c>
      <c r="S282" s="13" t="n">
        <f aca="false">Q282-R282</f>
        <v>10685752</v>
      </c>
      <c r="T282" s="14" t="n">
        <f aca="false">IFERROR(S282/Q282,0)</f>
        <v>0.0982889344511097</v>
      </c>
      <c r="U282" s="15" t="str">
        <f aca="false">TEXT(A282,"yyyy-mm")</f>
        <v>2022-04</v>
      </c>
    </row>
    <row r="283" customFormat="false" ht="15" hidden="false" customHeight="false" outlineLevel="0" collapsed="false">
      <c r="A283" s="10" t="n">
        <v>44661</v>
      </c>
      <c r="B283" s="11" t="s">
        <v>415</v>
      </c>
      <c r="C283" s="11" t="s">
        <v>66</v>
      </c>
      <c r="D283" s="11" t="s">
        <v>67</v>
      </c>
      <c r="E283" s="11" t="s">
        <v>68</v>
      </c>
      <c r="F283" s="12" t="n">
        <v>3048952</v>
      </c>
      <c r="G283" s="12" t="n">
        <v>2560000</v>
      </c>
      <c r="H283" s="11" t="n">
        <v>20</v>
      </c>
      <c r="I283" s="11" t="s">
        <v>69</v>
      </c>
      <c r="J283" s="11" t="s">
        <v>70</v>
      </c>
      <c r="K283" s="11" t="s">
        <v>71</v>
      </c>
      <c r="L283" s="11" t="s">
        <v>72</v>
      </c>
      <c r="M283" s="11" t="s">
        <v>73</v>
      </c>
      <c r="N283" s="11" t="s">
        <v>173</v>
      </c>
      <c r="O283" s="11" t="s">
        <v>174</v>
      </c>
      <c r="P283" s="11" t="s">
        <v>95</v>
      </c>
      <c r="Q283" s="13" t="n">
        <f aca="false">F283*H283</f>
        <v>60979040</v>
      </c>
      <c r="R283" s="13" t="n">
        <f aca="false">G283*H283</f>
        <v>51200000</v>
      </c>
      <c r="S283" s="13" t="n">
        <f aca="false">Q283-R283</f>
        <v>9779040</v>
      </c>
      <c r="T283" s="14" t="n">
        <f aca="false">IFERROR(S283/Q283,0)</f>
        <v>0.160367234380863</v>
      </c>
      <c r="U283" s="15" t="str">
        <f aca="false">TEXT(A283,"yyyy-mm")</f>
        <v>2022-04</v>
      </c>
    </row>
    <row r="284" customFormat="false" ht="15" hidden="false" customHeight="false" outlineLevel="0" collapsed="false">
      <c r="A284" s="10" t="n">
        <v>44661</v>
      </c>
      <c r="B284" s="11" t="s">
        <v>416</v>
      </c>
      <c r="C284" s="11" t="s">
        <v>78</v>
      </c>
      <c r="D284" s="11" t="s">
        <v>67</v>
      </c>
      <c r="E284" s="11" t="s">
        <v>79</v>
      </c>
      <c r="F284" s="12" t="n">
        <v>1870000</v>
      </c>
      <c r="G284" s="12" t="n">
        <v>1650000</v>
      </c>
      <c r="H284" s="11" t="n">
        <v>16</v>
      </c>
      <c r="I284" s="11" t="s">
        <v>69</v>
      </c>
      <c r="J284" s="11" t="s">
        <v>80</v>
      </c>
      <c r="K284" s="11" t="s">
        <v>81</v>
      </c>
      <c r="L284" s="11" t="s">
        <v>82</v>
      </c>
      <c r="M284" s="11" t="s">
        <v>73</v>
      </c>
      <c r="N284" s="11" t="s">
        <v>133</v>
      </c>
      <c r="O284" s="11" t="s">
        <v>60</v>
      </c>
      <c r="P284" s="11" t="s">
        <v>76</v>
      </c>
      <c r="Q284" s="13" t="n">
        <f aca="false">F284*H284</f>
        <v>29920000</v>
      </c>
      <c r="R284" s="13" t="n">
        <f aca="false">G284*H284</f>
        <v>26400000</v>
      </c>
      <c r="S284" s="13" t="n">
        <f aca="false">Q284-R284</f>
        <v>3520000</v>
      </c>
      <c r="T284" s="14" t="n">
        <f aca="false">IFERROR(S284/Q284,0)</f>
        <v>0.117647058823529</v>
      </c>
      <c r="U284" s="15" t="str">
        <f aca="false">TEXT(A284,"yyyy-mm")</f>
        <v>2022-04</v>
      </c>
    </row>
    <row r="285" customFormat="false" ht="15" hidden="false" customHeight="false" outlineLevel="0" collapsed="false">
      <c r="A285" s="10" t="n">
        <v>44661</v>
      </c>
      <c r="B285" s="11" t="s">
        <v>417</v>
      </c>
      <c r="C285" s="11" t="s">
        <v>84</v>
      </c>
      <c r="D285" s="11" t="s">
        <v>67</v>
      </c>
      <c r="E285" s="11" t="s">
        <v>85</v>
      </c>
      <c r="F285" s="12" t="n">
        <v>2600000</v>
      </c>
      <c r="G285" s="12" t="n">
        <v>2300000</v>
      </c>
      <c r="H285" s="11" t="n">
        <v>18</v>
      </c>
      <c r="I285" s="11" t="s">
        <v>69</v>
      </c>
      <c r="J285" s="11" t="s">
        <v>70</v>
      </c>
      <c r="K285" s="11" t="s">
        <v>71</v>
      </c>
      <c r="L285" s="11" t="s">
        <v>72</v>
      </c>
      <c r="M285" s="11" t="s">
        <v>73</v>
      </c>
      <c r="N285" s="11" t="s">
        <v>99</v>
      </c>
      <c r="O285" s="11" t="s">
        <v>100</v>
      </c>
      <c r="P285" s="11" t="s">
        <v>101</v>
      </c>
      <c r="Q285" s="13" t="n">
        <f aca="false">F285*H285</f>
        <v>46800000</v>
      </c>
      <c r="R285" s="13" t="n">
        <f aca="false">G285*H285</f>
        <v>41400000</v>
      </c>
      <c r="S285" s="13" t="n">
        <f aca="false">Q285-R285</f>
        <v>5400000</v>
      </c>
      <c r="T285" s="14" t="n">
        <f aca="false">IFERROR(S285/Q285,0)</f>
        <v>0.115384615384615</v>
      </c>
      <c r="U285" s="15" t="str">
        <f aca="false">TEXT(A285,"yyyy-mm")</f>
        <v>2022-04</v>
      </c>
    </row>
    <row r="286" customFormat="false" ht="15" hidden="false" customHeight="false" outlineLevel="0" collapsed="false">
      <c r="A286" s="10" t="n">
        <v>44661</v>
      </c>
      <c r="B286" s="11" t="s">
        <v>418</v>
      </c>
      <c r="C286" s="11" t="s">
        <v>92</v>
      </c>
      <c r="D286" s="11" t="s">
        <v>67</v>
      </c>
      <c r="E286" s="11" t="s">
        <v>79</v>
      </c>
      <c r="F286" s="12" t="n">
        <v>3577480</v>
      </c>
      <c r="G286" s="12" t="n">
        <v>3100000</v>
      </c>
      <c r="H286" s="11" t="n">
        <v>29</v>
      </c>
      <c r="I286" s="11" t="s">
        <v>86</v>
      </c>
      <c r="J286" s="11" t="s">
        <v>87</v>
      </c>
      <c r="K286" s="11" t="s">
        <v>88</v>
      </c>
      <c r="L286" s="11" t="s">
        <v>89</v>
      </c>
      <c r="M286" s="11" t="s">
        <v>90</v>
      </c>
      <c r="N286" s="11" t="s">
        <v>143</v>
      </c>
      <c r="O286" s="11" t="s">
        <v>144</v>
      </c>
      <c r="P286" s="11" t="s">
        <v>101</v>
      </c>
      <c r="Q286" s="13" t="n">
        <f aca="false">F286*H286</f>
        <v>103746920</v>
      </c>
      <c r="R286" s="13" t="n">
        <f aca="false">G286*H286</f>
        <v>89900000</v>
      </c>
      <c r="S286" s="13" t="n">
        <f aca="false">Q286-R286</f>
        <v>13846920</v>
      </c>
      <c r="T286" s="14" t="n">
        <f aca="false">IFERROR(S286/Q286,0)</f>
        <v>0.133468251394837</v>
      </c>
      <c r="U286" s="15" t="str">
        <f aca="false">TEXT(A286,"yyyy-mm")</f>
        <v>2022-04</v>
      </c>
    </row>
    <row r="287" customFormat="false" ht="15" hidden="false" customHeight="false" outlineLevel="0" collapsed="false">
      <c r="A287" s="10" t="n">
        <v>44661</v>
      </c>
      <c r="B287" s="11" t="s">
        <v>419</v>
      </c>
      <c r="C287" s="11" t="s">
        <v>97</v>
      </c>
      <c r="D287" s="11" t="s">
        <v>67</v>
      </c>
      <c r="E287" s="11" t="s">
        <v>98</v>
      </c>
      <c r="F287" s="12" t="n">
        <v>4969724</v>
      </c>
      <c r="G287" s="12" t="n">
        <v>4121560</v>
      </c>
      <c r="H287" s="11" t="n">
        <v>14</v>
      </c>
      <c r="I287" s="11" t="s">
        <v>69</v>
      </c>
      <c r="J287" s="11" t="s">
        <v>80</v>
      </c>
      <c r="K287" s="11" t="s">
        <v>81</v>
      </c>
      <c r="L287" s="11" t="s">
        <v>82</v>
      </c>
      <c r="M287" s="11" t="s">
        <v>73</v>
      </c>
      <c r="N287" s="11" t="s">
        <v>104</v>
      </c>
      <c r="O287" s="11" t="s">
        <v>105</v>
      </c>
      <c r="P287" s="11" t="s">
        <v>106</v>
      </c>
      <c r="Q287" s="13" t="n">
        <f aca="false">F287*H287</f>
        <v>69576136</v>
      </c>
      <c r="R287" s="13" t="n">
        <f aca="false">G287*H287</f>
        <v>57701840</v>
      </c>
      <c r="S287" s="13" t="n">
        <f aca="false">Q287-R287</f>
        <v>11874296</v>
      </c>
      <c r="T287" s="14" t="n">
        <f aca="false">IFERROR(S287/Q287,0)</f>
        <v>0.170666218083741</v>
      </c>
      <c r="U287" s="15" t="str">
        <f aca="false">TEXT(A287,"yyyy-mm")</f>
        <v>2022-04</v>
      </c>
    </row>
    <row r="288" customFormat="false" ht="15" hidden="false" customHeight="false" outlineLevel="0" collapsed="false">
      <c r="A288" s="10" t="n">
        <v>44661</v>
      </c>
      <c r="B288" s="11" t="s">
        <v>420</v>
      </c>
      <c r="C288" s="11" t="s">
        <v>103</v>
      </c>
      <c r="D288" s="11" t="s">
        <v>67</v>
      </c>
      <c r="E288" s="11" t="s">
        <v>68</v>
      </c>
      <c r="F288" s="12" t="n">
        <v>3319925</v>
      </c>
      <c r="G288" s="12" t="n">
        <v>2800000</v>
      </c>
      <c r="H288" s="11" t="n">
        <v>15</v>
      </c>
      <c r="I288" s="11" t="s">
        <v>69</v>
      </c>
      <c r="J288" s="11" t="s">
        <v>112</v>
      </c>
      <c r="K288" s="11" t="s">
        <v>113</v>
      </c>
      <c r="L288" s="11" t="s">
        <v>82</v>
      </c>
      <c r="M288" s="11" t="s">
        <v>157</v>
      </c>
      <c r="N288" s="11" t="s">
        <v>99</v>
      </c>
      <c r="O288" s="11" t="s">
        <v>100</v>
      </c>
      <c r="P288" s="11" t="s">
        <v>101</v>
      </c>
      <c r="Q288" s="13" t="n">
        <f aca="false">F288*H288</f>
        <v>49798875</v>
      </c>
      <c r="R288" s="13" t="n">
        <f aca="false">G288*H288</f>
        <v>42000000</v>
      </c>
      <c r="S288" s="13" t="n">
        <f aca="false">Q288-R288</f>
        <v>7798875</v>
      </c>
      <c r="T288" s="14" t="n">
        <f aca="false">IFERROR(S288/Q288,0)</f>
        <v>0.15660745348163</v>
      </c>
      <c r="U288" s="15" t="str">
        <f aca="false">TEXT(A288,"yyyy-mm")</f>
        <v>2022-04</v>
      </c>
    </row>
    <row r="289" customFormat="false" ht="15" hidden="false" customHeight="false" outlineLevel="0" collapsed="false">
      <c r="A289" s="10" t="n">
        <v>44662</v>
      </c>
      <c r="B289" s="11" t="s">
        <v>421</v>
      </c>
      <c r="C289" s="11" t="s">
        <v>108</v>
      </c>
      <c r="D289" s="11" t="s">
        <v>67</v>
      </c>
      <c r="E289" s="11" t="s">
        <v>68</v>
      </c>
      <c r="F289" s="12" t="n">
        <v>4757880</v>
      </c>
      <c r="G289" s="12" t="n">
        <v>3450000</v>
      </c>
      <c r="H289" s="11" t="n">
        <v>12</v>
      </c>
      <c r="I289" s="11" t="s">
        <v>69</v>
      </c>
      <c r="J289" s="11" t="s">
        <v>112</v>
      </c>
      <c r="K289" s="11" t="s">
        <v>113</v>
      </c>
      <c r="L289" s="11" t="s">
        <v>82</v>
      </c>
      <c r="M289" s="11" t="s">
        <v>157</v>
      </c>
      <c r="N289" s="11" t="s">
        <v>99</v>
      </c>
      <c r="O289" s="11" t="s">
        <v>100</v>
      </c>
      <c r="P289" s="11" t="s">
        <v>101</v>
      </c>
      <c r="Q289" s="13" t="n">
        <f aca="false">F289*H289</f>
        <v>57094560</v>
      </c>
      <c r="R289" s="13" t="n">
        <f aca="false">G289*H289</f>
        <v>41400000</v>
      </c>
      <c r="S289" s="13" t="n">
        <f aca="false">Q289-R289</f>
        <v>15694560</v>
      </c>
      <c r="T289" s="14" t="n">
        <f aca="false">IFERROR(S289/Q289,0)</f>
        <v>0.274887134606169</v>
      </c>
      <c r="U289" s="15" t="str">
        <f aca="false">TEXT(A289,"yyyy-mm")</f>
        <v>2022-04</v>
      </c>
    </row>
    <row r="290" customFormat="false" ht="15" hidden="false" customHeight="false" outlineLevel="0" collapsed="false">
      <c r="A290" s="10" t="n">
        <v>44662</v>
      </c>
      <c r="B290" s="11" t="s">
        <v>422</v>
      </c>
      <c r="C290" s="11" t="s">
        <v>111</v>
      </c>
      <c r="D290" s="11" t="s">
        <v>67</v>
      </c>
      <c r="E290" s="11" t="s">
        <v>79</v>
      </c>
      <c r="F290" s="12" t="n">
        <v>3545808</v>
      </c>
      <c r="G290" s="12" t="n">
        <v>3350000</v>
      </c>
      <c r="H290" s="11" t="n">
        <v>14</v>
      </c>
      <c r="I290" s="11" t="s">
        <v>69</v>
      </c>
      <c r="J290" s="11" t="s">
        <v>112</v>
      </c>
      <c r="K290" s="11" t="s">
        <v>113</v>
      </c>
      <c r="L290" s="11" t="s">
        <v>82</v>
      </c>
      <c r="M290" s="11" t="s">
        <v>157</v>
      </c>
      <c r="N290" s="11" t="s">
        <v>143</v>
      </c>
      <c r="O290" s="11" t="s">
        <v>144</v>
      </c>
      <c r="P290" s="11" t="s">
        <v>101</v>
      </c>
      <c r="Q290" s="13" t="n">
        <f aca="false">F290*H290</f>
        <v>49641312</v>
      </c>
      <c r="R290" s="13" t="n">
        <f aca="false">G290*H290</f>
        <v>46900000</v>
      </c>
      <c r="S290" s="13" t="n">
        <f aca="false">Q290-R290</f>
        <v>2741312</v>
      </c>
      <c r="T290" s="14" t="n">
        <f aca="false">IFERROR(S290/Q290,0)</f>
        <v>0.0552223921881839</v>
      </c>
      <c r="U290" s="15" t="str">
        <f aca="false">TEXT(A290,"yyyy-mm")</f>
        <v>2022-04</v>
      </c>
    </row>
    <row r="291" customFormat="false" ht="15" hidden="false" customHeight="false" outlineLevel="0" collapsed="false">
      <c r="A291" s="10" t="n">
        <v>44662</v>
      </c>
      <c r="B291" s="11" t="s">
        <v>423</v>
      </c>
      <c r="C291" s="11" t="s">
        <v>115</v>
      </c>
      <c r="D291" s="11" t="s">
        <v>67</v>
      </c>
      <c r="E291" s="11" t="s">
        <v>98</v>
      </c>
      <c r="F291" s="12" t="n">
        <v>4200743</v>
      </c>
      <c r="G291" s="12" t="n">
        <v>4101000</v>
      </c>
      <c r="H291" s="11" t="n">
        <v>2</v>
      </c>
      <c r="I291" s="11" t="s">
        <v>69</v>
      </c>
      <c r="J291" s="11" t="s">
        <v>112</v>
      </c>
      <c r="K291" s="11" t="s">
        <v>113</v>
      </c>
      <c r="L291" s="11" t="s">
        <v>82</v>
      </c>
      <c r="M291" s="11" t="s">
        <v>157</v>
      </c>
      <c r="N291" s="11" t="s">
        <v>74</v>
      </c>
      <c r="O291" s="11" t="s">
        <v>75</v>
      </c>
      <c r="P291" s="11" t="s">
        <v>76</v>
      </c>
      <c r="Q291" s="13" t="n">
        <f aca="false">F291*H291</f>
        <v>8401486</v>
      </c>
      <c r="R291" s="13" t="n">
        <f aca="false">G291*H291</f>
        <v>8202000</v>
      </c>
      <c r="S291" s="13" t="n">
        <f aca="false">Q291-R291</f>
        <v>199486</v>
      </c>
      <c r="T291" s="14" t="n">
        <f aca="false">IFERROR(S291/Q291,0)</f>
        <v>0.023744132883159</v>
      </c>
      <c r="U291" s="15" t="str">
        <f aca="false">TEXT(A291,"yyyy-mm")</f>
        <v>2022-04</v>
      </c>
    </row>
    <row r="292" customFormat="false" ht="15" hidden="false" customHeight="false" outlineLevel="0" collapsed="false">
      <c r="A292" s="10" t="n">
        <v>44664</v>
      </c>
      <c r="B292" s="11" t="s">
        <v>424</v>
      </c>
      <c r="C292" s="11" t="s">
        <v>117</v>
      </c>
      <c r="D292" s="11" t="s">
        <v>118</v>
      </c>
      <c r="E292" s="11" t="s">
        <v>119</v>
      </c>
      <c r="F292" s="12" t="n">
        <v>8220549</v>
      </c>
      <c r="G292" s="12" t="n">
        <v>6500000</v>
      </c>
      <c r="H292" s="11" t="n">
        <v>19</v>
      </c>
      <c r="I292" s="11" t="s">
        <v>69</v>
      </c>
      <c r="J292" s="11" t="s">
        <v>70</v>
      </c>
      <c r="K292" s="11" t="s">
        <v>71</v>
      </c>
      <c r="L292" s="11" t="s">
        <v>72</v>
      </c>
      <c r="M292" s="11" t="s">
        <v>73</v>
      </c>
      <c r="N292" s="11" t="s">
        <v>149</v>
      </c>
      <c r="O292" s="11" t="s">
        <v>150</v>
      </c>
      <c r="P292" s="11" t="s">
        <v>151</v>
      </c>
      <c r="Q292" s="13" t="n">
        <f aca="false">F292*H292</f>
        <v>156190431</v>
      </c>
      <c r="R292" s="13" t="n">
        <f aca="false">G292*H292</f>
        <v>123500000</v>
      </c>
      <c r="S292" s="13" t="n">
        <f aca="false">Q292-R292</f>
        <v>32690431</v>
      </c>
      <c r="T292" s="14" t="n">
        <f aca="false">IFERROR(S292/Q292,0)</f>
        <v>0.209298551714733</v>
      </c>
      <c r="U292" s="15" t="str">
        <f aca="false">TEXT(A292,"yyyy-mm")</f>
        <v>2022-04</v>
      </c>
    </row>
    <row r="293" customFormat="false" ht="15" hidden="false" customHeight="false" outlineLevel="0" collapsed="false">
      <c r="A293" s="10" t="n">
        <v>44664</v>
      </c>
      <c r="B293" s="11" t="s">
        <v>425</v>
      </c>
      <c r="C293" s="11" t="s">
        <v>121</v>
      </c>
      <c r="D293" s="11" t="s">
        <v>118</v>
      </c>
      <c r="E293" s="11" t="s">
        <v>122</v>
      </c>
      <c r="F293" s="12" t="n">
        <v>7687274</v>
      </c>
      <c r="G293" s="12" t="n">
        <v>6500000</v>
      </c>
      <c r="H293" s="11" t="n">
        <v>11</v>
      </c>
      <c r="I293" s="11" t="s">
        <v>69</v>
      </c>
      <c r="J293" s="11" t="s">
        <v>80</v>
      </c>
      <c r="K293" s="11" t="s">
        <v>81</v>
      </c>
      <c r="L293" s="11" t="s">
        <v>82</v>
      </c>
      <c r="M293" s="11" t="s">
        <v>73</v>
      </c>
      <c r="N293" s="11" t="s">
        <v>133</v>
      </c>
      <c r="O293" s="11" t="s">
        <v>60</v>
      </c>
      <c r="P293" s="11" t="s">
        <v>76</v>
      </c>
      <c r="Q293" s="13" t="n">
        <f aca="false">F293*H293</f>
        <v>84560014</v>
      </c>
      <c r="R293" s="13" t="n">
        <f aca="false">G293*H293</f>
        <v>71500000</v>
      </c>
      <c r="S293" s="13" t="n">
        <f aca="false">Q293-R293</f>
        <v>13060014</v>
      </c>
      <c r="T293" s="14" t="n">
        <f aca="false">IFERROR(S293/Q293,0)</f>
        <v>0.154446686822923</v>
      </c>
      <c r="U293" s="15" t="str">
        <f aca="false">TEXT(A293,"yyyy-mm")</f>
        <v>2022-04</v>
      </c>
    </row>
    <row r="294" customFormat="false" ht="15" hidden="false" customHeight="false" outlineLevel="0" collapsed="false">
      <c r="A294" s="10" t="n">
        <v>44664</v>
      </c>
      <c r="B294" s="11" t="s">
        <v>426</v>
      </c>
      <c r="C294" s="11" t="s">
        <v>125</v>
      </c>
      <c r="D294" s="11" t="s">
        <v>118</v>
      </c>
      <c r="E294" s="11" t="s">
        <v>126</v>
      </c>
      <c r="F294" s="12" t="n">
        <v>5684211</v>
      </c>
      <c r="G294" s="12" t="n">
        <v>4300000</v>
      </c>
      <c r="H294" s="11" t="n">
        <v>1</v>
      </c>
      <c r="I294" s="11" t="s">
        <v>69</v>
      </c>
      <c r="J294" s="11" t="s">
        <v>80</v>
      </c>
      <c r="K294" s="11" t="s">
        <v>81</v>
      </c>
      <c r="L294" s="11" t="s">
        <v>82</v>
      </c>
      <c r="M294" s="11" t="s">
        <v>73</v>
      </c>
      <c r="N294" s="11" t="s">
        <v>99</v>
      </c>
      <c r="O294" s="11" t="s">
        <v>100</v>
      </c>
      <c r="P294" s="11" t="s">
        <v>101</v>
      </c>
      <c r="Q294" s="13" t="n">
        <f aca="false">F294*H294</f>
        <v>5684211</v>
      </c>
      <c r="R294" s="13" t="n">
        <f aca="false">G294*H294</f>
        <v>4300000</v>
      </c>
      <c r="S294" s="13" t="n">
        <f aca="false">Q294-R294</f>
        <v>1384211</v>
      </c>
      <c r="T294" s="14" t="n">
        <f aca="false">IFERROR(S294/Q294,0)</f>
        <v>0.243518581558637</v>
      </c>
      <c r="U294" s="15" t="str">
        <f aca="false">TEXT(A294,"yyyy-mm")</f>
        <v>2022-04</v>
      </c>
    </row>
    <row r="295" customFormat="false" ht="15" hidden="false" customHeight="false" outlineLevel="0" collapsed="false">
      <c r="A295" s="10" t="n">
        <v>44665</v>
      </c>
      <c r="B295" s="11" t="s">
        <v>427</v>
      </c>
      <c r="C295" s="11" t="s">
        <v>128</v>
      </c>
      <c r="D295" s="11" t="s">
        <v>118</v>
      </c>
      <c r="E295" s="11" t="s">
        <v>119</v>
      </c>
      <c r="F295" s="12" t="n">
        <v>3370302</v>
      </c>
      <c r="G295" s="12" t="n">
        <v>2100000</v>
      </c>
      <c r="H295" s="11" t="n">
        <v>33</v>
      </c>
      <c r="I295" s="11" t="s">
        <v>69</v>
      </c>
      <c r="J295" s="11" t="s">
        <v>112</v>
      </c>
      <c r="K295" s="11" t="s">
        <v>113</v>
      </c>
      <c r="L295" s="11" t="s">
        <v>82</v>
      </c>
      <c r="M295" s="11" t="s">
        <v>157</v>
      </c>
      <c r="N295" s="11" t="s">
        <v>109</v>
      </c>
      <c r="O295" s="11" t="s">
        <v>75</v>
      </c>
      <c r="P295" s="11" t="s">
        <v>95</v>
      </c>
      <c r="Q295" s="13" t="n">
        <f aca="false">F295*H295</f>
        <v>111219966</v>
      </c>
      <c r="R295" s="13" t="n">
        <f aca="false">G295*H295</f>
        <v>69300000</v>
      </c>
      <c r="S295" s="13" t="n">
        <f aca="false">Q295-R295</f>
        <v>41919966</v>
      </c>
      <c r="T295" s="14" t="n">
        <f aca="false">IFERROR(S295/Q295,0)</f>
        <v>0.37691043710623</v>
      </c>
      <c r="U295" s="15" t="str">
        <f aca="false">TEXT(A295,"yyyy-mm")</f>
        <v>2022-04</v>
      </c>
    </row>
    <row r="296" customFormat="false" ht="15" hidden="false" customHeight="false" outlineLevel="0" collapsed="false">
      <c r="A296" s="10" t="n">
        <v>44665</v>
      </c>
      <c r="B296" s="11" t="s">
        <v>428</v>
      </c>
      <c r="C296" s="11" t="s">
        <v>130</v>
      </c>
      <c r="D296" s="11" t="s">
        <v>118</v>
      </c>
      <c r="E296" s="11" t="s">
        <v>68</v>
      </c>
      <c r="F296" s="12" t="n">
        <v>2852897</v>
      </c>
      <c r="G296" s="12" t="n">
        <v>2450000</v>
      </c>
      <c r="H296" s="11" t="n">
        <v>4</v>
      </c>
      <c r="I296" s="11" t="s">
        <v>69</v>
      </c>
      <c r="J296" s="11" t="s">
        <v>112</v>
      </c>
      <c r="K296" s="11" t="s">
        <v>113</v>
      </c>
      <c r="L296" s="11" t="s">
        <v>82</v>
      </c>
      <c r="M296" s="11" t="s">
        <v>157</v>
      </c>
      <c r="N296" s="11" t="s">
        <v>143</v>
      </c>
      <c r="O296" s="11" t="s">
        <v>144</v>
      </c>
      <c r="P296" s="11" t="s">
        <v>101</v>
      </c>
      <c r="Q296" s="13" t="n">
        <f aca="false">F296*H296</f>
        <v>11411588</v>
      </c>
      <c r="R296" s="13" t="n">
        <f aca="false">G296*H296</f>
        <v>9800000</v>
      </c>
      <c r="S296" s="13" t="n">
        <f aca="false">Q296-R296</f>
        <v>1611588</v>
      </c>
      <c r="T296" s="14" t="n">
        <f aca="false">IFERROR(S296/Q296,0)</f>
        <v>0.141223815651249</v>
      </c>
      <c r="U296" s="15" t="str">
        <f aca="false">TEXT(A296,"yyyy-mm")</f>
        <v>2022-04</v>
      </c>
    </row>
    <row r="297" customFormat="false" ht="15" hidden="false" customHeight="false" outlineLevel="0" collapsed="false">
      <c r="A297" s="10" t="n">
        <v>44665</v>
      </c>
      <c r="B297" s="11" t="s">
        <v>429</v>
      </c>
      <c r="C297" s="11" t="s">
        <v>132</v>
      </c>
      <c r="D297" s="11" t="s">
        <v>118</v>
      </c>
      <c r="E297" s="11" t="s">
        <v>68</v>
      </c>
      <c r="F297" s="12" t="n">
        <v>4803603</v>
      </c>
      <c r="G297" s="12" t="n">
        <v>4121000</v>
      </c>
      <c r="H297" s="11" t="n">
        <v>17</v>
      </c>
      <c r="I297" s="11" t="s">
        <v>69</v>
      </c>
      <c r="J297" s="11" t="s">
        <v>70</v>
      </c>
      <c r="K297" s="11" t="s">
        <v>71</v>
      </c>
      <c r="L297" s="11" t="s">
        <v>72</v>
      </c>
      <c r="M297" s="11" t="s">
        <v>73</v>
      </c>
      <c r="N297" s="11" t="s">
        <v>93</v>
      </c>
      <c r="O297" s="11" t="s">
        <v>94</v>
      </c>
      <c r="P297" s="11" t="s">
        <v>95</v>
      </c>
      <c r="Q297" s="13" t="n">
        <f aca="false">F297*H297</f>
        <v>81661251</v>
      </c>
      <c r="R297" s="13" t="n">
        <f aca="false">G297*H297</f>
        <v>70057000</v>
      </c>
      <c r="S297" s="13" t="n">
        <f aca="false">Q297-R297</f>
        <v>11604251</v>
      </c>
      <c r="T297" s="14" t="n">
        <f aca="false">IFERROR(S297/Q297,0)</f>
        <v>0.142102292799801</v>
      </c>
      <c r="U297" s="15" t="str">
        <f aca="false">TEXT(A297,"yyyy-mm")</f>
        <v>2022-04</v>
      </c>
    </row>
    <row r="298" customFormat="false" ht="15" hidden="false" customHeight="false" outlineLevel="0" collapsed="false">
      <c r="A298" s="10" t="n">
        <v>44665</v>
      </c>
      <c r="B298" s="11" t="s">
        <v>430</v>
      </c>
      <c r="C298" s="11" t="s">
        <v>135</v>
      </c>
      <c r="D298" s="11" t="s">
        <v>118</v>
      </c>
      <c r="E298" s="11" t="s">
        <v>68</v>
      </c>
      <c r="F298" s="12" t="n">
        <v>5689947</v>
      </c>
      <c r="G298" s="12" t="n">
        <v>5235000</v>
      </c>
      <c r="H298" s="11" t="n">
        <v>28</v>
      </c>
      <c r="I298" s="11" t="s">
        <v>69</v>
      </c>
      <c r="J298" s="11" t="s">
        <v>70</v>
      </c>
      <c r="K298" s="11" t="s">
        <v>71</v>
      </c>
      <c r="L298" s="11" t="s">
        <v>72</v>
      </c>
      <c r="M298" s="11" t="s">
        <v>73</v>
      </c>
      <c r="N298" s="11" t="s">
        <v>173</v>
      </c>
      <c r="O298" s="11" t="s">
        <v>174</v>
      </c>
      <c r="P298" s="11" t="s">
        <v>95</v>
      </c>
      <c r="Q298" s="13" t="n">
        <f aca="false">F298*H298</f>
        <v>159318516</v>
      </c>
      <c r="R298" s="13" t="n">
        <f aca="false">G298*H298</f>
        <v>146580000</v>
      </c>
      <c r="S298" s="13" t="n">
        <f aca="false">Q298-R298</f>
        <v>12738516</v>
      </c>
      <c r="T298" s="14" t="n">
        <f aca="false">IFERROR(S298/Q298,0)</f>
        <v>0.0799562807878527</v>
      </c>
      <c r="U298" s="15" t="str">
        <f aca="false">TEXT(A298,"yyyy-mm")</f>
        <v>2022-04</v>
      </c>
    </row>
    <row r="299" customFormat="false" ht="15" hidden="false" customHeight="false" outlineLevel="0" collapsed="false">
      <c r="A299" s="10" t="n">
        <v>44666</v>
      </c>
      <c r="B299" s="11" t="s">
        <v>431</v>
      </c>
      <c r="C299" s="11" t="s">
        <v>137</v>
      </c>
      <c r="D299" s="11" t="s">
        <v>138</v>
      </c>
      <c r="E299" s="11" t="s">
        <v>139</v>
      </c>
      <c r="F299" s="12" t="n">
        <v>5171827</v>
      </c>
      <c r="G299" s="12" t="n">
        <v>4890000</v>
      </c>
      <c r="H299" s="11" t="n">
        <v>3</v>
      </c>
      <c r="I299" s="11" t="s">
        <v>69</v>
      </c>
      <c r="J299" s="11" t="s">
        <v>80</v>
      </c>
      <c r="K299" s="11" t="s">
        <v>81</v>
      </c>
      <c r="L299" s="11" t="s">
        <v>82</v>
      </c>
      <c r="M299" s="11" t="s">
        <v>73</v>
      </c>
      <c r="N299" s="11" t="s">
        <v>93</v>
      </c>
      <c r="O299" s="11" t="s">
        <v>94</v>
      </c>
      <c r="P299" s="11" t="s">
        <v>95</v>
      </c>
      <c r="Q299" s="13" t="n">
        <f aca="false">F299*H299</f>
        <v>15515481</v>
      </c>
      <c r="R299" s="13" t="n">
        <f aca="false">G299*H299</f>
        <v>14670000</v>
      </c>
      <c r="S299" s="13" t="n">
        <f aca="false">Q299-R299</f>
        <v>845481</v>
      </c>
      <c r="T299" s="14" t="n">
        <f aca="false">IFERROR(S299/Q299,0)</f>
        <v>0.0544927353525166</v>
      </c>
      <c r="U299" s="15" t="str">
        <f aca="false">TEXT(A299,"yyyy-mm")</f>
        <v>2022-04</v>
      </c>
    </row>
    <row r="300" customFormat="false" ht="15" hidden="false" customHeight="false" outlineLevel="0" collapsed="false">
      <c r="A300" s="10" t="n">
        <v>44667</v>
      </c>
      <c r="B300" s="11" t="s">
        <v>432</v>
      </c>
      <c r="C300" s="11" t="s">
        <v>141</v>
      </c>
      <c r="D300" s="11" t="s">
        <v>138</v>
      </c>
      <c r="E300" s="11" t="s">
        <v>142</v>
      </c>
      <c r="F300" s="12" t="n">
        <v>2805124</v>
      </c>
      <c r="G300" s="12" t="n">
        <v>2178000</v>
      </c>
      <c r="H300" s="11" t="n">
        <v>7</v>
      </c>
      <c r="I300" s="11" t="s">
        <v>69</v>
      </c>
      <c r="J300" s="11" t="s">
        <v>80</v>
      </c>
      <c r="K300" s="11" t="s">
        <v>81</v>
      </c>
      <c r="L300" s="11" t="s">
        <v>82</v>
      </c>
      <c r="M300" s="11" t="s">
        <v>73</v>
      </c>
      <c r="N300" s="11" t="s">
        <v>143</v>
      </c>
      <c r="O300" s="11" t="s">
        <v>144</v>
      </c>
      <c r="P300" s="11" t="s">
        <v>101</v>
      </c>
      <c r="Q300" s="13" t="n">
        <f aca="false">F300*H300</f>
        <v>19635868</v>
      </c>
      <c r="R300" s="13" t="n">
        <f aca="false">G300*H300</f>
        <v>15246000</v>
      </c>
      <c r="S300" s="13" t="n">
        <f aca="false">Q300-R300</f>
        <v>4389868</v>
      </c>
      <c r="T300" s="14" t="n">
        <f aca="false">IFERROR(S300/Q300,0)</f>
        <v>0.22356373550688</v>
      </c>
      <c r="U300" s="15" t="str">
        <f aca="false">TEXT(A300,"yyyy-mm")</f>
        <v>2022-04</v>
      </c>
    </row>
    <row r="301" customFormat="false" ht="15" hidden="false" customHeight="false" outlineLevel="0" collapsed="false">
      <c r="A301" s="10" t="n">
        <v>44667</v>
      </c>
      <c r="B301" s="11" t="s">
        <v>433</v>
      </c>
      <c r="C301" s="11" t="s">
        <v>146</v>
      </c>
      <c r="D301" s="11" t="s">
        <v>138</v>
      </c>
      <c r="E301" s="11" t="s">
        <v>139</v>
      </c>
      <c r="F301" s="12" t="n">
        <v>2728100</v>
      </c>
      <c r="G301" s="12" t="n">
        <v>2321000</v>
      </c>
      <c r="H301" s="11" t="n">
        <v>7</v>
      </c>
      <c r="I301" s="11" t="s">
        <v>86</v>
      </c>
      <c r="J301" s="11" t="s">
        <v>87</v>
      </c>
      <c r="K301" s="11" t="s">
        <v>88</v>
      </c>
      <c r="L301" s="11" t="s">
        <v>89</v>
      </c>
      <c r="M301" s="11" t="s">
        <v>90</v>
      </c>
      <c r="N301" s="11" t="s">
        <v>74</v>
      </c>
      <c r="O301" s="11" t="s">
        <v>75</v>
      </c>
      <c r="P301" s="11" t="s">
        <v>76</v>
      </c>
      <c r="Q301" s="13" t="n">
        <f aca="false">F301*H301</f>
        <v>19096700</v>
      </c>
      <c r="R301" s="13" t="n">
        <f aca="false">G301*H301</f>
        <v>16247000</v>
      </c>
      <c r="S301" s="13" t="n">
        <f aca="false">Q301-R301</f>
        <v>2849700</v>
      </c>
      <c r="T301" s="14" t="n">
        <f aca="false">IFERROR(S301/Q301,0)</f>
        <v>0.149224735163667</v>
      </c>
      <c r="U301" s="15" t="str">
        <f aca="false">TEXT(A301,"yyyy-mm")</f>
        <v>2022-04</v>
      </c>
    </row>
    <row r="302" customFormat="false" ht="15" hidden="false" customHeight="false" outlineLevel="0" collapsed="false">
      <c r="A302" s="10" t="n">
        <v>44667</v>
      </c>
      <c r="B302" s="11" t="s">
        <v>434</v>
      </c>
      <c r="C302" s="11" t="s">
        <v>148</v>
      </c>
      <c r="D302" s="11" t="s">
        <v>138</v>
      </c>
      <c r="E302" s="11" t="s">
        <v>122</v>
      </c>
      <c r="F302" s="12" t="n">
        <v>4941716</v>
      </c>
      <c r="G302" s="12" t="n">
        <v>4456000</v>
      </c>
      <c r="H302" s="11" t="n">
        <v>19</v>
      </c>
      <c r="I302" s="11" t="s">
        <v>86</v>
      </c>
      <c r="J302" s="11" t="s">
        <v>87</v>
      </c>
      <c r="K302" s="11" t="s">
        <v>88</v>
      </c>
      <c r="L302" s="11" t="s">
        <v>89</v>
      </c>
      <c r="M302" s="11" t="s">
        <v>90</v>
      </c>
      <c r="N302" s="11" t="s">
        <v>74</v>
      </c>
      <c r="O302" s="11" t="s">
        <v>75</v>
      </c>
      <c r="P302" s="11" t="s">
        <v>76</v>
      </c>
      <c r="Q302" s="13" t="n">
        <f aca="false">F302*H302</f>
        <v>93892604</v>
      </c>
      <c r="R302" s="13" t="n">
        <f aca="false">G302*H302</f>
        <v>84664000</v>
      </c>
      <c r="S302" s="13" t="n">
        <f aca="false">Q302-R302</f>
        <v>9228604</v>
      </c>
      <c r="T302" s="14" t="n">
        <f aca="false">IFERROR(S302/Q302,0)</f>
        <v>0.0982889344511097</v>
      </c>
      <c r="U302" s="15" t="str">
        <f aca="false">TEXT(A302,"yyyy-mm")</f>
        <v>2022-04</v>
      </c>
    </row>
    <row r="303" customFormat="false" ht="15" hidden="false" customHeight="false" outlineLevel="0" collapsed="false">
      <c r="A303" s="10" t="n">
        <v>44667</v>
      </c>
      <c r="B303" s="11" t="s">
        <v>435</v>
      </c>
      <c r="C303" s="11" t="s">
        <v>66</v>
      </c>
      <c r="D303" s="11" t="s">
        <v>67</v>
      </c>
      <c r="E303" s="11" t="s">
        <v>68</v>
      </c>
      <c r="F303" s="12" t="n">
        <v>3048952</v>
      </c>
      <c r="G303" s="12" t="n">
        <v>2560000</v>
      </c>
      <c r="H303" s="11" t="n">
        <v>19</v>
      </c>
      <c r="I303" s="11" t="s">
        <v>69</v>
      </c>
      <c r="J303" s="11" t="s">
        <v>80</v>
      </c>
      <c r="K303" s="11" t="s">
        <v>81</v>
      </c>
      <c r="L303" s="11" t="s">
        <v>82</v>
      </c>
      <c r="M303" s="11" t="s">
        <v>73</v>
      </c>
      <c r="N303" s="11" t="s">
        <v>123</v>
      </c>
      <c r="O303" s="11" t="s">
        <v>60</v>
      </c>
      <c r="P303" s="11" t="s">
        <v>106</v>
      </c>
      <c r="Q303" s="13" t="n">
        <f aca="false">F303*H303</f>
        <v>57930088</v>
      </c>
      <c r="R303" s="13" t="n">
        <f aca="false">G303*H303</f>
        <v>48640000</v>
      </c>
      <c r="S303" s="13" t="n">
        <f aca="false">Q303-R303</f>
        <v>9290088</v>
      </c>
      <c r="T303" s="14" t="n">
        <f aca="false">IFERROR(S303/Q303,0)</f>
        <v>0.160367234380863</v>
      </c>
      <c r="U303" s="15" t="str">
        <f aca="false">TEXT(A303,"yyyy-mm")</f>
        <v>2022-04</v>
      </c>
    </row>
    <row r="304" customFormat="false" ht="15" hidden="false" customHeight="false" outlineLevel="0" collapsed="false">
      <c r="A304" s="10" t="n">
        <v>44668</v>
      </c>
      <c r="B304" s="11" t="s">
        <v>436</v>
      </c>
      <c r="C304" s="11" t="s">
        <v>78</v>
      </c>
      <c r="D304" s="11" t="s">
        <v>67</v>
      </c>
      <c r="E304" s="11" t="s">
        <v>79</v>
      </c>
      <c r="F304" s="12" t="n">
        <v>1870000</v>
      </c>
      <c r="G304" s="12" t="n">
        <v>1650000</v>
      </c>
      <c r="H304" s="11" t="n">
        <v>7</v>
      </c>
      <c r="I304" s="11" t="s">
        <v>69</v>
      </c>
      <c r="J304" s="11" t="s">
        <v>80</v>
      </c>
      <c r="K304" s="11" t="s">
        <v>81</v>
      </c>
      <c r="L304" s="11" t="s">
        <v>82</v>
      </c>
      <c r="M304" s="11" t="s">
        <v>73</v>
      </c>
      <c r="N304" s="11" t="s">
        <v>109</v>
      </c>
      <c r="O304" s="11" t="s">
        <v>75</v>
      </c>
      <c r="P304" s="11" t="s">
        <v>95</v>
      </c>
      <c r="Q304" s="13" t="n">
        <f aca="false">F304*H304</f>
        <v>13090000</v>
      </c>
      <c r="R304" s="13" t="n">
        <f aca="false">G304*H304</f>
        <v>11550000</v>
      </c>
      <c r="S304" s="13" t="n">
        <f aca="false">Q304-R304</f>
        <v>1540000</v>
      </c>
      <c r="T304" s="14" t="n">
        <f aca="false">IFERROR(S304/Q304,0)</f>
        <v>0.117647058823529</v>
      </c>
      <c r="U304" s="15" t="str">
        <f aca="false">TEXT(A304,"yyyy-mm")</f>
        <v>2022-04</v>
      </c>
    </row>
    <row r="305" customFormat="false" ht="15" hidden="false" customHeight="false" outlineLevel="0" collapsed="false">
      <c r="A305" s="10" t="n">
        <v>44669</v>
      </c>
      <c r="B305" s="11" t="s">
        <v>437</v>
      </c>
      <c r="C305" s="11" t="s">
        <v>84</v>
      </c>
      <c r="D305" s="11" t="s">
        <v>67</v>
      </c>
      <c r="E305" s="11" t="s">
        <v>85</v>
      </c>
      <c r="F305" s="12" t="n">
        <v>2600000</v>
      </c>
      <c r="G305" s="12" t="n">
        <v>2300000</v>
      </c>
      <c r="H305" s="11" t="n">
        <v>17</v>
      </c>
      <c r="I305" s="11" t="s">
        <v>69</v>
      </c>
      <c r="J305" s="11" t="s">
        <v>70</v>
      </c>
      <c r="K305" s="11" t="s">
        <v>71</v>
      </c>
      <c r="L305" s="11" t="s">
        <v>72</v>
      </c>
      <c r="M305" s="11" t="s">
        <v>73</v>
      </c>
      <c r="N305" s="11" t="s">
        <v>143</v>
      </c>
      <c r="O305" s="11" t="s">
        <v>144</v>
      </c>
      <c r="P305" s="11" t="s">
        <v>101</v>
      </c>
      <c r="Q305" s="13" t="n">
        <f aca="false">F305*H305</f>
        <v>44200000</v>
      </c>
      <c r="R305" s="13" t="n">
        <f aca="false">G305*H305</f>
        <v>39100000</v>
      </c>
      <c r="S305" s="13" t="n">
        <f aca="false">Q305-R305</f>
        <v>5100000</v>
      </c>
      <c r="T305" s="14" t="n">
        <f aca="false">IFERROR(S305/Q305,0)</f>
        <v>0.115384615384615</v>
      </c>
      <c r="U305" s="15" t="str">
        <f aca="false">TEXT(A305,"yyyy-mm")</f>
        <v>2022-04</v>
      </c>
    </row>
    <row r="306" customFormat="false" ht="15" hidden="false" customHeight="false" outlineLevel="0" collapsed="false">
      <c r="A306" s="10" t="n">
        <v>44669</v>
      </c>
      <c r="B306" s="11" t="s">
        <v>438</v>
      </c>
      <c r="C306" s="11" t="s">
        <v>92</v>
      </c>
      <c r="D306" s="11" t="s">
        <v>67</v>
      </c>
      <c r="E306" s="11" t="s">
        <v>79</v>
      </c>
      <c r="F306" s="12" t="n">
        <v>3577480</v>
      </c>
      <c r="G306" s="12" t="n">
        <v>3100000</v>
      </c>
      <c r="H306" s="11" t="n">
        <v>16</v>
      </c>
      <c r="I306" s="11" t="s">
        <v>69</v>
      </c>
      <c r="J306" s="11" t="s">
        <v>80</v>
      </c>
      <c r="K306" s="11" t="s">
        <v>81</v>
      </c>
      <c r="L306" s="11" t="s">
        <v>82</v>
      </c>
      <c r="M306" s="11" t="s">
        <v>73</v>
      </c>
      <c r="N306" s="11" t="s">
        <v>123</v>
      </c>
      <c r="O306" s="11" t="s">
        <v>60</v>
      </c>
      <c r="P306" s="11" t="s">
        <v>106</v>
      </c>
      <c r="Q306" s="13" t="n">
        <f aca="false">F306*H306</f>
        <v>57239680</v>
      </c>
      <c r="R306" s="13" t="n">
        <f aca="false">G306*H306</f>
        <v>49600000</v>
      </c>
      <c r="S306" s="13" t="n">
        <f aca="false">Q306-R306</f>
        <v>7639680</v>
      </c>
      <c r="T306" s="14" t="n">
        <f aca="false">IFERROR(S306/Q306,0)</f>
        <v>0.133468251394837</v>
      </c>
      <c r="U306" s="15" t="str">
        <f aca="false">TEXT(A306,"yyyy-mm")</f>
        <v>2022-04</v>
      </c>
    </row>
    <row r="307" customFormat="false" ht="15" hidden="false" customHeight="false" outlineLevel="0" collapsed="false">
      <c r="A307" s="10" t="n">
        <v>44669</v>
      </c>
      <c r="B307" s="11" t="s">
        <v>439</v>
      </c>
      <c r="C307" s="11" t="s">
        <v>97</v>
      </c>
      <c r="D307" s="11" t="s">
        <v>67</v>
      </c>
      <c r="E307" s="11" t="s">
        <v>98</v>
      </c>
      <c r="F307" s="12" t="n">
        <v>4969724</v>
      </c>
      <c r="G307" s="12" t="n">
        <v>4121560</v>
      </c>
      <c r="H307" s="11" t="n">
        <v>9</v>
      </c>
      <c r="I307" s="11" t="s">
        <v>86</v>
      </c>
      <c r="J307" s="11" t="s">
        <v>87</v>
      </c>
      <c r="K307" s="11" t="s">
        <v>88</v>
      </c>
      <c r="L307" s="11" t="s">
        <v>89</v>
      </c>
      <c r="M307" s="11" t="s">
        <v>90</v>
      </c>
      <c r="N307" s="11" t="s">
        <v>109</v>
      </c>
      <c r="O307" s="11" t="s">
        <v>75</v>
      </c>
      <c r="P307" s="11" t="s">
        <v>95</v>
      </c>
      <c r="Q307" s="13" t="n">
        <f aca="false">F307*H307</f>
        <v>44727516</v>
      </c>
      <c r="R307" s="13" t="n">
        <f aca="false">G307*H307</f>
        <v>37094040</v>
      </c>
      <c r="S307" s="13" t="n">
        <f aca="false">Q307-R307</f>
        <v>7633476</v>
      </c>
      <c r="T307" s="14" t="n">
        <f aca="false">IFERROR(S307/Q307,0)</f>
        <v>0.170666218083741</v>
      </c>
      <c r="U307" s="15" t="str">
        <f aca="false">TEXT(A307,"yyyy-mm")</f>
        <v>2022-04</v>
      </c>
    </row>
    <row r="308" customFormat="false" ht="15" hidden="false" customHeight="false" outlineLevel="0" collapsed="false">
      <c r="A308" s="10" t="n">
        <v>44669</v>
      </c>
      <c r="B308" s="11" t="s">
        <v>440</v>
      </c>
      <c r="C308" s="11" t="s">
        <v>103</v>
      </c>
      <c r="D308" s="11" t="s">
        <v>67</v>
      </c>
      <c r="E308" s="11" t="s">
        <v>68</v>
      </c>
      <c r="F308" s="12" t="n">
        <v>3319925</v>
      </c>
      <c r="G308" s="12" t="n">
        <v>2800000</v>
      </c>
      <c r="H308" s="11" t="n">
        <v>18</v>
      </c>
      <c r="I308" s="11" t="s">
        <v>69</v>
      </c>
      <c r="J308" s="11" t="s">
        <v>112</v>
      </c>
      <c r="K308" s="11" t="s">
        <v>113</v>
      </c>
      <c r="L308" s="11" t="s">
        <v>82</v>
      </c>
      <c r="M308" s="11" t="s">
        <v>157</v>
      </c>
      <c r="N308" s="11" t="s">
        <v>99</v>
      </c>
      <c r="O308" s="11" t="s">
        <v>100</v>
      </c>
      <c r="P308" s="11" t="s">
        <v>101</v>
      </c>
      <c r="Q308" s="13" t="n">
        <f aca="false">F308*H308</f>
        <v>59758650</v>
      </c>
      <c r="R308" s="13" t="n">
        <f aca="false">G308*H308</f>
        <v>50400000</v>
      </c>
      <c r="S308" s="13" t="n">
        <f aca="false">Q308-R308</f>
        <v>9358650</v>
      </c>
      <c r="T308" s="14" t="n">
        <f aca="false">IFERROR(S308/Q308,0)</f>
        <v>0.15660745348163</v>
      </c>
      <c r="U308" s="15" t="str">
        <f aca="false">TEXT(A308,"yyyy-mm")</f>
        <v>2022-04</v>
      </c>
    </row>
    <row r="309" customFormat="false" ht="15" hidden="false" customHeight="false" outlineLevel="0" collapsed="false">
      <c r="A309" s="10" t="n">
        <v>44669</v>
      </c>
      <c r="B309" s="11" t="s">
        <v>441</v>
      </c>
      <c r="C309" s="11" t="s">
        <v>108</v>
      </c>
      <c r="D309" s="11" t="s">
        <v>67</v>
      </c>
      <c r="E309" s="11" t="s">
        <v>68</v>
      </c>
      <c r="F309" s="12" t="n">
        <v>4757880</v>
      </c>
      <c r="G309" s="12" t="n">
        <v>3450000</v>
      </c>
      <c r="H309" s="11" t="n">
        <v>10</v>
      </c>
      <c r="I309" s="11" t="s">
        <v>69</v>
      </c>
      <c r="J309" s="11" t="s">
        <v>80</v>
      </c>
      <c r="K309" s="11" t="s">
        <v>81</v>
      </c>
      <c r="L309" s="11" t="s">
        <v>82</v>
      </c>
      <c r="M309" s="11" t="s">
        <v>73</v>
      </c>
      <c r="N309" s="11" t="s">
        <v>133</v>
      </c>
      <c r="O309" s="11" t="s">
        <v>60</v>
      </c>
      <c r="P309" s="11" t="s">
        <v>76</v>
      </c>
      <c r="Q309" s="13" t="n">
        <f aca="false">F309*H309</f>
        <v>47578800</v>
      </c>
      <c r="R309" s="13" t="n">
        <f aca="false">G309*H309</f>
        <v>34500000</v>
      </c>
      <c r="S309" s="13" t="n">
        <f aca="false">Q309-R309</f>
        <v>13078800</v>
      </c>
      <c r="T309" s="14" t="n">
        <f aca="false">IFERROR(S309/Q309,0)</f>
        <v>0.274887134606169</v>
      </c>
      <c r="U309" s="15" t="str">
        <f aca="false">TEXT(A309,"yyyy-mm")</f>
        <v>2022-04</v>
      </c>
    </row>
    <row r="310" customFormat="false" ht="15" hidden="false" customHeight="false" outlineLevel="0" collapsed="false">
      <c r="A310" s="10" t="n">
        <v>44669</v>
      </c>
      <c r="B310" s="11" t="s">
        <v>442</v>
      </c>
      <c r="C310" s="11" t="s">
        <v>111</v>
      </c>
      <c r="D310" s="11" t="s">
        <v>67</v>
      </c>
      <c r="E310" s="11" t="s">
        <v>79</v>
      </c>
      <c r="F310" s="12" t="n">
        <v>3545808</v>
      </c>
      <c r="G310" s="12" t="n">
        <v>3350000</v>
      </c>
      <c r="H310" s="11" t="n">
        <v>6</v>
      </c>
      <c r="I310" s="11" t="s">
        <v>69</v>
      </c>
      <c r="J310" s="11" t="s">
        <v>70</v>
      </c>
      <c r="K310" s="11" t="s">
        <v>71</v>
      </c>
      <c r="L310" s="11" t="s">
        <v>72</v>
      </c>
      <c r="M310" s="11" t="s">
        <v>73</v>
      </c>
      <c r="N310" s="11" t="s">
        <v>99</v>
      </c>
      <c r="O310" s="11" t="s">
        <v>100</v>
      </c>
      <c r="P310" s="11" t="s">
        <v>101</v>
      </c>
      <c r="Q310" s="13" t="n">
        <f aca="false">F310*H310</f>
        <v>21274848</v>
      </c>
      <c r="R310" s="13" t="n">
        <f aca="false">G310*H310</f>
        <v>20100000</v>
      </c>
      <c r="S310" s="13" t="n">
        <f aca="false">Q310-R310</f>
        <v>1174848</v>
      </c>
      <c r="T310" s="14" t="n">
        <f aca="false">IFERROR(S310/Q310,0)</f>
        <v>0.0552223921881839</v>
      </c>
      <c r="U310" s="15" t="str">
        <f aca="false">TEXT(A310,"yyyy-mm")</f>
        <v>2022-04</v>
      </c>
    </row>
    <row r="311" customFormat="false" ht="15" hidden="false" customHeight="false" outlineLevel="0" collapsed="false">
      <c r="A311" s="10" t="n">
        <v>44669</v>
      </c>
      <c r="B311" s="11" t="s">
        <v>443</v>
      </c>
      <c r="C311" s="11" t="s">
        <v>115</v>
      </c>
      <c r="D311" s="11" t="s">
        <v>67</v>
      </c>
      <c r="E311" s="11" t="s">
        <v>98</v>
      </c>
      <c r="F311" s="12" t="n">
        <v>4200743</v>
      </c>
      <c r="G311" s="12" t="n">
        <v>4101000</v>
      </c>
      <c r="H311" s="11" t="n">
        <v>8</v>
      </c>
      <c r="I311" s="11" t="s">
        <v>69</v>
      </c>
      <c r="J311" s="11" t="s">
        <v>112</v>
      </c>
      <c r="K311" s="11" t="s">
        <v>113</v>
      </c>
      <c r="L311" s="11" t="s">
        <v>82</v>
      </c>
      <c r="M311" s="11" t="s">
        <v>157</v>
      </c>
      <c r="N311" s="11" t="s">
        <v>143</v>
      </c>
      <c r="O311" s="11" t="s">
        <v>144</v>
      </c>
      <c r="P311" s="11" t="s">
        <v>101</v>
      </c>
      <c r="Q311" s="13" t="n">
        <f aca="false">F311*H311</f>
        <v>33605944</v>
      </c>
      <c r="R311" s="13" t="n">
        <f aca="false">G311*H311</f>
        <v>32808000</v>
      </c>
      <c r="S311" s="13" t="n">
        <f aca="false">Q311-R311</f>
        <v>797944</v>
      </c>
      <c r="T311" s="14" t="n">
        <f aca="false">IFERROR(S311/Q311,0)</f>
        <v>0.023744132883159</v>
      </c>
      <c r="U311" s="15" t="str">
        <f aca="false">TEXT(A311,"yyyy-mm")</f>
        <v>2022-04</v>
      </c>
    </row>
    <row r="312" customFormat="false" ht="15" hidden="false" customHeight="false" outlineLevel="0" collapsed="false">
      <c r="A312" s="10" t="n">
        <v>44670</v>
      </c>
      <c r="B312" s="11" t="s">
        <v>444</v>
      </c>
      <c r="C312" s="11" t="s">
        <v>117</v>
      </c>
      <c r="D312" s="11" t="s">
        <v>118</v>
      </c>
      <c r="E312" s="11" t="s">
        <v>119</v>
      </c>
      <c r="F312" s="12" t="n">
        <v>8220549</v>
      </c>
      <c r="G312" s="12" t="n">
        <v>6500000</v>
      </c>
      <c r="H312" s="11" t="n">
        <v>22</v>
      </c>
      <c r="I312" s="11" t="s">
        <v>69</v>
      </c>
      <c r="J312" s="11" t="s">
        <v>70</v>
      </c>
      <c r="K312" s="11" t="s">
        <v>71</v>
      </c>
      <c r="L312" s="11" t="s">
        <v>72</v>
      </c>
      <c r="M312" s="11" t="s">
        <v>73</v>
      </c>
      <c r="N312" s="11" t="s">
        <v>104</v>
      </c>
      <c r="O312" s="11" t="s">
        <v>105</v>
      </c>
      <c r="P312" s="11" t="s">
        <v>106</v>
      </c>
      <c r="Q312" s="13" t="n">
        <f aca="false">F312*H312</f>
        <v>180852078</v>
      </c>
      <c r="R312" s="13" t="n">
        <f aca="false">G312*H312</f>
        <v>143000000</v>
      </c>
      <c r="S312" s="13" t="n">
        <f aca="false">Q312-R312</f>
        <v>37852078</v>
      </c>
      <c r="T312" s="14" t="n">
        <f aca="false">IFERROR(S312/Q312,0)</f>
        <v>0.209298551714733</v>
      </c>
      <c r="U312" s="15" t="str">
        <f aca="false">TEXT(A312,"yyyy-mm")</f>
        <v>2022-04</v>
      </c>
    </row>
    <row r="313" customFormat="false" ht="15" hidden="false" customHeight="false" outlineLevel="0" collapsed="false">
      <c r="A313" s="10" t="n">
        <v>44670</v>
      </c>
      <c r="B313" s="11" t="s">
        <v>445</v>
      </c>
      <c r="C313" s="11" t="s">
        <v>121</v>
      </c>
      <c r="D313" s="11" t="s">
        <v>118</v>
      </c>
      <c r="E313" s="11" t="s">
        <v>122</v>
      </c>
      <c r="F313" s="12" t="n">
        <v>7687274</v>
      </c>
      <c r="G313" s="12" t="n">
        <v>6500000</v>
      </c>
      <c r="H313" s="11" t="n">
        <v>15</v>
      </c>
      <c r="I313" s="11" t="s">
        <v>69</v>
      </c>
      <c r="J313" s="11" t="s">
        <v>80</v>
      </c>
      <c r="K313" s="11" t="s">
        <v>81</v>
      </c>
      <c r="L313" s="11" t="s">
        <v>82</v>
      </c>
      <c r="M313" s="11" t="s">
        <v>73</v>
      </c>
      <c r="N313" s="11" t="s">
        <v>173</v>
      </c>
      <c r="O313" s="11" t="s">
        <v>174</v>
      </c>
      <c r="P313" s="11" t="s">
        <v>95</v>
      </c>
      <c r="Q313" s="13" t="n">
        <f aca="false">F313*H313</f>
        <v>115309110</v>
      </c>
      <c r="R313" s="13" t="n">
        <f aca="false">G313*H313</f>
        <v>97500000</v>
      </c>
      <c r="S313" s="13" t="n">
        <f aca="false">Q313-R313</f>
        <v>17809110</v>
      </c>
      <c r="T313" s="14" t="n">
        <f aca="false">IFERROR(S313/Q313,0)</f>
        <v>0.154446686822923</v>
      </c>
      <c r="U313" s="15" t="str">
        <f aca="false">TEXT(A313,"yyyy-mm")</f>
        <v>2022-04</v>
      </c>
    </row>
    <row r="314" customFormat="false" ht="15" hidden="false" customHeight="false" outlineLevel="0" collapsed="false">
      <c r="A314" s="10" t="n">
        <v>44671</v>
      </c>
      <c r="B314" s="11" t="s">
        <v>446</v>
      </c>
      <c r="C314" s="11" t="s">
        <v>125</v>
      </c>
      <c r="D314" s="11" t="s">
        <v>118</v>
      </c>
      <c r="E314" s="11" t="s">
        <v>126</v>
      </c>
      <c r="F314" s="12" t="n">
        <v>5684211</v>
      </c>
      <c r="G314" s="12" t="n">
        <v>4300000</v>
      </c>
      <c r="H314" s="11" t="n">
        <v>7</v>
      </c>
      <c r="I314" s="11" t="s">
        <v>69</v>
      </c>
      <c r="J314" s="11" t="s">
        <v>112</v>
      </c>
      <c r="K314" s="11" t="s">
        <v>113</v>
      </c>
      <c r="L314" s="11" t="s">
        <v>82</v>
      </c>
      <c r="M314" s="11" t="s">
        <v>157</v>
      </c>
      <c r="N314" s="11" t="s">
        <v>109</v>
      </c>
      <c r="O314" s="11" t="s">
        <v>75</v>
      </c>
      <c r="P314" s="11" t="s">
        <v>95</v>
      </c>
      <c r="Q314" s="13" t="n">
        <f aca="false">F314*H314</f>
        <v>39789477</v>
      </c>
      <c r="R314" s="13" t="n">
        <f aca="false">G314*H314</f>
        <v>30100000</v>
      </c>
      <c r="S314" s="13" t="n">
        <f aca="false">Q314-R314</f>
        <v>9689477</v>
      </c>
      <c r="T314" s="14" t="n">
        <f aca="false">IFERROR(S314/Q314,0)</f>
        <v>0.243518581558637</v>
      </c>
      <c r="U314" s="15" t="str">
        <f aca="false">TEXT(A314,"yyyy-mm")</f>
        <v>2022-04</v>
      </c>
    </row>
    <row r="315" customFormat="false" ht="15" hidden="false" customHeight="false" outlineLevel="0" collapsed="false">
      <c r="A315" s="10" t="n">
        <v>44671</v>
      </c>
      <c r="B315" s="11" t="s">
        <v>447</v>
      </c>
      <c r="C315" s="11" t="s">
        <v>128</v>
      </c>
      <c r="D315" s="11" t="s">
        <v>118</v>
      </c>
      <c r="E315" s="11" t="s">
        <v>119</v>
      </c>
      <c r="F315" s="12" t="n">
        <v>3370302</v>
      </c>
      <c r="G315" s="12" t="n">
        <v>2100000</v>
      </c>
      <c r="H315" s="11" t="n">
        <v>33</v>
      </c>
      <c r="I315" s="11" t="s">
        <v>69</v>
      </c>
      <c r="J315" s="11" t="s">
        <v>70</v>
      </c>
      <c r="K315" s="11" t="s">
        <v>71</v>
      </c>
      <c r="L315" s="11" t="s">
        <v>72</v>
      </c>
      <c r="M315" s="11" t="s">
        <v>73</v>
      </c>
      <c r="N315" s="11" t="s">
        <v>123</v>
      </c>
      <c r="O315" s="11" t="s">
        <v>60</v>
      </c>
      <c r="P315" s="11" t="s">
        <v>106</v>
      </c>
      <c r="Q315" s="13" t="n">
        <f aca="false">F315*H315</f>
        <v>111219966</v>
      </c>
      <c r="R315" s="13" t="n">
        <f aca="false">G315*H315</f>
        <v>69300000</v>
      </c>
      <c r="S315" s="13" t="n">
        <f aca="false">Q315-R315</f>
        <v>41919966</v>
      </c>
      <c r="T315" s="14" t="n">
        <f aca="false">IFERROR(S315/Q315,0)</f>
        <v>0.37691043710623</v>
      </c>
      <c r="U315" s="15" t="str">
        <f aca="false">TEXT(A315,"yyyy-mm")</f>
        <v>2022-04</v>
      </c>
    </row>
    <row r="316" customFormat="false" ht="15" hidden="false" customHeight="false" outlineLevel="0" collapsed="false">
      <c r="A316" s="10" t="n">
        <v>44671</v>
      </c>
      <c r="B316" s="11" t="s">
        <v>448</v>
      </c>
      <c r="C316" s="11" t="s">
        <v>130</v>
      </c>
      <c r="D316" s="11" t="s">
        <v>118</v>
      </c>
      <c r="E316" s="11" t="s">
        <v>68</v>
      </c>
      <c r="F316" s="12" t="n">
        <v>2852897</v>
      </c>
      <c r="G316" s="12" t="n">
        <v>2450000</v>
      </c>
      <c r="H316" s="11" t="n">
        <v>12</v>
      </c>
      <c r="I316" s="11" t="s">
        <v>86</v>
      </c>
      <c r="J316" s="11" t="s">
        <v>87</v>
      </c>
      <c r="K316" s="11" t="s">
        <v>88</v>
      </c>
      <c r="L316" s="11" t="s">
        <v>89</v>
      </c>
      <c r="M316" s="11" t="s">
        <v>90</v>
      </c>
      <c r="N316" s="11" t="s">
        <v>93</v>
      </c>
      <c r="O316" s="11" t="s">
        <v>94</v>
      </c>
      <c r="P316" s="11" t="s">
        <v>95</v>
      </c>
      <c r="Q316" s="13" t="n">
        <f aca="false">F316*H316</f>
        <v>34234764</v>
      </c>
      <c r="R316" s="13" t="n">
        <f aca="false">G316*H316</f>
        <v>29400000</v>
      </c>
      <c r="S316" s="13" t="n">
        <f aca="false">Q316-R316</f>
        <v>4834764</v>
      </c>
      <c r="T316" s="14" t="n">
        <f aca="false">IFERROR(S316/Q316,0)</f>
        <v>0.141223815651249</v>
      </c>
      <c r="U316" s="15" t="str">
        <f aca="false">TEXT(A316,"yyyy-mm")</f>
        <v>2022-04</v>
      </c>
    </row>
    <row r="317" customFormat="false" ht="15" hidden="false" customHeight="false" outlineLevel="0" collapsed="false">
      <c r="A317" s="10" t="n">
        <v>44671</v>
      </c>
      <c r="B317" s="11" t="s">
        <v>449</v>
      </c>
      <c r="C317" s="11" t="s">
        <v>132</v>
      </c>
      <c r="D317" s="11" t="s">
        <v>118</v>
      </c>
      <c r="E317" s="11" t="s">
        <v>68</v>
      </c>
      <c r="F317" s="12" t="n">
        <v>4803603</v>
      </c>
      <c r="G317" s="12" t="n">
        <v>4121000</v>
      </c>
      <c r="H317" s="11" t="n">
        <v>21</v>
      </c>
      <c r="I317" s="11" t="s">
        <v>69</v>
      </c>
      <c r="J317" s="11" t="s">
        <v>80</v>
      </c>
      <c r="K317" s="11" t="s">
        <v>81</v>
      </c>
      <c r="L317" s="11" t="s">
        <v>82</v>
      </c>
      <c r="M317" s="11" t="s">
        <v>73</v>
      </c>
      <c r="N317" s="11" t="s">
        <v>74</v>
      </c>
      <c r="O317" s="11" t="s">
        <v>75</v>
      </c>
      <c r="P317" s="11" t="s">
        <v>76</v>
      </c>
      <c r="Q317" s="13" t="n">
        <f aca="false">F317*H317</f>
        <v>100875663</v>
      </c>
      <c r="R317" s="13" t="n">
        <f aca="false">G317*H317</f>
        <v>86541000</v>
      </c>
      <c r="S317" s="13" t="n">
        <f aca="false">Q317-R317</f>
        <v>14334663</v>
      </c>
      <c r="T317" s="14" t="n">
        <f aca="false">IFERROR(S317/Q317,0)</f>
        <v>0.142102292799801</v>
      </c>
      <c r="U317" s="15" t="str">
        <f aca="false">TEXT(A317,"yyyy-mm")</f>
        <v>2022-04</v>
      </c>
    </row>
    <row r="318" customFormat="false" ht="15" hidden="false" customHeight="false" outlineLevel="0" collapsed="false">
      <c r="A318" s="10" t="n">
        <v>44671</v>
      </c>
      <c r="B318" s="11" t="s">
        <v>450</v>
      </c>
      <c r="C318" s="11" t="s">
        <v>135</v>
      </c>
      <c r="D318" s="11" t="s">
        <v>118</v>
      </c>
      <c r="E318" s="11" t="s">
        <v>68</v>
      </c>
      <c r="F318" s="12" t="n">
        <v>5689947</v>
      </c>
      <c r="G318" s="12" t="n">
        <v>5235000</v>
      </c>
      <c r="H318" s="11" t="n">
        <v>28</v>
      </c>
      <c r="I318" s="11" t="s">
        <v>69</v>
      </c>
      <c r="J318" s="11" t="s">
        <v>112</v>
      </c>
      <c r="K318" s="11" t="s">
        <v>113</v>
      </c>
      <c r="L318" s="11" t="s">
        <v>82</v>
      </c>
      <c r="M318" s="11" t="s">
        <v>157</v>
      </c>
      <c r="N318" s="11" t="s">
        <v>104</v>
      </c>
      <c r="O318" s="11" t="s">
        <v>105</v>
      </c>
      <c r="P318" s="11" t="s">
        <v>106</v>
      </c>
      <c r="Q318" s="13" t="n">
        <f aca="false">F318*H318</f>
        <v>159318516</v>
      </c>
      <c r="R318" s="13" t="n">
        <f aca="false">G318*H318</f>
        <v>146580000</v>
      </c>
      <c r="S318" s="13" t="n">
        <f aca="false">Q318-R318</f>
        <v>12738516</v>
      </c>
      <c r="T318" s="14" t="n">
        <f aca="false">IFERROR(S318/Q318,0)</f>
        <v>0.0799562807878527</v>
      </c>
      <c r="U318" s="15" t="str">
        <f aca="false">TEXT(A318,"yyyy-mm")</f>
        <v>2022-04</v>
      </c>
    </row>
    <row r="319" customFormat="false" ht="15" hidden="false" customHeight="false" outlineLevel="0" collapsed="false">
      <c r="A319" s="10" t="n">
        <v>44671</v>
      </c>
      <c r="B319" s="11" t="s">
        <v>451</v>
      </c>
      <c r="C319" s="11" t="s">
        <v>137</v>
      </c>
      <c r="D319" s="11" t="s">
        <v>138</v>
      </c>
      <c r="E319" s="11" t="s">
        <v>139</v>
      </c>
      <c r="F319" s="12" t="n">
        <v>5171827</v>
      </c>
      <c r="G319" s="12" t="n">
        <v>4890000</v>
      </c>
      <c r="H319" s="11" t="n">
        <v>7</v>
      </c>
      <c r="I319" s="11" t="s">
        <v>86</v>
      </c>
      <c r="J319" s="11" t="s">
        <v>87</v>
      </c>
      <c r="K319" s="11" t="s">
        <v>88</v>
      </c>
      <c r="L319" s="11" t="s">
        <v>89</v>
      </c>
      <c r="M319" s="11" t="s">
        <v>90</v>
      </c>
      <c r="N319" s="11" t="s">
        <v>109</v>
      </c>
      <c r="O319" s="11" t="s">
        <v>75</v>
      </c>
      <c r="P319" s="11" t="s">
        <v>95</v>
      </c>
      <c r="Q319" s="13" t="n">
        <f aca="false">F319*H319</f>
        <v>36202789</v>
      </c>
      <c r="R319" s="13" t="n">
        <f aca="false">G319*H319</f>
        <v>34230000</v>
      </c>
      <c r="S319" s="13" t="n">
        <f aca="false">Q319-R319</f>
        <v>1972789</v>
      </c>
      <c r="T319" s="14" t="n">
        <f aca="false">IFERROR(S319/Q319,0)</f>
        <v>0.0544927353525166</v>
      </c>
      <c r="U319" s="15" t="str">
        <f aca="false">TEXT(A319,"yyyy-mm")</f>
        <v>2022-04</v>
      </c>
    </row>
    <row r="320" customFormat="false" ht="15" hidden="false" customHeight="false" outlineLevel="0" collapsed="false">
      <c r="A320" s="10" t="n">
        <v>44672</v>
      </c>
      <c r="B320" s="11" t="s">
        <v>452</v>
      </c>
      <c r="C320" s="11" t="s">
        <v>141</v>
      </c>
      <c r="D320" s="11" t="s">
        <v>138</v>
      </c>
      <c r="E320" s="11" t="s">
        <v>142</v>
      </c>
      <c r="F320" s="12" t="n">
        <v>2805124</v>
      </c>
      <c r="G320" s="12" t="n">
        <v>2178000</v>
      </c>
      <c r="H320" s="11" t="n">
        <v>7</v>
      </c>
      <c r="I320" s="11" t="s">
        <v>69</v>
      </c>
      <c r="J320" s="11" t="s">
        <v>70</v>
      </c>
      <c r="K320" s="11" t="s">
        <v>71</v>
      </c>
      <c r="L320" s="11" t="s">
        <v>72</v>
      </c>
      <c r="M320" s="11" t="s">
        <v>73</v>
      </c>
      <c r="N320" s="11" t="s">
        <v>143</v>
      </c>
      <c r="O320" s="11" t="s">
        <v>144</v>
      </c>
      <c r="P320" s="11" t="s">
        <v>101</v>
      </c>
      <c r="Q320" s="13" t="n">
        <f aca="false">F320*H320</f>
        <v>19635868</v>
      </c>
      <c r="R320" s="13" t="n">
        <f aca="false">G320*H320</f>
        <v>15246000</v>
      </c>
      <c r="S320" s="13" t="n">
        <f aca="false">Q320-R320</f>
        <v>4389868</v>
      </c>
      <c r="T320" s="14" t="n">
        <f aca="false">IFERROR(S320/Q320,0)</f>
        <v>0.22356373550688</v>
      </c>
      <c r="U320" s="15" t="str">
        <f aca="false">TEXT(A320,"yyyy-mm")</f>
        <v>2022-04</v>
      </c>
    </row>
    <row r="321" customFormat="false" ht="15" hidden="false" customHeight="false" outlineLevel="0" collapsed="false">
      <c r="A321" s="10" t="n">
        <v>44674</v>
      </c>
      <c r="B321" s="11" t="s">
        <v>453</v>
      </c>
      <c r="C321" s="11" t="s">
        <v>146</v>
      </c>
      <c r="D321" s="11" t="s">
        <v>138</v>
      </c>
      <c r="E321" s="11" t="s">
        <v>139</v>
      </c>
      <c r="F321" s="12" t="n">
        <v>2728100</v>
      </c>
      <c r="G321" s="12" t="n">
        <v>2321000</v>
      </c>
      <c r="H321" s="11" t="n">
        <v>5</v>
      </c>
      <c r="I321" s="11" t="s">
        <v>69</v>
      </c>
      <c r="J321" s="11" t="s">
        <v>112</v>
      </c>
      <c r="K321" s="11" t="s">
        <v>113</v>
      </c>
      <c r="L321" s="11" t="s">
        <v>82</v>
      </c>
      <c r="M321" s="11" t="s">
        <v>157</v>
      </c>
      <c r="N321" s="11" t="s">
        <v>93</v>
      </c>
      <c r="O321" s="11" t="s">
        <v>94</v>
      </c>
      <c r="P321" s="11" t="s">
        <v>95</v>
      </c>
      <c r="Q321" s="13" t="n">
        <f aca="false">F321*H321</f>
        <v>13640500</v>
      </c>
      <c r="R321" s="13" t="n">
        <f aca="false">G321*H321</f>
        <v>11605000</v>
      </c>
      <c r="S321" s="13" t="n">
        <f aca="false">Q321-R321</f>
        <v>2035500</v>
      </c>
      <c r="T321" s="14" t="n">
        <f aca="false">IFERROR(S321/Q321,0)</f>
        <v>0.149224735163667</v>
      </c>
      <c r="U321" s="15" t="str">
        <f aca="false">TEXT(A321,"yyyy-mm")</f>
        <v>2022-04</v>
      </c>
    </row>
    <row r="322" customFormat="false" ht="15" hidden="false" customHeight="false" outlineLevel="0" collapsed="false">
      <c r="A322" s="10" t="n">
        <v>44674</v>
      </c>
      <c r="B322" s="11" t="s">
        <v>454</v>
      </c>
      <c r="C322" s="11" t="s">
        <v>148</v>
      </c>
      <c r="D322" s="11" t="s">
        <v>138</v>
      </c>
      <c r="E322" s="11" t="s">
        <v>122</v>
      </c>
      <c r="F322" s="12" t="n">
        <v>4941716</v>
      </c>
      <c r="G322" s="12" t="n">
        <v>4456000</v>
      </c>
      <c r="H322" s="11" t="n">
        <v>7</v>
      </c>
      <c r="I322" s="11" t="s">
        <v>69</v>
      </c>
      <c r="J322" s="11" t="s">
        <v>112</v>
      </c>
      <c r="K322" s="11" t="s">
        <v>113</v>
      </c>
      <c r="L322" s="11" t="s">
        <v>82</v>
      </c>
      <c r="M322" s="11" t="s">
        <v>157</v>
      </c>
      <c r="N322" s="11" t="s">
        <v>74</v>
      </c>
      <c r="O322" s="11" t="s">
        <v>75</v>
      </c>
      <c r="P322" s="11" t="s">
        <v>76</v>
      </c>
      <c r="Q322" s="13" t="n">
        <f aca="false">F322*H322</f>
        <v>34592012</v>
      </c>
      <c r="R322" s="13" t="n">
        <f aca="false">G322*H322</f>
        <v>31192000</v>
      </c>
      <c r="S322" s="13" t="n">
        <f aca="false">Q322-R322</f>
        <v>3400012</v>
      </c>
      <c r="T322" s="14" t="n">
        <f aca="false">IFERROR(S322/Q322,0)</f>
        <v>0.0982889344511097</v>
      </c>
      <c r="U322" s="15" t="str">
        <f aca="false">TEXT(A322,"yyyy-mm")</f>
        <v>2022-04</v>
      </c>
    </row>
    <row r="323" customFormat="false" ht="15" hidden="false" customHeight="false" outlineLevel="0" collapsed="false">
      <c r="A323" s="10" t="n">
        <v>44674</v>
      </c>
      <c r="B323" s="11" t="s">
        <v>455</v>
      </c>
      <c r="C323" s="11" t="s">
        <v>66</v>
      </c>
      <c r="D323" s="11" t="s">
        <v>67</v>
      </c>
      <c r="E323" s="11" t="s">
        <v>68</v>
      </c>
      <c r="F323" s="12" t="n">
        <v>3048952</v>
      </c>
      <c r="G323" s="12" t="n">
        <v>2560000</v>
      </c>
      <c r="H323" s="11" t="n">
        <v>16</v>
      </c>
      <c r="I323" s="11" t="s">
        <v>69</v>
      </c>
      <c r="J323" s="11" t="s">
        <v>80</v>
      </c>
      <c r="K323" s="11" t="s">
        <v>81</v>
      </c>
      <c r="L323" s="11" t="s">
        <v>82</v>
      </c>
      <c r="M323" s="11" t="s">
        <v>73</v>
      </c>
      <c r="N323" s="11" t="s">
        <v>149</v>
      </c>
      <c r="O323" s="11" t="s">
        <v>150</v>
      </c>
      <c r="P323" s="11" t="s">
        <v>151</v>
      </c>
      <c r="Q323" s="13" t="n">
        <f aca="false">F323*H323</f>
        <v>48783232</v>
      </c>
      <c r="R323" s="13" t="n">
        <f aca="false">G323*H323</f>
        <v>40960000</v>
      </c>
      <c r="S323" s="13" t="n">
        <f aca="false">Q323-R323</f>
        <v>7823232</v>
      </c>
      <c r="T323" s="14" t="n">
        <f aca="false">IFERROR(S323/Q323,0)</f>
        <v>0.160367234380863</v>
      </c>
      <c r="U323" s="15" t="str">
        <f aca="false">TEXT(A323,"yyyy-mm")</f>
        <v>2022-04</v>
      </c>
    </row>
    <row r="324" customFormat="false" ht="15" hidden="false" customHeight="false" outlineLevel="0" collapsed="false">
      <c r="A324" s="10" t="n">
        <v>44674</v>
      </c>
      <c r="B324" s="11" t="s">
        <v>456</v>
      </c>
      <c r="C324" s="11" t="s">
        <v>78</v>
      </c>
      <c r="D324" s="11" t="s">
        <v>67</v>
      </c>
      <c r="E324" s="11" t="s">
        <v>79</v>
      </c>
      <c r="F324" s="12" t="n">
        <v>1870000</v>
      </c>
      <c r="G324" s="12" t="n">
        <v>1650000</v>
      </c>
      <c r="H324" s="11" t="n">
        <v>16</v>
      </c>
      <c r="I324" s="11" t="s">
        <v>69</v>
      </c>
      <c r="J324" s="11" t="s">
        <v>80</v>
      </c>
      <c r="K324" s="11" t="s">
        <v>81</v>
      </c>
      <c r="L324" s="11" t="s">
        <v>82</v>
      </c>
      <c r="M324" s="11" t="s">
        <v>73</v>
      </c>
      <c r="N324" s="11" t="s">
        <v>74</v>
      </c>
      <c r="O324" s="11" t="s">
        <v>75</v>
      </c>
      <c r="P324" s="11" t="s">
        <v>76</v>
      </c>
      <c r="Q324" s="13" t="n">
        <f aca="false">F324*H324</f>
        <v>29920000</v>
      </c>
      <c r="R324" s="13" t="n">
        <f aca="false">G324*H324</f>
        <v>26400000</v>
      </c>
      <c r="S324" s="13" t="n">
        <f aca="false">Q324-R324</f>
        <v>3520000</v>
      </c>
      <c r="T324" s="14" t="n">
        <f aca="false">IFERROR(S324/Q324,0)</f>
        <v>0.117647058823529</v>
      </c>
      <c r="U324" s="15" t="str">
        <f aca="false">TEXT(A324,"yyyy-mm")</f>
        <v>2022-04</v>
      </c>
    </row>
    <row r="325" customFormat="false" ht="15" hidden="false" customHeight="false" outlineLevel="0" collapsed="false">
      <c r="A325" s="10" t="n">
        <v>44674</v>
      </c>
      <c r="B325" s="11" t="s">
        <v>457</v>
      </c>
      <c r="C325" s="11" t="s">
        <v>84</v>
      </c>
      <c r="D325" s="11" t="s">
        <v>67</v>
      </c>
      <c r="E325" s="11" t="s">
        <v>85</v>
      </c>
      <c r="F325" s="12" t="n">
        <v>2600000</v>
      </c>
      <c r="G325" s="12" t="n">
        <v>2300000</v>
      </c>
      <c r="H325" s="11" t="n">
        <v>16</v>
      </c>
      <c r="I325" s="11" t="s">
        <v>69</v>
      </c>
      <c r="J325" s="11" t="s">
        <v>80</v>
      </c>
      <c r="K325" s="11" t="s">
        <v>81</v>
      </c>
      <c r="L325" s="11" t="s">
        <v>82</v>
      </c>
      <c r="M325" s="11" t="s">
        <v>73</v>
      </c>
      <c r="N325" s="11" t="s">
        <v>133</v>
      </c>
      <c r="O325" s="11" t="s">
        <v>60</v>
      </c>
      <c r="P325" s="11" t="s">
        <v>76</v>
      </c>
      <c r="Q325" s="13" t="n">
        <f aca="false">F325*H325</f>
        <v>41600000</v>
      </c>
      <c r="R325" s="13" t="n">
        <f aca="false">G325*H325</f>
        <v>36800000</v>
      </c>
      <c r="S325" s="13" t="n">
        <f aca="false">Q325-R325</f>
        <v>4800000</v>
      </c>
      <c r="T325" s="14" t="n">
        <f aca="false">IFERROR(S325/Q325,0)</f>
        <v>0.115384615384615</v>
      </c>
      <c r="U325" s="15" t="str">
        <f aca="false">TEXT(A325,"yyyy-mm")</f>
        <v>2022-04</v>
      </c>
    </row>
    <row r="326" customFormat="false" ht="15" hidden="false" customHeight="false" outlineLevel="0" collapsed="false">
      <c r="A326" s="10" t="n">
        <v>44675</v>
      </c>
      <c r="B326" s="11" t="s">
        <v>458</v>
      </c>
      <c r="C326" s="11" t="s">
        <v>92</v>
      </c>
      <c r="D326" s="11" t="s">
        <v>67</v>
      </c>
      <c r="E326" s="11" t="s">
        <v>79</v>
      </c>
      <c r="F326" s="12" t="n">
        <v>3577480</v>
      </c>
      <c r="G326" s="12" t="n">
        <v>3100000</v>
      </c>
      <c r="H326" s="11" t="n">
        <v>23</v>
      </c>
      <c r="I326" s="11" t="s">
        <v>69</v>
      </c>
      <c r="J326" s="11" t="s">
        <v>112</v>
      </c>
      <c r="K326" s="11" t="s">
        <v>113</v>
      </c>
      <c r="L326" s="11" t="s">
        <v>82</v>
      </c>
      <c r="M326" s="11" t="s">
        <v>157</v>
      </c>
      <c r="N326" s="11" t="s">
        <v>123</v>
      </c>
      <c r="O326" s="11" t="s">
        <v>60</v>
      </c>
      <c r="P326" s="11" t="s">
        <v>106</v>
      </c>
      <c r="Q326" s="13" t="n">
        <f aca="false">F326*H326</f>
        <v>82282040</v>
      </c>
      <c r="R326" s="13" t="n">
        <f aca="false">G326*H326</f>
        <v>71300000</v>
      </c>
      <c r="S326" s="13" t="n">
        <f aca="false">Q326-R326</f>
        <v>10982040</v>
      </c>
      <c r="T326" s="14" t="n">
        <f aca="false">IFERROR(S326/Q326,0)</f>
        <v>0.133468251394837</v>
      </c>
      <c r="U326" s="15" t="str">
        <f aca="false">TEXT(A326,"yyyy-mm")</f>
        <v>2022-04</v>
      </c>
    </row>
    <row r="327" customFormat="false" ht="15" hidden="false" customHeight="false" outlineLevel="0" collapsed="false">
      <c r="A327" s="10" t="n">
        <v>44676</v>
      </c>
      <c r="B327" s="11" t="s">
        <v>459</v>
      </c>
      <c r="C327" s="11" t="s">
        <v>97</v>
      </c>
      <c r="D327" s="11" t="s">
        <v>67</v>
      </c>
      <c r="E327" s="11" t="s">
        <v>98</v>
      </c>
      <c r="F327" s="12" t="n">
        <v>4969724</v>
      </c>
      <c r="G327" s="12" t="n">
        <v>4121560</v>
      </c>
      <c r="H327" s="11" t="n">
        <v>15</v>
      </c>
      <c r="I327" s="11" t="s">
        <v>86</v>
      </c>
      <c r="J327" s="11" t="s">
        <v>87</v>
      </c>
      <c r="K327" s="11" t="s">
        <v>88</v>
      </c>
      <c r="L327" s="11" t="s">
        <v>89</v>
      </c>
      <c r="M327" s="11" t="s">
        <v>90</v>
      </c>
      <c r="N327" s="11" t="s">
        <v>173</v>
      </c>
      <c r="O327" s="11" t="s">
        <v>174</v>
      </c>
      <c r="P327" s="11" t="s">
        <v>95</v>
      </c>
      <c r="Q327" s="13" t="n">
        <f aca="false">F327*H327</f>
        <v>74545860</v>
      </c>
      <c r="R327" s="13" t="n">
        <f aca="false">G327*H327</f>
        <v>61823400</v>
      </c>
      <c r="S327" s="13" t="n">
        <f aca="false">Q327-R327</f>
        <v>12722460</v>
      </c>
      <c r="T327" s="14" t="n">
        <f aca="false">IFERROR(S327/Q327,0)</f>
        <v>0.170666218083741</v>
      </c>
      <c r="U327" s="15" t="str">
        <f aca="false">TEXT(A327,"yyyy-mm")</f>
        <v>2022-04</v>
      </c>
    </row>
    <row r="328" customFormat="false" ht="15" hidden="false" customHeight="false" outlineLevel="0" collapsed="false">
      <c r="A328" s="10" t="n">
        <v>44676</v>
      </c>
      <c r="B328" s="11" t="s">
        <v>460</v>
      </c>
      <c r="C328" s="11" t="s">
        <v>103</v>
      </c>
      <c r="D328" s="11" t="s">
        <v>67</v>
      </c>
      <c r="E328" s="11" t="s">
        <v>68</v>
      </c>
      <c r="F328" s="12" t="n">
        <v>3319925</v>
      </c>
      <c r="G328" s="12" t="n">
        <v>2800000</v>
      </c>
      <c r="H328" s="11" t="n">
        <v>1</v>
      </c>
      <c r="I328" s="11" t="s">
        <v>69</v>
      </c>
      <c r="J328" s="11" t="s">
        <v>80</v>
      </c>
      <c r="K328" s="11" t="s">
        <v>81</v>
      </c>
      <c r="L328" s="11" t="s">
        <v>82</v>
      </c>
      <c r="M328" s="11" t="s">
        <v>73</v>
      </c>
      <c r="N328" s="11" t="s">
        <v>143</v>
      </c>
      <c r="O328" s="11" t="s">
        <v>144</v>
      </c>
      <c r="P328" s="11" t="s">
        <v>101</v>
      </c>
      <c r="Q328" s="13" t="n">
        <f aca="false">F328*H328</f>
        <v>3319925</v>
      </c>
      <c r="R328" s="13" t="n">
        <f aca="false">G328*H328</f>
        <v>2800000</v>
      </c>
      <c r="S328" s="13" t="n">
        <f aca="false">Q328-R328</f>
        <v>519925</v>
      </c>
      <c r="T328" s="14" t="n">
        <f aca="false">IFERROR(S328/Q328,0)</f>
        <v>0.15660745348163</v>
      </c>
      <c r="U328" s="15" t="str">
        <f aca="false">TEXT(A328,"yyyy-mm")</f>
        <v>2022-04</v>
      </c>
    </row>
    <row r="329" customFormat="false" ht="15" hidden="false" customHeight="false" outlineLevel="0" collapsed="false">
      <c r="A329" s="10" t="n">
        <v>44676</v>
      </c>
      <c r="B329" s="11" t="s">
        <v>461</v>
      </c>
      <c r="C329" s="11" t="s">
        <v>108</v>
      </c>
      <c r="D329" s="11" t="s">
        <v>67</v>
      </c>
      <c r="E329" s="11" t="s">
        <v>68</v>
      </c>
      <c r="F329" s="12" t="n">
        <v>4757880</v>
      </c>
      <c r="G329" s="12" t="n">
        <v>3450000</v>
      </c>
      <c r="H329" s="11" t="n">
        <v>14</v>
      </c>
      <c r="I329" s="11" t="s">
        <v>69</v>
      </c>
      <c r="J329" s="11" t="s">
        <v>80</v>
      </c>
      <c r="K329" s="11" t="s">
        <v>81</v>
      </c>
      <c r="L329" s="11" t="s">
        <v>82</v>
      </c>
      <c r="M329" s="11" t="s">
        <v>73</v>
      </c>
      <c r="N329" s="11" t="s">
        <v>133</v>
      </c>
      <c r="O329" s="11" t="s">
        <v>60</v>
      </c>
      <c r="P329" s="11" t="s">
        <v>76</v>
      </c>
      <c r="Q329" s="13" t="n">
        <f aca="false">F329*H329</f>
        <v>66610320</v>
      </c>
      <c r="R329" s="13" t="n">
        <f aca="false">G329*H329</f>
        <v>48300000</v>
      </c>
      <c r="S329" s="13" t="n">
        <f aca="false">Q329-R329</f>
        <v>18310320</v>
      </c>
      <c r="T329" s="14" t="n">
        <f aca="false">IFERROR(S329/Q329,0)</f>
        <v>0.274887134606169</v>
      </c>
      <c r="U329" s="15" t="str">
        <f aca="false">TEXT(A329,"yyyy-mm")</f>
        <v>2022-04</v>
      </c>
    </row>
    <row r="330" customFormat="false" ht="15" hidden="false" customHeight="false" outlineLevel="0" collapsed="false">
      <c r="A330" s="10" t="n">
        <v>44677</v>
      </c>
      <c r="B330" s="11" t="s">
        <v>462</v>
      </c>
      <c r="C330" s="11" t="s">
        <v>111</v>
      </c>
      <c r="D330" s="11" t="s">
        <v>67</v>
      </c>
      <c r="E330" s="11" t="s">
        <v>79</v>
      </c>
      <c r="F330" s="12" t="n">
        <v>3545808</v>
      </c>
      <c r="G330" s="12" t="n">
        <v>3350000</v>
      </c>
      <c r="H330" s="11" t="n">
        <v>7</v>
      </c>
      <c r="I330" s="11" t="s">
        <v>69</v>
      </c>
      <c r="J330" s="11" t="s">
        <v>112</v>
      </c>
      <c r="K330" s="11" t="s">
        <v>113</v>
      </c>
      <c r="L330" s="11" t="s">
        <v>82</v>
      </c>
      <c r="M330" s="11" t="s">
        <v>157</v>
      </c>
      <c r="N330" s="11" t="s">
        <v>99</v>
      </c>
      <c r="O330" s="11" t="s">
        <v>100</v>
      </c>
      <c r="P330" s="11" t="s">
        <v>101</v>
      </c>
      <c r="Q330" s="13" t="n">
        <f aca="false">F330*H330</f>
        <v>24820656</v>
      </c>
      <c r="R330" s="13" t="n">
        <f aca="false">G330*H330</f>
        <v>23450000</v>
      </c>
      <c r="S330" s="13" t="n">
        <f aca="false">Q330-R330</f>
        <v>1370656</v>
      </c>
      <c r="T330" s="14" t="n">
        <f aca="false">IFERROR(S330/Q330,0)</f>
        <v>0.0552223921881839</v>
      </c>
      <c r="U330" s="15" t="str">
        <f aca="false">TEXT(A330,"yyyy-mm")</f>
        <v>2022-04</v>
      </c>
    </row>
    <row r="331" customFormat="false" ht="15" hidden="false" customHeight="false" outlineLevel="0" collapsed="false">
      <c r="A331" s="10" t="n">
        <v>44678</v>
      </c>
      <c r="B331" s="11" t="s">
        <v>463</v>
      </c>
      <c r="C331" s="11" t="s">
        <v>115</v>
      </c>
      <c r="D331" s="11" t="s">
        <v>67</v>
      </c>
      <c r="E331" s="11" t="s">
        <v>98</v>
      </c>
      <c r="F331" s="12" t="n">
        <v>4200743</v>
      </c>
      <c r="G331" s="12" t="n">
        <v>4101000</v>
      </c>
      <c r="H331" s="11" t="n">
        <v>7</v>
      </c>
      <c r="I331" s="11" t="s">
        <v>69</v>
      </c>
      <c r="J331" s="11" t="s">
        <v>80</v>
      </c>
      <c r="K331" s="11" t="s">
        <v>81</v>
      </c>
      <c r="L331" s="11" t="s">
        <v>82</v>
      </c>
      <c r="M331" s="11" t="s">
        <v>73</v>
      </c>
      <c r="N331" s="11" t="s">
        <v>104</v>
      </c>
      <c r="O331" s="11" t="s">
        <v>105</v>
      </c>
      <c r="P331" s="11" t="s">
        <v>106</v>
      </c>
      <c r="Q331" s="13" t="n">
        <f aca="false">F331*H331</f>
        <v>29405201</v>
      </c>
      <c r="R331" s="13" t="n">
        <f aca="false">G331*H331</f>
        <v>28707000</v>
      </c>
      <c r="S331" s="13" t="n">
        <f aca="false">Q331-R331</f>
        <v>698201</v>
      </c>
      <c r="T331" s="14" t="n">
        <f aca="false">IFERROR(S331/Q331,0)</f>
        <v>0.023744132883159</v>
      </c>
      <c r="U331" s="15" t="str">
        <f aca="false">TEXT(A331,"yyyy-mm")</f>
        <v>2022-04</v>
      </c>
    </row>
    <row r="332" customFormat="false" ht="15" hidden="false" customHeight="false" outlineLevel="0" collapsed="false">
      <c r="A332" s="10" t="n">
        <v>44678</v>
      </c>
      <c r="B332" s="11" t="s">
        <v>464</v>
      </c>
      <c r="C332" s="11" t="s">
        <v>117</v>
      </c>
      <c r="D332" s="11" t="s">
        <v>118</v>
      </c>
      <c r="E332" s="11" t="s">
        <v>119</v>
      </c>
      <c r="F332" s="12" t="n">
        <v>8220549</v>
      </c>
      <c r="G332" s="12" t="n">
        <v>6500000</v>
      </c>
      <c r="H332" s="11" t="n">
        <v>14</v>
      </c>
      <c r="I332" s="11" t="s">
        <v>69</v>
      </c>
      <c r="J332" s="11" t="s">
        <v>80</v>
      </c>
      <c r="K332" s="11" t="s">
        <v>81</v>
      </c>
      <c r="L332" s="11" t="s">
        <v>82</v>
      </c>
      <c r="M332" s="11" t="s">
        <v>73</v>
      </c>
      <c r="N332" s="11" t="s">
        <v>74</v>
      </c>
      <c r="O332" s="11" t="s">
        <v>75</v>
      </c>
      <c r="P332" s="11" t="s">
        <v>76</v>
      </c>
      <c r="Q332" s="13" t="n">
        <f aca="false">F332*H332</f>
        <v>115087686</v>
      </c>
      <c r="R332" s="13" t="n">
        <f aca="false">G332*H332</f>
        <v>91000000</v>
      </c>
      <c r="S332" s="13" t="n">
        <f aca="false">Q332-R332</f>
        <v>24087686</v>
      </c>
      <c r="T332" s="14" t="n">
        <f aca="false">IFERROR(S332/Q332,0)</f>
        <v>0.209298551714733</v>
      </c>
      <c r="U332" s="15" t="str">
        <f aca="false">TEXT(A332,"yyyy-mm")</f>
        <v>2022-04</v>
      </c>
    </row>
    <row r="333" customFormat="false" ht="15" hidden="false" customHeight="false" outlineLevel="0" collapsed="false">
      <c r="A333" s="10" t="n">
        <v>44679</v>
      </c>
      <c r="B333" s="11" t="s">
        <v>465</v>
      </c>
      <c r="C333" s="11" t="s">
        <v>121</v>
      </c>
      <c r="D333" s="11" t="s">
        <v>118</v>
      </c>
      <c r="E333" s="11" t="s">
        <v>122</v>
      </c>
      <c r="F333" s="12" t="n">
        <v>7687274</v>
      </c>
      <c r="G333" s="12" t="n">
        <v>6500000</v>
      </c>
      <c r="H333" s="11" t="n">
        <v>18</v>
      </c>
      <c r="I333" s="11" t="s">
        <v>69</v>
      </c>
      <c r="J333" s="11" t="s">
        <v>80</v>
      </c>
      <c r="K333" s="11" t="s">
        <v>81</v>
      </c>
      <c r="L333" s="11" t="s">
        <v>82</v>
      </c>
      <c r="M333" s="11" t="s">
        <v>73</v>
      </c>
      <c r="N333" s="11" t="s">
        <v>133</v>
      </c>
      <c r="O333" s="11" t="s">
        <v>60</v>
      </c>
      <c r="P333" s="11" t="s">
        <v>76</v>
      </c>
      <c r="Q333" s="13" t="n">
        <f aca="false">F333*H333</f>
        <v>138370932</v>
      </c>
      <c r="R333" s="13" t="n">
        <f aca="false">G333*H333</f>
        <v>117000000</v>
      </c>
      <c r="S333" s="13" t="n">
        <f aca="false">Q333-R333</f>
        <v>21370932</v>
      </c>
      <c r="T333" s="14" t="n">
        <f aca="false">IFERROR(S333/Q333,0)</f>
        <v>0.154446686822923</v>
      </c>
      <c r="U333" s="15" t="str">
        <f aca="false">TEXT(A333,"yyyy-mm")</f>
        <v>2022-04</v>
      </c>
    </row>
    <row r="334" customFormat="false" ht="15" hidden="false" customHeight="false" outlineLevel="0" collapsed="false">
      <c r="A334" s="10" t="n">
        <v>44679</v>
      </c>
      <c r="B334" s="11" t="s">
        <v>466</v>
      </c>
      <c r="C334" s="11" t="s">
        <v>125</v>
      </c>
      <c r="D334" s="11" t="s">
        <v>118</v>
      </c>
      <c r="E334" s="11" t="s">
        <v>126</v>
      </c>
      <c r="F334" s="12" t="n">
        <v>5684211</v>
      </c>
      <c r="G334" s="12" t="n">
        <v>4300000</v>
      </c>
      <c r="H334" s="11" t="n">
        <v>12</v>
      </c>
      <c r="I334" s="11" t="s">
        <v>69</v>
      </c>
      <c r="J334" s="11" t="s">
        <v>80</v>
      </c>
      <c r="K334" s="11" t="s">
        <v>81</v>
      </c>
      <c r="L334" s="11" t="s">
        <v>82</v>
      </c>
      <c r="M334" s="11" t="s">
        <v>73</v>
      </c>
      <c r="N334" s="11" t="s">
        <v>109</v>
      </c>
      <c r="O334" s="11" t="s">
        <v>75</v>
      </c>
      <c r="P334" s="11" t="s">
        <v>95</v>
      </c>
      <c r="Q334" s="13" t="n">
        <f aca="false">F334*H334</f>
        <v>68210532</v>
      </c>
      <c r="R334" s="13" t="n">
        <f aca="false">G334*H334</f>
        <v>51600000</v>
      </c>
      <c r="S334" s="13" t="n">
        <f aca="false">Q334-R334</f>
        <v>16610532</v>
      </c>
      <c r="T334" s="14" t="n">
        <f aca="false">IFERROR(S334/Q334,0)</f>
        <v>0.243518581558637</v>
      </c>
      <c r="U334" s="15" t="str">
        <f aca="false">TEXT(A334,"yyyy-mm")</f>
        <v>2022-04</v>
      </c>
    </row>
    <row r="335" customFormat="false" ht="15" hidden="false" customHeight="false" outlineLevel="0" collapsed="false">
      <c r="A335" s="10" t="n">
        <v>44679</v>
      </c>
      <c r="B335" s="11" t="s">
        <v>467</v>
      </c>
      <c r="C335" s="11" t="s">
        <v>128</v>
      </c>
      <c r="D335" s="11" t="s">
        <v>118</v>
      </c>
      <c r="E335" s="11" t="s">
        <v>119</v>
      </c>
      <c r="F335" s="12" t="n">
        <v>3370302</v>
      </c>
      <c r="G335" s="12" t="n">
        <v>2100000</v>
      </c>
      <c r="H335" s="11" t="n">
        <v>21</v>
      </c>
      <c r="I335" s="11" t="s">
        <v>69</v>
      </c>
      <c r="J335" s="11" t="s">
        <v>112</v>
      </c>
      <c r="K335" s="11" t="s">
        <v>113</v>
      </c>
      <c r="L335" s="11" t="s">
        <v>82</v>
      </c>
      <c r="M335" s="11" t="s">
        <v>157</v>
      </c>
      <c r="N335" s="11" t="s">
        <v>99</v>
      </c>
      <c r="O335" s="11" t="s">
        <v>100</v>
      </c>
      <c r="P335" s="11" t="s">
        <v>101</v>
      </c>
      <c r="Q335" s="13" t="n">
        <f aca="false">F335*H335</f>
        <v>70776342</v>
      </c>
      <c r="R335" s="13" t="n">
        <f aca="false">G335*H335</f>
        <v>44100000</v>
      </c>
      <c r="S335" s="13" t="n">
        <f aca="false">Q335-R335</f>
        <v>26676342</v>
      </c>
      <c r="T335" s="14" t="n">
        <f aca="false">IFERROR(S335/Q335,0)</f>
        <v>0.37691043710623</v>
      </c>
      <c r="U335" s="15" t="str">
        <f aca="false">TEXT(A335,"yyyy-mm")</f>
        <v>2022-04</v>
      </c>
    </row>
    <row r="336" customFormat="false" ht="15" hidden="false" customHeight="false" outlineLevel="0" collapsed="false">
      <c r="A336" s="10" t="n">
        <v>44680</v>
      </c>
      <c r="B336" s="11" t="s">
        <v>468</v>
      </c>
      <c r="C336" s="11" t="s">
        <v>130</v>
      </c>
      <c r="D336" s="11" t="s">
        <v>118</v>
      </c>
      <c r="E336" s="11" t="s">
        <v>68</v>
      </c>
      <c r="F336" s="12" t="n">
        <v>2852897</v>
      </c>
      <c r="G336" s="12" t="n">
        <v>2450000</v>
      </c>
      <c r="H336" s="11" t="n">
        <v>2</v>
      </c>
      <c r="I336" s="11" t="s">
        <v>69</v>
      </c>
      <c r="J336" s="11" t="s">
        <v>80</v>
      </c>
      <c r="K336" s="11" t="s">
        <v>81</v>
      </c>
      <c r="L336" s="11" t="s">
        <v>82</v>
      </c>
      <c r="M336" s="11" t="s">
        <v>73</v>
      </c>
      <c r="N336" s="11" t="s">
        <v>149</v>
      </c>
      <c r="O336" s="11" t="s">
        <v>150</v>
      </c>
      <c r="P336" s="11" t="s">
        <v>151</v>
      </c>
      <c r="Q336" s="13" t="n">
        <f aca="false">F336*H336</f>
        <v>5705794</v>
      </c>
      <c r="R336" s="13" t="n">
        <f aca="false">G336*H336</f>
        <v>4900000</v>
      </c>
      <c r="S336" s="13" t="n">
        <f aca="false">Q336-R336</f>
        <v>805794</v>
      </c>
      <c r="T336" s="14" t="n">
        <f aca="false">IFERROR(S336/Q336,0)</f>
        <v>0.141223815651249</v>
      </c>
      <c r="U336" s="15" t="str">
        <f aca="false">TEXT(A336,"yyyy-mm")</f>
        <v>2022-04</v>
      </c>
    </row>
    <row r="337" customFormat="false" ht="15" hidden="false" customHeight="false" outlineLevel="0" collapsed="false">
      <c r="A337" s="10" t="n">
        <v>44680</v>
      </c>
      <c r="B337" s="11" t="s">
        <v>469</v>
      </c>
      <c r="C337" s="11" t="s">
        <v>132</v>
      </c>
      <c r="D337" s="11" t="s">
        <v>118</v>
      </c>
      <c r="E337" s="11" t="s">
        <v>68</v>
      </c>
      <c r="F337" s="12" t="n">
        <v>4803603</v>
      </c>
      <c r="G337" s="12" t="n">
        <v>4121000</v>
      </c>
      <c r="H337" s="11" t="n">
        <v>7</v>
      </c>
      <c r="I337" s="11" t="s">
        <v>69</v>
      </c>
      <c r="J337" s="11" t="s">
        <v>80</v>
      </c>
      <c r="K337" s="11" t="s">
        <v>81</v>
      </c>
      <c r="L337" s="11" t="s">
        <v>82</v>
      </c>
      <c r="M337" s="11" t="s">
        <v>73</v>
      </c>
      <c r="N337" s="11" t="s">
        <v>123</v>
      </c>
      <c r="O337" s="11" t="s">
        <v>60</v>
      </c>
      <c r="P337" s="11" t="s">
        <v>106</v>
      </c>
      <c r="Q337" s="13" t="n">
        <f aca="false">F337*H337</f>
        <v>33625221</v>
      </c>
      <c r="R337" s="13" t="n">
        <f aca="false">G337*H337</f>
        <v>28847000</v>
      </c>
      <c r="S337" s="13" t="n">
        <f aca="false">Q337-R337</f>
        <v>4778221</v>
      </c>
      <c r="T337" s="14" t="n">
        <f aca="false">IFERROR(S337/Q337,0)</f>
        <v>0.142102292799801</v>
      </c>
      <c r="U337" s="15" t="str">
        <f aca="false">TEXT(A337,"yyyy-mm")</f>
        <v>2022-04</v>
      </c>
    </row>
    <row r="338" customFormat="false" ht="15" hidden="false" customHeight="false" outlineLevel="0" collapsed="false">
      <c r="A338" s="10" t="n">
        <v>44680</v>
      </c>
      <c r="B338" s="11" t="s">
        <v>470</v>
      </c>
      <c r="C338" s="11" t="s">
        <v>135</v>
      </c>
      <c r="D338" s="11" t="s">
        <v>118</v>
      </c>
      <c r="E338" s="11" t="s">
        <v>68</v>
      </c>
      <c r="F338" s="12" t="n">
        <v>5689947</v>
      </c>
      <c r="G338" s="12" t="n">
        <v>5235000</v>
      </c>
      <c r="H338" s="11" t="n">
        <v>20</v>
      </c>
      <c r="I338" s="11" t="s">
        <v>69</v>
      </c>
      <c r="J338" s="11" t="s">
        <v>70</v>
      </c>
      <c r="K338" s="11" t="s">
        <v>71</v>
      </c>
      <c r="L338" s="11" t="s">
        <v>72</v>
      </c>
      <c r="M338" s="11" t="s">
        <v>73</v>
      </c>
      <c r="N338" s="11" t="s">
        <v>109</v>
      </c>
      <c r="O338" s="11" t="s">
        <v>75</v>
      </c>
      <c r="P338" s="11" t="s">
        <v>95</v>
      </c>
      <c r="Q338" s="13" t="n">
        <f aca="false">F338*H338</f>
        <v>113798940</v>
      </c>
      <c r="R338" s="13" t="n">
        <f aca="false">G338*H338</f>
        <v>104700000</v>
      </c>
      <c r="S338" s="13" t="n">
        <f aca="false">Q338-R338</f>
        <v>9098940</v>
      </c>
      <c r="T338" s="14" t="n">
        <f aca="false">IFERROR(S338/Q338,0)</f>
        <v>0.0799562807878527</v>
      </c>
      <c r="U338" s="15" t="str">
        <f aca="false">TEXT(A338,"yyyy-mm")</f>
        <v>2022-04</v>
      </c>
    </row>
    <row r="339" customFormat="false" ht="15" hidden="false" customHeight="false" outlineLevel="0" collapsed="false">
      <c r="A339" s="10" t="n">
        <v>44681</v>
      </c>
      <c r="B339" s="11" t="s">
        <v>471</v>
      </c>
      <c r="C339" s="11" t="s">
        <v>137</v>
      </c>
      <c r="D339" s="11" t="s">
        <v>138</v>
      </c>
      <c r="E339" s="11" t="s">
        <v>139</v>
      </c>
      <c r="F339" s="12" t="n">
        <v>5171827</v>
      </c>
      <c r="G339" s="12" t="n">
        <v>4890000</v>
      </c>
      <c r="H339" s="11" t="n">
        <v>3</v>
      </c>
      <c r="I339" s="11" t="s">
        <v>69</v>
      </c>
      <c r="J339" s="11" t="s">
        <v>80</v>
      </c>
      <c r="K339" s="11" t="s">
        <v>81</v>
      </c>
      <c r="L339" s="11" t="s">
        <v>82</v>
      </c>
      <c r="M339" s="11" t="s">
        <v>73</v>
      </c>
      <c r="N339" s="11" t="s">
        <v>173</v>
      </c>
      <c r="O339" s="11" t="s">
        <v>174</v>
      </c>
      <c r="P339" s="11" t="s">
        <v>95</v>
      </c>
      <c r="Q339" s="13" t="n">
        <f aca="false">F339*H339</f>
        <v>15515481</v>
      </c>
      <c r="R339" s="13" t="n">
        <f aca="false">G339*H339</f>
        <v>14670000</v>
      </c>
      <c r="S339" s="13" t="n">
        <f aca="false">Q339-R339</f>
        <v>845481</v>
      </c>
      <c r="T339" s="14" t="n">
        <f aca="false">IFERROR(S339/Q339,0)</f>
        <v>0.0544927353525166</v>
      </c>
      <c r="U339" s="15" t="str">
        <f aca="false">TEXT(A339,"yyyy-mm")</f>
        <v>2022-04</v>
      </c>
    </row>
    <row r="340" customFormat="false" ht="15" hidden="false" customHeight="false" outlineLevel="0" collapsed="false">
      <c r="A340" s="10" t="n">
        <v>44682</v>
      </c>
      <c r="B340" s="11" t="s">
        <v>472</v>
      </c>
      <c r="C340" s="11" t="s">
        <v>141</v>
      </c>
      <c r="D340" s="11" t="s">
        <v>138</v>
      </c>
      <c r="E340" s="11" t="s">
        <v>142</v>
      </c>
      <c r="F340" s="12" t="n">
        <v>2805124</v>
      </c>
      <c r="G340" s="12" t="n">
        <v>2178000</v>
      </c>
      <c r="H340" s="11" t="n">
        <v>15</v>
      </c>
      <c r="I340" s="11" t="s">
        <v>69</v>
      </c>
      <c r="J340" s="11" t="s">
        <v>80</v>
      </c>
      <c r="K340" s="11" t="s">
        <v>81</v>
      </c>
      <c r="L340" s="11" t="s">
        <v>82</v>
      </c>
      <c r="M340" s="11" t="s">
        <v>73</v>
      </c>
      <c r="N340" s="11" t="s">
        <v>93</v>
      </c>
      <c r="O340" s="11" t="s">
        <v>94</v>
      </c>
      <c r="P340" s="11" t="s">
        <v>95</v>
      </c>
      <c r="Q340" s="13" t="n">
        <f aca="false">F340*H340</f>
        <v>42076860</v>
      </c>
      <c r="R340" s="13" t="n">
        <f aca="false">G340*H340</f>
        <v>32670000</v>
      </c>
      <c r="S340" s="13" t="n">
        <f aca="false">Q340-R340</f>
        <v>9406860</v>
      </c>
      <c r="T340" s="14" t="n">
        <f aca="false">IFERROR(S340/Q340,0)</f>
        <v>0.22356373550688</v>
      </c>
      <c r="U340" s="15" t="str">
        <f aca="false">TEXT(A340,"yyyy-mm")</f>
        <v>2022-05</v>
      </c>
    </row>
    <row r="341" customFormat="false" ht="15" hidden="false" customHeight="false" outlineLevel="0" collapsed="false">
      <c r="A341" s="10" t="n">
        <v>44682</v>
      </c>
      <c r="B341" s="11" t="s">
        <v>473</v>
      </c>
      <c r="C341" s="11" t="s">
        <v>146</v>
      </c>
      <c r="D341" s="11" t="s">
        <v>138</v>
      </c>
      <c r="E341" s="11" t="s">
        <v>139</v>
      </c>
      <c r="F341" s="12" t="n">
        <v>2728100</v>
      </c>
      <c r="G341" s="12" t="n">
        <v>2321000</v>
      </c>
      <c r="H341" s="11" t="n">
        <v>11</v>
      </c>
      <c r="I341" s="11" t="s">
        <v>69</v>
      </c>
      <c r="J341" s="11" t="s">
        <v>80</v>
      </c>
      <c r="K341" s="11" t="s">
        <v>81</v>
      </c>
      <c r="L341" s="11" t="s">
        <v>82</v>
      </c>
      <c r="M341" s="11" t="s">
        <v>73</v>
      </c>
      <c r="N341" s="11" t="s">
        <v>133</v>
      </c>
      <c r="O341" s="11" t="s">
        <v>60</v>
      </c>
      <c r="P341" s="11" t="s">
        <v>76</v>
      </c>
      <c r="Q341" s="13" t="n">
        <f aca="false">F341*H341</f>
        <v>30009100</v>
      </c>
      <c r="R341" s="13" t="n">
        <f aca="false">G341*H341</f>
        <v>25531000</v>
      </c>
      <c r="S341" s="13" t="n">
        <f aca="false">Q341-R341</f>
        <v>4478100</v>
      </c>
      <c r="T341" s="14" t="n">
        <f aca="false">IFERROR(S341/Q341,0)</f>
        <v>0.149224735163667</v>
      </c>
      <c r="U341" s="15" t="str">
        <f aca="false">TEXT(A341,"yyyy-mm")</f>
        <v>2022-05</v>
      </c>
    </row>
    <row r="342" customFormat="false" ht="15" hidden="false" customHeight="false" outlineLevel="0" collapsed="false">
      <c r="A342" s="10" t="n">
        <v>44682</v>
      </c>
      <c r="B342" s="11" t="s">
        <v>474</v>
      </c>
      <c r="C342" s="11" t="s">
        <v>148</v>
      </c>
      <c r="D342" s="11" t="s">
        <v>138</v>
      </c>
      <c r="E342" s="11" t="s">
        <v>122</v>
      </c>
      <c r="F342" s="12" t="n">
        <v>4941716</v>
      </c>
      <c r="G342" s="12" t="n">
        <v>4456000</v>
      </c>
      <c r="H342" s="11" t="n">
        <v>30</v>
      </c>
      <c r="I342" s="11" t="s">
        <v>69</v>
      </c>
      <c r="J342" s="11" t="s">
        <v>80</v>
      </c>
      <c r="K342" s="11" t="s">
        <v>81</v>
      </c>
      <c r="L342" s="11" t="s">
        <v>82</v>
      </c>
      <c r="M342" s="11" t="s">
        <v>73</v>
      </c>
      <c r="N342" s="11" t="s">
        <v>74</v>
      </c>
      <c r="O342" s="11" t="s">
        <v>75</v>
      </c>
      <c r="P342" s="11" t="s">
        <v>76</v>
      </c>
      <c r="Q342" s="13" t="n">
        <f aca="false">F342*H342</f>
        <v>148251480</v>
      </c>
      <c r="R342" s="13" t="n">
        <f aca="false">G342*H342</f>
        <v>133680000</v>
      </c>
      <c r="S342" s="13" t="n">
        <f aca="false">Q342-R342</f>
        <v>14571480</v>
      </c>
      <c r="T342" s="14" t="n">
        <f aca="false">IFERROR(S342/Q342,0)</f>
        <v>0.0982889344511097</v>
      </c>
      <c r="U342" s="15" t="str">
        <f aca="false">TEXT(A342,"yyyy-mm")</f>
        <v>2022-05</v>
      </c>
    </row>
    <row r="343" customFormat="false" ht="15" hidden="false" customHeight="false" outlineLevel="0" collapsed="false">
      <c r="A343" s="10" t="n">
        <v>44682</v>
      </c>
      <c r="B343" s="11" t="s">
        <v>475</v>
      </c>
      <c r="C343" s="11" t="s">
        <v>66</v>
      </c>
      <c r="D343" s="11" t="s">
        <v>67</v>
      </c>
      <c r="E343" s="11" t="s">
        <v>68</v>
      </c>
      <c r="F343" s="12" t="n">
        <v>3048952</v>
      </c>
      <c r="G343" s="12" t="n">
        <v>2560000</v>
      </c>
      <c r="H343" s="11" t="n">
        <v>14</v>
      </c>
      <c r="I343" s="11" t="s">
        <v>69</v>
      </c>
      <c r="J343" s="11" t="s">
        <v>80</v>
      </c>
      <c r="K343" s="11" t="s">
        <v>81</v>
      </c>
      <c r="L343" s="11" t="s">
        <v>82</v>
      </c>
      <c r="M343" s="11" t="s">
        <v>73</v>
      </c>
      <c r="N343" s="11" t="s">
        <v>149</v>
      </c>
      <c r="O343" s="11" t="s">
        <v>150</v>
      </c>
      <c r="P343" s="11" t="s">
        <v>151</v>
      </c>
      <c r="Q343" s="13" t="n">
        <f aca="false">F343*H343</f>
        <v>42685328</v>
      </c>
      <c r="R343" s="13" t="n">
        <f aca="false">G343*H343</f>
        <v>35840000</v>
      </c>
      <c r="S343" s="13" t="n">
        <f aca="false">Q343-R343</f>
        <v>6845328</v>
      </c>
      <c r="T343" s="14" t="n">
        <f aca="false">IFERROR(S343/Q343,0)</f>
        <v>0.160367234380863</v>
      </c>
      <c r="U343" s="15" t="str">
        <f aca="false">TEXT(A343,"yyyy-mm")</f>
        <v>2022-05</v>
      </c>
    </row>
    <row r="344" customFormat="false" ht="15" hidden="false" customHeight="false" outlineLevel="0" collapsed="false">
      <c r="A344" s="10" t="n">
        <v>44682</v>
      </c>
      <c r="B344" s="11" t="s">
        <v>476</v>
      </c>
      <c r="C344" s="11" t="s">
        <v>78</v>
      </c>
      <c r="D344" s="11" t="s">
        <v>67</v>
      </c>
      <c r="E344" s="11" t="s">
        <v>79</v>
      </c>
      <c r="F344" s="12" t="n">
        <v>1870000</v>
      </c>
      <c r="G344" s="12" t="n">
        <v>1650000</v>
      </c>
      <c r="H344" s="11" t="n">
        <v>13</v>
      </c>
      <c r="I344" s="11" t="s">
        <v>69</v>
      </c>
      <c r="J344" s="11" t="s">
        <v>112</v>
      </c>
      <c r="K344" s="11" t="s">
        <v>113</v>
      </c>
      <c r="L344" s="11" t="s">
        <v>82</v>
      </c>
      <c r="M344" s="11" t="s">
        <v>157</v>
      </c>
      <c r="N344" s="11" t="s">
        <v>143</v>
      </c>
      <c r="O344" s="11" t="s">
        <v>144</v>
      </c>
      <c r="P344" s="11" t="s">
        <v>101</v>
      </c>
      <c r="Q344" s="13" t="n">
        <f aca="false">F344*H344</f>
        <v>24310000</v>
      </c>
      <c r="R344" s="13" t="n">
        <f aca="false">G344*H344</f>
        <v>21450000</v>
      </c>
      <c r="S344" s="13" t="n">
        <f aca="false">Q344-R344</f>
        <v>2860000</v>
      </c>
      <c r="T344" s="14" t="n">
        <f aca="false">IFERROR(S344/Q344,0)</f>
        <v>0.117647058823529</v>
      </c>
      <c r="U344" s="15" t="str">
        <f aca="false">TEXT(A344,"yyyy-mm")</f>
        <v>2022-05</v>
      </c>
    </row>
    <row r="345" customFormat="false" ht="15" hidden="false" customHeight="false" outlineLevel="0" collapsed="false">
      <c r="A345" s="10" t="n">
        <v>44682</v>
      </c>
      <c r="B345" s="11" t="s">
        <v>477</v>
      </c>
      <c r="C345" s="11" t="s">
        <v>84</v>
      </c>
      <c r="D345" s="11" t="s">
        <v>67</v>
      </c>
      <c r="E345" s="11" t="s">
        <v>85</v>
      </c>
      <c r="F345" s="12" t="n">
        <v>2600000</v>
      </c>
      <c r="G345" s="12" t="n">
        <v>2300000</v>
      </c>
      <c r="H345" s="11" t="n">
        <v>3</v>
      </c>
      <c r="I345" s="11" t="s">
        <v>69</v>
      </c>
      <c r="J345" s="11" t="s">
        <v>70</v>
      </c>
      <c r="K345" s="11" t="s">
        <v>71</v>
      </c>
      <c r="L345" s="11" t="s">
        <v>72</v>
      </c>
      <c r="M345" s="11" t="s">
        <v>73</v>
      </c>
      <c r="N345" s="11" t="s">
        <v>133</v>
      </c>
      <c r="O345" s="11" t="s">
        <v>60</v>
      </c>
      <c r="P345" s="11" t="s">
        <v>76</v>
      </c>
      <c r="Q345" s="13" t="n">
        <f aca="false">F345*H345</f>
        <v>7800000</v>
      </c>
      <c r="R345" s="13" t="n">
        <f aca="false">G345*H345</f>
        <v>6900000</v>
      </c>
      <c r="S345" s="13" t="n">
        <f aca="false">Q345-R345</f>
        <v>900000</v>
      </c>
      <c r="T345" s="14" t="n">
        <f aca="false">IFERROR(S345/Q345,0)</f>
        <v>0.115384615384615</v>
      </c>
      <c r="U345" s="15" t="str">
        <f aca="false">TEXT(A345,"yyyy-mm")</f>
        <v>2022-05</v>
      </c>
    </row>
    <row r="346" customFormat="false" ht="15" hidden="false" customHeight="false" outlineLevel="0" collapsed="false">
      <c r="A346" s="10" t="n">
        <v>44684</v>
      </c>
      <c r="B346" s="11" t="s">
        <v>478</v>
      </c>
      <c r="C346" s="11" t="s">
        <v>92</v>
      </c>
      <c r="D346" s="11" t="s">
        <v>67</v>
      </c>
      <c r="E346" s="11" t="s">
        <v>79</v>
      </c>
      <c r="F346" s="12" t="n">
        <v>3577480</v>
      </c>
      <c r="G346" s="12" t="n">
        <v>3100000</v>
      </c>
      <c r="H346" s="11" t="n">
        <v>28</v>
      </c>
      <c r="I346" s="11" t="s">
        <v>69</v>
      </c>
      <c r="J346" s="11" t="s">
        <v>70</v>
      </c>
      <c r="K346" s="11" t="s">
        <v>71</v>
      </c>
      <c r="L346" s="11" t="s">
        <v>72</v>
      </c>
      <c r="M346" s="11" t="s">
        <v>73</v>
      </c>
      <c r="N346" s="11" t="s">
        <v>133</v>
      </c>
      <c r="O346" s="11" t="s">
        <v>60</v>
      </c>
      <c r="P346" s="11" t="s">
        <v>76</v>
      </c>
      <c r="Q346" s="13" t="n">
        <f aca="false">F346*H346</f>
        <v>100169440</v>
      </c>
      <c r="R346" s="13" t="n">
        <f aca="false">G346*H346</f>
        <v>86800000</v>
      </c>
      <c r="S346" s="13" t="n">
        <f aca="false">Q346-R346</f>
        <v>13369440</v>
      </c>
      <c r="T346" s="14" t="n">
        <f aca="false">IFERROR(S346/Q346,0)</f>
        <v>0.133468251394837</v>
      </c>
      <c r="U346" s="15" t="str">
        <f aca="false">TEXT(A346,"yyyy-mm")</f>
        <v>2022-05</v>
      </c>
    </row>
    <row r="347" customFormat="false" ht="15" hidden="false" customHeight="false" outlineLevel="0" collapsed="false">
      <c r="A347" s="10" t="n">
        <v>44684</v>
      </c>
      <c r="B347" s="11" t="s">
        <v>479</v>
      </c>
      <c r="C347" s="11" t="s">
        <v>97</v>
      </c>
      <c r="D347" s="11" t="s">
        <v>67</v>
      </c>
      <c r="E347" s="11" t="s">
        <v>98</v>
      </c>
      <c r="F347" s="12" t="n">
        <v>4969724</v>
      </c>
      <c r="G347" s="12" t="n">
        <v>4121560</v>
      </c>
      <c r="H347" s="11" t="n">
        <v>2</v>
      </c>
      <c r="I347" s="11" t="s">
        <v>69</v>
      </c>
      <c r="J347" s="11" t="s">
        <v>112</v>
      </c>
      <c r="K347" s="11" t="s">
        <v>113</v>
      </c>
      <c r="L347" s="11" t="s">
        <v>82</v>
      </c>
      <c r="M347" s="11" t="s">
        <v>157</v>
      </c>
      <c r="N347" s="11" t="s">
        <v>104</v>
      </c>
      <c r="O347" s="11" t="s">
        <v>105</v>
      </c>
      <c r="P347" s="11" t="s">
        <v>106</v>
      </c>
      <c r="Q347" s="13" t="n">
        <f aca="false">F347*H347</f>
        <v>9939448</v>
      </c>
      <c r="R347" s="13" t="n">
        <f aca="false">G347*H347</f>
        <v>8243120</v>
      </c>
      <c r="S347" s="13" t="n">
        <f aca="false">Q347-R347</f>
        <v>1696328</v>
      </c>
      <c r="T347" s="14" t="n">
        <f aca="false">IFERROR(S347/Q347,0)</f>
        <v>0.170666218083741</v>
      </c>
      <c r="U347" s="15" t="str">
        <f aca="false">TEXT(A347,"yyyy-mm")</f>
        <v>2022-05</v>
      </c>
    </row>
    <row r="348" customFormat="false" ht="15" hidden="false" customHeight="false" outlineLevel="0" collapsed="false">
      <c r="A348" s="10" t="n">
        <v>44684</v>
      </c>
      <c r="B348" s="11" t="s">
        <v>480</v>
      </c>
      <c r="C348" s="11" t="s">
        <v>103</v>
      </c>
      <c r="D348" s="11" t="s">
        <v>67</v>
      </c>
      <c r="E348" s="11" t="s">
        <v>68</v>
      </c>
      <c r="F348" s="12" t="n">
        <v>3319925</v>
      </c>
      <c r="G348" s="12" t="n">
        <v>2800000</v>
      </c>
      <c r="H348" s="11" t="n">
        <v>11</v>
      </c>
      <c r="I348" s="11" t="s">
        <v>69</v>
      </c>
      <c r="J348" s="11" t="s">
        <v>80</v>
      </c>
      <c r="K348" s="11" t="s">
        <v>81</v>
      </c>
      <c r="L348" s="11" t="s">
        <v>82</v>
      </c>
      <c r="M348" s="11" t="s">
        <v>73</v>
      </c>
      <c r="N348" s="11" t="s">
        <v>93</v>
      </c>
      <c r="O348" s="11" t="s">
        <v>94</v>
      </c>
      <c r="P348" s="11" t="s">
        <v>95</v>
      </c>
      <c r="Q348" s="13" t="n">
        <f aca="false">F348*H348</f>
        <v>36519175</v>
      </c>
      <c r="R348" s="13" t="n">
        <f aca="false">G348*H348</f>
        <v>30800000</v>
      </c>
      <c r="S348" s="13" t="n">
        <f aca="false">Q348-R348</f>
        <v>5719175</v>
      </c>
      <c r="T348" s="14" t="n">
        <f aca="false">IFERROR(S348/Q348,0)</f>
        <v>0.15660745348163</v>
      </c>
      <c r="U348" s="15" t="str">
        <f aca="false">TEXT(A348,"yyyy-mm")</f>
        <v>2022-05</v>
      </c>
    </row>
    <row r="349" customFormat="false" ht="15" hidden="false" customHeight="false" outlineLevel="0" collapsed="false">
      <c r="A349" s="10" t="n">
        <v>44684</v>
      </c>
      <c r="B349" s="11" t="s">
        <v>481</v>
      </c>
      <c r="C349" s="11" t="s">
        <v>108</v>
      </c>
      <c r="D349" s="11" t="s">
        <v>67</v>
      </c>
      <c r="E349" s="11" t="s">
        <v>68</v>
      </c>
      <c r="F349" s="12" t="n">
        <v>4757880</v>
      </c>
      <c r="G349" s="12" t="n">
        <v>3450000</v>
      </c>
      <c r="H349" s="11" t="n">
        <v>8</v>
      </c>
      <c r="I349" s="11" t="s">
        <v>69</v>
      </c>
      <c r="J349" s="11" t="s">
        <v>112</v>
      </c>
      <c r="K349" s="11" t="s">
        <v>113</v>
      </c>
      <c r="L349" s="11" t="s">
        <v>82</v>
      </c>
      <c r="M349" s="11" t="s">
        <v>157</v>
      </c>
      <c r="N349" s="11" t="s">
        <v>93</v>
      </c>
      <c r="O349" s="11" t="s">
        <v>94</v>
      </c>
      <c r="P349" s="11" t="s">
        <v>95</v>
      </c>
      <c r="Q349" s="13" t="n">
        <f aca="false">F349*H349</f>
        <v>38063040</v>
      </c>
      <c r="R349" s="13" t="n">
        <f aca="false">G349*H349</f>
        <v>27600000</v>
      </c>
      <c r="S349" s="13" t="n">
        <f aca="false">Q349-R349</f>
        <v>10463040</v>
      </c>
      <c r="T349" s="14" t="n">
        <f aca="false">IFERROR(S349/Q349,0)</f>
        <v>0.274887134606169</v>
      </c>
      <c r="U349" s="15" t="str">
        <f aca="false">TEXT(A349,"yyyy-mm")</f>
        <v>2022-05</v>
      </c>
    </row>
    <row r="350" customFormat="false" ht="15" hidden="false" customHeight="false" outlineLevel="0" collapsed="false">
      <c r="A350" s="10" t="n">
        <v>44684</v>
      </c>
      <c r="B350" s="11" t="s">
        <v>482</v>
      </c>
      <c r="C350" s="11" t="s">
        <v>111</v>
      </c>
      <c r="D350" s="11" t="s">
        <v>67</v>
      </c>
      <c r="E350" s="11" t="s">
        <v>79</v>
      </c>
      <c r="F350" s="12" t="n">
        <v>3545808</v>
      </c>
      <c r="G350" s="12" t="n">
        <v>3350000</v>
      </c>
      <c r="H350" s="11" t="n">
        <v>16</v>
      </c>
      <c r="I350" s="11" t="s">
        <v>69</v>
      </c>
      <c r="J350" s="11" t="s">
        <v>112</v>
      </c>
      <c r="K350" s="11" t="s">
        <v>113</v>
      </c>
      <c r="L350" s="11" t="s">
        <v>82</v>
      </c>
      <c r="M350" s="11" t="s">
        <v>157</v>
      </c>
      <c r="N350" s="11" t="s">
        <v>74</v>
      </c>
      <c r="O350" s="11" t="s">
        <v>75</v>
      </c>
      <c r="P350" s="11" t="s">
        <v>76</v>
      </c>
      <c r="Q350" s="13" t="n">
        <f aca="false">F350*H350</f>
        <v>56732928</v>
      </c>
      <c r="R350" s="13" t="n">
        <f aca="false">G350*H350</f>
        <v>53600000</v>
      </c>
      <c r="S350" s="13" t="n">
        <f aca="false">Q350-R350</f>
        <v>3132928</v>
      </c>
      <c r="T350" s="14" t="n">
        <f aca="false">IFERROR(S350/Q350,0)</f>
        <v>0.0552223921881839</v>
      </c>
      <c r="U350" s="15" t="str">
        <f aca="false">TEXT(A350,"yyyy-mm")</f>
        <v>2022-05</v>
      </c>
    </row>
    <row r="351" customFormat="false" ht="15" hidden="false" customHeight="false" outlineLevel="0" collapsed="false">
      <c r="A351" s="10" t="n">
        <v>44685</v>
      </c>
      <c r="B351" s="11" t="s">
        <v>483</v>
      </c>
      <c r="C351" s="11" t="s">
        <v>115</v>
      </c>
      <c r="D351" s="11" t="s">
        <v>67</v>
      </c>
      <c r="E351" s="11" t="s">
        <v>98</v>
      </c>
      <c r="F351" s="12" t="n">
        <v>4200743</v>
      </c>
      <c r="G351" s="12" t="n">
        <v>4101000</v>
      </c>
      <c r="H351" s="11" t="n">
        <v>10</v>
      </c>
      <c r="I351" s="11" t="s">
        <v>86</v>
      </c>
      <c r="J351" s="11" t="s">
        <v>87</v>
      </c>
      <c r="K351" s="11" t="s">
        <v>88</v>
      </c>
      <c r="L351" s="11" t="s">
        <v>89</v>
      </c>
      <c r="M351" s="11" t="s">
        <v>90</v>
      </c>
      <c r="N351" s="11" t="s">
        <v>173</v>
      </c>
      <c r="O351" s="11" t="s">
        <v>174</v>
      </c>
      <c r="P351" s="11" t="s">
        <v>95</v>
      </c>
      <c r="Q351" s="13" t="n">
        <f aca="false">F351*H351</f>
        <v>42007430</v>
      </c>
      <c r="R351" s="13" t="n">
        <f aca="false">G351*H351</f>
        <v>41010000</v>
      </c>
      <c r="S351" s="13" t="n">
        <f aca="false">Q351-R351</f>
        <v>997430</v>
      </c>
      <c r="T351" s="14" t="n">
        <f aca="false">IFERROR(S351/Q351,0)</f>
        <v>0.023744132883159</v>
      </c>
      <c r="U351" s="15" t="str">
        <f aca="false">TEXT(A351,"yyyy-mm")</f>
        <v>2022-05</v>
      </c>
    </row>
    <row r="352" customFormat="false" ht="15" hidden="false" customHeight="false" outlineLevel="0" collapsed="false">
      <c r="A352" s="10" t="n">
        <v>44685</v>
      </c>
      <c r="B352" s="11" t="s">
        <v>484</v>
      </c>
      <c r="C352" s="11" t="s">
        <v>117</v>
      </c>
      <c r="D352" s="11" t="s">
        <v>118</v>
      </c>
      <c r="E352" s="11" t="s">
        <v>119</v>
      </c>
      <c r="F352" s="12" t="n">
        <v>8220549</v>
      </c>
      <c r="G352" s="12" t="n">
        <v>6500000</v>
      </c>
      <c r="H352" s="11" t="n">
        <v>15</v>
      </c>
      <c r="I352" s="11" t="s">
        <v>69</v>
      </c>
      <c r="J352" s="11" t="s">
        <v>80</v>
      </c>
      <c r="K352" s="11" t="s">
        <v>81</v>
      </c>
      <c r="L352" s="11" t="s">
        <v>82</v>
      </c>
      <c r="M352" s="11" t="s">
        <v>73</v>
      </c>
      <c r="N352" s="11" t="s">
        <v>104</v>
      </c>
      <c r="O352" s="11" t="s">
        <v>105</v>
      </c>
      <c r="P352" s="11" t="s">
        <v>106</v>
      </c>
      <c r="Q352" s="13" t="n">
        <f aca="false">F352*H352</f>
        <v>123308235</v>
      </c>
      <c r="R352" s="13" t="n">
        <f aca="false">G352*H352</f>
        <v>97500000</v>
      </c>
      <c r="S352" s="13" t="n">
        <f aca="false">Q352-R352</f>
        <v>25808235</v>
      </c>
      <c r="T352" s="14" t="n">
        <f aca="false">IFERROR(S352/Q352,0)</f>
        <v>0.209298551714733</v>
      </c>
      <c r="U352" s="15" t="str">
        <f aca="false">TEXT(A352,"yyyy-mm")</f>
        <v>2022-05</v>
      </c>
    </row>
    <row r="353" customFormat="false" ht="15" hidden="false" customHeight="false" outlineLevel="0" collapsed="false">
      <c r="A353" s="10" t="n">
        <v>44685</v>
      </c>
      <c r="B353" s="11" t="s">
        <v>485</v>
      </c>
      <c r="C353" s="11" t="s">
        <v>121</v>
      </c>
      <c r="D353" s="11" t="s">
        <v>118</v>
      </c>
      <c r="E353" s="11" t="s">
        <v>122</v>
      </c>
      <c r="F353" s="12" t="n">
        <v>7687274</v>
      </c>
      <c r="G353" s="12" t="n">
        <v>6500000</v>
      </c>
      <c r="H353" s="11" t="n">
        <v>16</v>
      </c>
      <c r="I353" s="11" t="s">
        <v>69</v>
      </c>
      <c r="J353" s="11" t="s">
        <v>112</v>
      </c>
      <c r="K353" s="11" t="s">
        <v>113</v>
      </c>
      <c r="L353" s="11" t="s">
        <v>82</v>
      </c>
      <c r="M353" s="11" t="s">
        <v>157</v>
      </c>
      <c r="N353" s="11" t="s">
        <v>143</v>
      </c>
      <c r="O353" s="11" t="s">
        <v>144</v>
      </c>
      <c r="P353" s="11" t="s">
        <v>101</v>
      </c>
      <c r="Q353" s="13" t="n">
        <f aca="false">F353*H353</f>
        <v>122996384</v>
      </c>
      <c r="R353" s="13" t="n">
        <f aca="false">G353*H353</f>
        <v>104000000</v>
      </c>
      <c r="S353" s="13" t="n">
        <f aca="false">Q353-R353</f>
        <v>18996384</v>
      </c>
      <c r="T353" s="14" t="n">
        <f aca="false">IFERROR(S353/Q353,0)</f>
        <v>0.154446686822923</v>
      </c>
      <c r="U353" s="15" t="str">
        <f aca="false">TEXT(A353,"yyyy-mm")</f>
        <v>2022-05</v>
      </c>
    </row>
    <row r="354" customFormat="false" ht="15" hidden="false" customHeight="false" outlineLevel="0" collapsed="false">
      <c r="A354" s="10" t="n">
        <v>44685</v>
      </c>
      <c r="B354" s="11" t="s">
        <v>486</v>
      </c>
      <c r="C354" s="11" t="s">
        <v>125</v>
      </c>
      <c r="D354" s="11" t="s">
        <v>118</v>
      </c>
      <c r="E354" s="11" t="s">
        <v>126</v>
      </c>
      <c r="F354" s="12" t="n">
        <v>5684211</v>
      </c>
      <c r="G354" s="12" t="n">
        <v>4300000</v>
      </c>
      <c r="H354" s="11" t="n">
        <v>14</v>
      </c>
      <c r="I354" s="11" t="s">
        <v>69</v>
      </c>
      <c r="J354" s="11" t="s">
        <v>80</v>
      </c>
      <c r="K354" s="11" t="s">
        <v>81</v>
      </c>
      <c r="L354" s="11" t="s">
        <v>82</v>
      </c>
      <c r="M354" s="11" t="s">
        <v>73</v>
      </c>
      <c r="N354" s="11" t="s">
        <v>149</v>
      </c>
      <c r="O354" s="11" t="s">
        <v>150</v>
      </c>
      <c r="P354" s="11" t="s">
        <v>151</v>
      </c>
      <c r="Q354" s="13" t="n">
        <f aca="false">F354*H354</f>
        <v>79578954</v>
      </c>
      <c r="R354" s="13" t="n">
        <f aca="false">G354*H354</f>
        <v>60200000</v>
      </c>
      <c r="S354" s="13" t="n">
        <f aca="false">Q354-R354</f>
        <v>19378954</v>
      </c>
      <c r="T354" s="14" t="n">
        <f aca="false">IFERROR(S354/Q354,0)</f>
        <v>0.243518581558637</v>
      </c>
      <c r="U354" s="15" t="str">
        <f aca="false">TEXT(A354,"yyyy-mm")</f>
        <v>2022-05</v>
      </c>
    </row>
    <row r="355" customFormat="false" ht="15" hidden="false" customHeight="false" outlineLevel="0" collapsed="false">
      <c r="A355" s="10" t="n">
        <v>44685</v>
      </c>
      <c r="B355" s="11" t="s">
        <v>487</v>
      </c>
      <c r="C355" s="11" t="s">
        <v>128</v>
      </c>
      <c r="D355" s="11" t="s">
        <v>118</v>
      </c>
      <c r="E355" s="11" t="s">
        <v>119</v>
      </c>
      <c r="F355" s="12" t="n">
        <v>3370302</v>
      </c>
      <c r="G355" s="12" t="n">
        <v>2100000</v>
      </c>
      <c r="H355" s="11" t="n">
        <v>32</v>
      </c>
      <c r="I355" s="11" t="s">
        <v>69</v>
      </c>
      <c r="J355" s="11" t="s">
        <v>80</v>
      </c>
      <c r="K355" s="11" t="s">
        <v>81</v>
      </c>
      <c r="L355" s="11" t="s">
        <v>82</v>
      </c>
      <c r="M355" s="11" t="s">
        <v>73</v>
      </c>
      <c r="N355" s="11" t="s">
        <v>99</v>
      </c>
      <c r="O355" s="11" t="s">
        <v>100</v>
      </c>
      <c r="P355" s="11" t="s">
        <v>101</v>
      </c>
      <c r="Q355" s="13" t="n">
        <f aca="false">F355*H355</f>
        <v>107849664</v>
      </c>
      <c r="R355" s="13" t="n">
        <f aca="false">G355*H355</f>
        <v>67200000</v>
      </c>
      <c r="S355" s="13" t="n">
        <f aca="false">Q355-R355</f>
        <v>40649664</v>
      </c>
      <c r="T355" s="14" t="n">
        <f aca="false">IFERROR(S355/Q355,0)</f>
        <v>0.37691043710623</v>
      </c>
      <c r="U355" s="15" t="str">
        <f aca="false">TEXT(A355,"yyyy-mm")</f>
        <v>2022-05</v>
      </c>
    </row>
    <row r="356" customFormat="false" ht="15" hidden="false" customHeight="false" outlineLevel="0" collapsed="false">
      <c r="A356" s="10" t="n">
        <v>44685</v>
      </c>
      <c r="B356" s="11" t="s">
        <v>488</v>
      </c>
      <c r="C356" s="11" t="s">
        <v>130</v>
      </c>
      <c r="D356" s="11" t="s">
        <v>118</v>
      </c>
      <c r="E356" s="11" t="s">
        <v>68</v>
      </c>
      <c r="F356" s="12" t="n">
        <v>2852897</v>
      </c>
      <c r="G356" s="12" t="n">
        <v>2450000</v>
      </c>
      <c r="H356" s="11" t="n">
        <v>5</v>
      </c>
      <c r="I356" s="11" t="s">
        <v>69</v>
      </c>
      <c r="J356" s="11" t="s">
        <v>70</v>
      </c>
      <c r="K356" s="11" t="s">
        <v>71</v>
      </c>
      <c r="L356" s="11" t="s">
        <v>72</v>
      </c>
      <c r="M356" s="11" t="s">
        <v>73</v>
      </c>
      <c r="N356" s="11" t="s">
        <v>173</v>
      </c>
      <c r="O356" s="11" t="s">
        <v>174</v>
      </c>
      <c r="P356" s="11" t="s">
        <v>95</v>
      </c>
      <c r="Q356" s="13" t="n">
        <f aca="false">F356*H356</f>
        <v>14264485</v>
      </c>
      <c r="R356" s="13" t="n">
        <f aca="false">G356*H356</f>
        <v>12250000</v>
      </c>
      <c r="S356" s="13" t="n">
        <f aca="false">Q356-R356</f>
        <v>2014485</v>
      </c>
      <c r="T356" s="14" t="n">
        <f aca="false">IFERROR(S356/Q356,0)</f>
        <v>0.141223815651249</v>
      </c>
      <c r="U356" s="15" t="str">
        <f aca="false">TEXT(A356,"yyyy-mm")</f>
        <v>2022-05</v>
      </c>
    </row>
    <row r="357" customFormat="false" ht="15" hidden="false" customHeight="false" outlineLevel="0" collapsed="false">
      <c r="A357" s="10" t="n">
        <v>44686</v>
      </c>
      <c r="B357" s="11" t="s">
        <v>489</v>
      </c>
      <c r="C357" s="11" t="s">
        <v>132</v>
      </c>
      <c r="D357" s="11" t="s">
        <v>118</v>
      </c>
      <c r="E357" s="11" t="s">
        <v>68</v>
      </c>
      <c r="F357" s="12" t="n">
        <v>4803603</v>
      </c>
      <c r="G357" s="12" t="n">
        <v>4121000</v>
      </c>
      <c r="H357" s="11" t="n">
        <v>16</v>
      </c>
      <c r="I357" s="11" t="s">
        <v>69</v>
      </c>
      <c r="J357" s="11" t="s">
        <v>80</v>
      </c>
      <c r="K357" s="11" t="s">
        <v>81</v>
      </c>
      <c r="L357" s="11" t="s">
        <v>82</v>
      </c>
      <c r="M357" s="11" t="s">
        <v>73</v>
      </c>
      <c r="N357" s="11" t="s">
        <v>149</v>
      </c>
      <c r="O357" s="11" t="s">
        <v>150</v>
      </c>
      <c r="P357" s="11" t="s">
        <v>151</v>
      </c>
      <c r="Q357" s="13" t="n">
        <f aca="false">F357*H357</f>
        <v>76857648</v>
      </c>
      <c r="R357" s="13" t="n">
        <f aca="false">G357*H357</f>
        <v>65936000</v>
      </c>
      <c r="S357" s="13" t="n">
        <f aca="false">Q357-R357</f>
        <v>10921648</v>
      </c>
      <c r="T357" s="14" t="n">
        <f aca="false">IFERROR(S357/Q357,0)</f>
        <v>0.142102292799801</v>
      </c>
      <c r="U357" s="15" t="str">
        <f aca="false">TEXT(A357,"yyyy-mm")</f>
        <v>2022-05</v>
      </c>
    </row>
    <row r="358" customFormat="false" ht="15" hidden="false" customHeight="false" outlineLevel="0" collapsed="false">
      <c r="A358" s="10" t="n">
        <v>44686</v>
      </c>
      <c r="B358" s="11" t="s">
        <v>490</v>
      </c>
      <c r="C358" s="11" t="s">
        <v>135</v>
      </c>
      <c r="D358" s="11" t="s">
        <v>118</v>
      </c>
      <c r="E358" s="11" t="s">
        <v>68</v>
      </c>
      <c r="F358" s="12" t="n">
        <v>5689947</v>
      </c>
      <c r="G358" s="12" t="n">
        <v>5235000</v>
      </c>
      <c r="H358" s="11" t="n">
        <v>5</v>
      </c>
      <c r="I358" s="11" t="s">
        <v>69</v>
      </c>
      <c r="J358" s="11" t="s">
        <v>80</v>
      </c>
      <c r="K358" s="11" t="s">
        <v>81</v>
      </c>
      <c r="L358" s="11" t="s">
        <v>82</v>
      </c>
      <c r="M358" s="11" t="s">
        <v>73</v>
      </c>
      <c r="N358" s="11" t="s">
        <v>74</v>
      </c>
      <c r="O358" s="11" t="s">
        <v>75</v>
      </c>
      <c r="P358" s="11" t="s">
        <v>76</v>
      </c>
      <c r="Q358" s="13" t="n">
        <f aca="false">F358*H358</f>
        <v>28449735</v>
      </c>
      <c r="R358" s="13" t="n">
        <f aca="false">G358*H358</f>
        <v>26175000</v>
      </c>
      <c r="S358" s="13" t="n">
        <f aca="false">Q358-R358</f>
        <v>2274735</v>
      </c>
      <c r="T358" s="14" t="n">
        <f aca="false">IFERROR(S358/Q358,0)</f>
        <v>0.0799562807878527</v>
      </c>
      <c r="U358" s="15" t="str">
        <f aca="false">TEXT(A358,"yyyy-mm")</f>
        <v>2022-05</v>
      </c>
    </row>
    <row r="359" customFormat="false" ht="15" hidden="false" customHeight="false" outlineLevel="0" collapsed="false">
      <c r="A359" s="10" t="n">
        <v>44686</v>
      </c>
      <c r="B359" s="11" t="s">
        <v>491</v>
      </c>
      <c r="C359" s="11" t="s">
        <v>137</v>
      </c>
      <c r="D359" s="11" t="s">
        <v>138</v>
      </c>
      <c r="E359" s="11" t="s">
        <v>139</v>
      </c>
      <c r="F359" s="12" t="n">
        <v>5171827</v>
      </c>
      <c r="G359" s="12" t="n">
        <v>4890000</v>
      </c>
      <c r="H359" s="11" t="n">
        <v>3</v>
      </c>
      <c r="I359" s="11" t="s">
        <v>69</v>
      </c>
      <c r="J359" s="11" t="s">
        <v>70</v>
      </c>
      <c r="K359" s="11" t="s">
        <v>71</v>
      </c>
      <c r="L359" s="11" t="s">
        <v>72</v>
      </c>
      <c r="M359" s="11" t="s">
        <v>73</v>
      </c>
      <c r="N359" s="11" t="s">
        <v>99</v>
      </c>
      <c r="O359" s="11" t="s">
        <v>100</v>
      </c>
      <c r="P359" s="11" t="s">
        <v>101</v>
      </c>
      <c r="Q359" s="13" t="n">
        <f aca="false">F359*H359</f>
        <v>15515481</v>
      </c>
      <c r="R359" s="13" t="n">
        <f aca="false">G359*H359</f>
        <v>14670000</v>
      </c>
      <c r="S359" s="13" t="n">
        <f aca="false">Q359-R359</f>
        <v>845481</v>
      </c>
      <c r="T359" s="14" t="n">
        <f aca="false">IFERROR(S359/Q359,0)</f>
        <v>0.0544927353525166</v>
      </c>
      <c r="U359" s="15" t="str">
        <f aca="false">TEXT(A359,"yyyy-mm")</f>
        <v>2022-05</v>
      </c>
    </row>
    <row r="360" customFormat="false" ht="15" hidden="false" customHeight="false" outlineLevel="0" collapsed="false">
      <c r="A360" s="10" t="n">
        <v>44686</v>
      </c>
      <c r="B360" s="11" t="s">
        <v>492</v>
      </c>
      <c r="C360" s="11" t="s">
        <v>141</v>
      </c>
      <c r="D360" s="11" t="s">
        <v>138</v>
      </c>
      <c r="E360" s="11" t="s">
        <v>142</v>
      </c>
      <c r="F360" s="12" t="n">
        <v>2805124</v>
      </c>
      <c r="G360" s="12" t="n">
        <v>2178000</v>
      </c>
      <c r="H360" s="11" t="n">
        <v>25</v>
      </c>
      <c r="I360" s="11" t="s">
        <v>86</v>
      </c>
      <c r="J360" s="11" t="s">
        <v>87</v>
      </c>
      <c r="K360" s="11" t="s">
        <v>88</v>
      </c>
      <c r="L360" s="11" t="s">
        <v>89</v>
      </c>
      <c r="M360" s="11" t="s">
        <v>90</v>
      </c>
      <c r="N360" s="11" t="s">
        <v>143</v>
      </c>
      <c r="O360" s="11" t="s">
        <v>144</v>
      </c>
      <c r="P360" s="11" t="s">
        <v>101</v>
      </c>
      <c r="Q360" s="13" t="n">
        <f aca="false">F360*H360</f>
        <v>70128100</v>
      </c>
      <c r="R360" s="13" t="n">
        <f aca="false">G360*H360</f>
        <v>54450000</v>
      </c>
      <c r="S360" s="13" t="n">
        <f aca="false">Q360-R360</f>
        <v>15678100</v>
      </c>
      <c r="T360" s="14" t="n">
        <f aca="false">IFERROR(S360/Q360,0)</f>
        <v>0.22356373550688</v>
      </c>
      <c r="U360" s="15" t="str">
        <f aca="false">TEXT(A360,"yyyy-mm")</f>
        <v>2022-05</v>
      </c>
    </row>
    <row r="361" customFormat="false" ht="15" hidden="false" customHeight="false" outlineLevel="0" collapsed="false">
      <c r="A361" s="10" t="n">
        <v>44687</v>
      </c>
      <c r="B361" s="11" t="s">
        <v>493</v>
      </c>
      <c r="C361" s="11" t="s">
        <v>146</v>
      </c>
      <c r="D361" s="11" t="s">
        <v>138</v>
      </c>
      <c r="E361" s="11" t="s">
        <v>139</v>
      </c>
      <c r="F361" s="12" t="n">
        <v>2728100</v>
      </c>
      <c r="G361" s="12" t="n">
        <v>2321000</v>
      </c>
      <c r="H361" s="11" t="n">
        <v>18</v>
      </c>
      <c r="I361" s="11" t="s">
        <v>69</v>
      </c>
      <c r="J361" s="11" t="s">
        <v>112</v>
      </c>
      <c r="K361" s="11" t="s">
        <v>113</v>
      </c>
      <c r="L361" s="11" t="s">
        <v>82</v>
      </c>
      <c r="M361" s="11" t="s">
        <v>157</v>
      </c>
      <c r="N361" s="11" t="s">
        <v>99</v>
      </c>
      <c r="O361" s="11" t="s">
        <v>100</v>
      </c>
      <c r="P361" s="11" t="s">
        <v>101</v>
      </c>
      <c r="Q361" s="13" t="n">
        <f aca="false">F361*H361</f>
        <v>49105800</v>
      </c>
      <c r="R361" s="13" t="n">
        <f aca="false">G361*H361</f>
        <v>41778000</v>
      </c>
      <c r="S361" s="13" t="n">
        <f aca="false">Q361-R361</f>
        <v>7327800</v>
      </c>
      <c r="T361" s="14" t="n">
        <f aca="false">IFERROR(S361/Q361,0)</f>
        <v>0.149224735163667</v>
      </c>
      <c r="U361" s="15" t="str">
        <f aca="false">TEXT(A361,"yyyy-mm")</f>
        <v>2022-05</v>
      </c>
    </row>
    <row r="362" customFormat="false" ht="15" hidden="false" customHeight="false" outlineLevel="0" collapsed="false">
      <c r="A362" s="10" t="n">
        <v>44687</v>
      </c>
      <c r="B362" s="11" t="s">
        <v>494</v>
      </c>
      <c r="C362" s="11" t="s">
        <v>148</v>
      </c>
      <c r="D362" s="11" t="s">
        <v>138</v>
      </c>
      <c r="E362" s="11" t="s">
        <v>122</v>
      </c>
      <c r="F362" s="12" t="n">
        <v>4941716</v>
      </c>
      <c r="G362" s="12" t="n">
        <v>4456000</v>
      </c>
      <c r="H362" s="11" t="n">
        <v>7</v>
      </c>
      <c r="I362" s="11" t="s">
        <v>86</v>
      </c>
      <c r="J362" s="11" t="s">
        <v>87</v>
      </c>
      <c r="K362" s="11" t="s">
        <v>88</v>
      </c>
      <c r="L362" s="11" t="s">
        <v>89</v>
      </c>
      <c r="M362" s="11" t="s">
        <v>90</v>
      </c>
      <c r="N362" s="11" t="s">
        <v>74</v>
      </c>
      <c r="O362" s="11" t="s">
        <v>75</v>
      </c>
      <c r="P362" s="11" t="s">
        <v>76</v>
      </c>
      <c r="Q362" s="13" t="n">
        <f aca="false">F362*H362</f>
        <v>34592012</v>
      </c>
      <c r="R362" s="13" t="n">
        <f aca="false">G362*H362</f>
        <v>31192000</v>
      </c>
      <c r="S362" s="13" t="n">
        <f aca="false">Q362-R362</f>
        <v>3400012</v>
      </c>
      <c r="T362" s="14" t="n">
        <f aca="false">IFERROR(S362/Q362,0)</f>
        <v>0.0982889344511097</v>
      </c>
      <c r="U362" s="15" t="str">
        <f aca="false">TEXT(A362,"yyyy-mm")</f>
        <v>2022-05</v>
      </c>
    </row>
    <row r="363" customFormat="false" ht="15" hidden="false" customHeight="false" outlineLevel="0" collapsed="false">
      <c r="A363" s="10" t="n">
        <v>44687</v>
      </c>
      <c r="B363" s="11" t="s">
        <v>495</v>
      </c>
      <c r="C363" s="11" t="s">
        <v>66</v>
      </c>
      <c r="D363" s="11" t="s">
        <v>67</v>
      </c>
      <c r="E363" s="11" t="s">
        <v>68</v>
      </c>
      <c r="F363" s="12" t="n">
        <v>3048952</v>
      </c>
      <c r="G363" s="12" t="n">
        <v>2560000</v>
      </c>
      <c r="H363" s="11" t="n">
        <v>20</v>
      </c>
      <c r="I363" s="11" t="s">
        <v>69</v>
      </c>
      <c r="J363" s="11" t="s">
        <v>112</v>
      </c>
      <c r="K363" s="11" t="s">
        <v>113</v>
      </c>
      <c r="L363" s="11" t="s">
        <v>82</v>
      </c>
      <c r="M363" s="11" t="s">
        <v>157</v>
      </c>
      <c r="N363" s="11" t="s">
        <v>143</v>
      </c>
      <c r="O363" s="11" t="s">
        <v>144</v>
      </c>
      <c r="P363" s="11" t="s">
        <v>101</v>
      </c>
      <c r="Q363" s="13" t="n">
        <f aca="false">F363*H363</f>
        <v>60979040</v>
      </c>
      <c r="R363" s="13" t="n">
        <f aca="false">G363*H363</f>
        <v>51200000</v>
      </c>
      <c r="S363" s="13" t="n">
        <f aca="false">Q363-R363</f>
        <v>9779040</v>
      </c>
      <c r="T363" s="14" t="n">
        <f aca="false">IFERROR(S363/Q363,0)</f>
        <v>0.160367234380863</v>
      </c>
      <c r="U363" s="15" t="str">
        <f aca="false">TEXT(A363,"yyyy-mm")</f>
        <v>2022-05</v>
      </c>
    </row>
    <row r="364" customFormat="false" ht="15" hidden="false" customHeight="false" outlineLevel="0" collapsed="false">
      <c r="A364" s="10" t="n">
        <v>44687</v>
      </c>
      <c r="B364" s="11" t="s">
        <v>496</v>
      </c>
      <c r="C364" s="11" t="s">
        <v>78</v>
      </c>
      <c r="D364" s="11" t="s">
        <v>67</v>
      </c>
      <c r="E364" s="11" t="s">
        <v>79</v>
      </c>
      <c r="F364" s="12" t="n">
        <v>1870000</v>
      </c>
      <c r="G364" s="12" t="n">
        <v>1650000</v>
      </c>
      <c r="H364" s="11" t="n">
        <v>9</v>
      </c>
      <c r="I364" s="11" t="s">
        <v>69</v>
      </c>
      <c r="J364" s="11" t="s">
        <v>80</v>
      </c>
      <c r="K364" s="11" t="s">
        <v>81</v>
      </c>
      <c r="L364" s="11" t="s">
        <v>82</v>
      </c>
      <c r="M364" s="11" t="s">
        <v>73</v>
      </c>
      <c r="N364" s="11" t="s">
        <v>74</v>
      </c>
      <c r="O364" s="11" t="s">
        <v>75</v>
      </c>
      <c r="P364" s="11" t="s">
        <v>76</v>
      </c>
      <c r="Q364" s="13" t="n">
        <f aca="false">F364*H364</f>
        <v>16830000</v>
      </c>
      <c r="R364" s="13" t="n">
        <f aca="false">G364*H364</f>
        <v>14850000</v>
      </c>
      <c r="S364" s="13" t="n">
        <f aca="false">Q364-R364</f>
        <v>1980000</v>
      </c>
      <c r="T364" s="14" t="n">
        <f aca="false">IFERROR(S364/Q364,0)</f>
        <v>0.117647058823529</v>
      </c>
      <c r="U364" s="15" t="str">
        <f aca="false">TEXT(A364,"yyyy-mm")</f>
        <v>2022-05</v>
      </c>
    </row>
    <row r="365" customFormat="false" ht="15" hidden="false" customHeight="false" outlineLevel="0" collapsed="false">
      <c r="A365" s="10" t="n">
        <v>44688</v>
      </c>
      <c r="B365" s="11" t="s">
        <v>497</v>
      </c>
      <c r="C365" s="11" t="s">
        <v>84</v>
      </c>
      <c r="D365" s="11" t="s">
        <v>67</v>
      </c>
      <c r="E365" s="11" t="s">
        <v>85</v>
      </c>
      <c r="F365" s="12" t="n">
        <v>2600000</v>
      </c>
      <c r="G365" s="12" t="n">
        <v>2300000</v>
      </c>
      <c r="H365" s="11" t="n">
        <v>13</v>
      </c>
      <c r="I365" s="11" t="s">
        <v>69</v>
      </c>
      <c r="J365" s="11" t="s">
        <v>80</v>
      </c>
      <c r="K365" s="11" t="s">
        <v>81</v>
      </c>
      <c r="L365" s="11" t="s">
        <v>82</v>
      </c>
      <c r="M365" s="11" t="s">
        <v>73</v>
      </c>
      <c r="N365" s="11" t="s">
        <v>149</v>
      </c>
      <c r="O365" s="11" t="s">
        <v>150</v>
      </c>
      <c r="P365" s="11" t="s">
        <v>151</v>
      </c>
      <c r="Q365" s="13" t="n">
        <f aca="false">F365*H365</f>
        <v>33800000</v>
      </c>
      <c r="R365" s="13" t="n">
        <f aca="false">G365*H365</f>
        <v>29900000</v>
      </c>
      <c r="S365" s="13" t="n">
        <f aca="false">Q365-R365</f>
        <v>3900000</v>
      </c>
      <c r="T365" s="14" t="n">
        <f aca="false">IFERROR(S365/Q365,0)</f>
        <v>0.115384615384615</v>
      </c>
      <c r="U365" s="15" t="str">
        <f aca="false">TEXT(A365,"yyyy-mm")</f>
        <v>2022-05</v>
      </c>
    </row>
    <row r="366" customFormat="false" ht="15" hidden="false" customHeight="false" outlineLevel="0" collapsed="false">
      <c r="A366" s="10" t="n">
        <v>44688</v>
      </c>
      <c r="B366" s="11" t="s">
        <v>498</v>
      </c>
      <c r="C366" s="11" t="s">
        <v>92</v>
      </c>
      <c r="D366" s="11" t="s">
        <v>67</v>
      </c>
      <c r="E366" s="11" t="s">
        <v>79</v>
      </c>
      <c r="F366" s="12" t="n">
        <v>3577480</v>
      </c>
      <c r="G366" s="12" t="n">
        <v>3100000</v>
      </c>
      <c r="H366" s="11" t="n">
        <v>13</v>
      </c>
      <c r="I366" s="11" t="s">
        <v>69</v>
      </c>
      <c r="J366" s="11" t="s">
        <v>80</v>
      </c>
      <c r="K366" s="11" t="s">
        <v>81</v>
      </c>
      <c r="L366" s="11" t="s">
        <v>82</v>
      </c>
      <c r="M366" s="11" t="s">
        <v>73</v>
      </c>
      <c r="N366" s="11" t="s">
        <v>109</v>
      </c>
      <c r="O366" s="11" t="s">
        <v>75</v>
      </c>
      <c r="P366" s="11" t="s">
        <v>95</v>
      </c>
      <c r="Q366" s="13" t="n">
        <f aca="false">F366*H366</f>
        <v>46507240</v>
      </c>
      <c r="R366" s="13" t="n">
        <f aca="false">G366*H366</f>
        <v>40300000</v>
      </c>
      <c r="S366" s="13" t="n">
        <f aca="false">Q366-R366</f>
        <v>6207240</v>
      </c>
      <c r="T366" s="14" t="n">
        <f aca="false">IFERROR(S366/Q366,0)</f>
        <v>0.133468251394837</v>
      </c>
      <c r="U366" s="15" t="str">
        <f aca="false">TEXT(A366,"yyyy-mm")</f>
        <v>2022-05</v>
      </c>
    </row>
    <row r="367" customFormat="false" ht="15" hidden="false" customHeight="false" outlineLevel="0" collapsed="false">
      <c r="A367" s="10" t="n">
        <v>44688</v>
      </c>
      <c r="B367" s="11" t="s">
        <v>499</v>
      </c>
      <c r="C367" s="11" t="s">
        <v>97</v>
      </c>
      <c r="D367" s="11" t="s">
        <v>67</v>
      </c>
      <c r="E367" s="11" t="s">
        <v>98</v>
      </c>
      <c r="F367" s="12" t="n">
        <v>4969724</v>
      </c>
      <c r="G367" s="12" t="n">
        <v>4121560</v>
      </c>
      <c r="H367" s="11" t="n">
        <v>14</v>
      </c>
      <c r="I367" s="11" t="s">
        <v>69</v>
      </c>
      <c r="J367" s="11" t="s">
        <v>80</v>
      </c>
      <c r="K367" s="11" t="s">
        <v>81</v>
      </c>
      <c r="L367" s="11" t="s">
        <v>82</v>
      </c>
      <c r="M367" s="11" t="s">
        <v>73</v>
      </c>
      <c r="N367" s="11" t="s">
        <v>104</v>
      </c>
      <c r="O367" s="11" t="s">
        <v>105</v>
      </c>
      <c r="P367" s="11" t="s">
        <v>106</v>
      </c>
      <c r="Q367" s="13" t="n">
        <f aca="false">F367*H367</f>
        <v>69576136</v>
      </c>
      <c r="R367" s="13" t="n">
        <f aca="false">G367*H367</f>
        <v>57701840</v>
      </c>
      <c r="S367" s="13" t="n">
        <f aca="false">Q367-R367</f>
        <v>11874296</v>
      </c>
      <c r="T367" s="14" t="n">
        <f aca="false">IFERROR(S367/Q367,0)</f>
        <v>0.170666218083741</v>
      </c>
      <c r="U367" s="15" t="str">
        <f aca="false">TEXT(A367,"yyyy-mm")</f>
        <v>2022-05</v>
      </c>
    </row>
    <row r="368" customFormat="false" ht="15" hidden="false" customHeight="false" outlineLevel="0" collapsed="false">
      <c r="A368" s="10" t="n">
        <v>44688</v>
      </c>
      <c r="B368" s="11" t="s">
        <v>500</v>
      </c>
      <c r="C368" s="11" t="s">
        <v>103</v>
      </c>
      <c r="D368" s="11" t="s">
        <v>67</v>
      </c>
      <c r="E368" s="11" t="s">
        <v>68</v>
      </c>
      <c r="F368" s="12" t="n">
        <v>3319925</v>
      </c>
      <c r="G368" s="12" t="n">
        <v>2800000</v>
      </c>
      <c r="H368" s="11" t="n">
        <v>4</v>
      </c>
      <c r="I368" s="11" t="s">
        <v>69</v>
      </c>
      <c r="J368" s="11" t="s">
        <v>80</v>
      </c>
      <c r="K368" s="11" t="s">
        <v>81</v>
      </c>
      <c r="L368" s="11" t="s">
        <v>82</v>
      </c>
      <c r="M368" s="11" t="s">
        <v>73</v>
      </c>
      <c r="N368" s="11" t="s">
        <v>173</v>
      </c>
      <c r="O368" s="11" t="s">
        <v>174</v>
      </c>
      <c r="P368" s="11" t="s">
        <v>95</v>
      </c>
      <c r="Q368" s="13" t="n">
        <f aca="false">F368*H368</f>
        <v>13279700</v>
      </c>
      <c r="R368" s="13" t="n">
        <f aca="false">G368*H368</f>
        <v>11200000</v>
      </c>
      <c r="S368" s="13" t="n">
        <f aca="false">Q368-R368</f>
        <v>2079700</v>
      </c>
      <c r="T368" s="14" t="n">
        <f aca="false">IFERROR(S368/Q368,0)</f>
        <v>0.15660745348163</v>
      </c>
      <c r="U368" s="15" t="str">
        <f aca="false">TEXT(A368,"yyyy-mm")</f>
        <v>2022-05</v>
      </c>
    </row>
    <row r="369" customFormat="false" ht="15" hidden="false" customHeight="false" outlineLevel="0" collapsed="false">
      <c r="A369" s="10" t="n">
        <v>44689</v>
      </c>
      <c r="B369" s="11" t="s">
        <v>501</v>
      </c>
      <c r="C369" s="11" t="s">
        <v>108</v>
      </c>
      <c r="D369" s="11" t="s">
        <v>67</v>
      </c>
      <c r="E369" s="11" t="s">
        <v>68</v>
      </c>
      <c r="F369" s="12" t="n">
        <v>4757880</v>
      </c>
      <c r="G369" s="12" t="n">
        <v>3450000</v>
      </c>
      <c r="H369" s="11" t="n">
        <v>15</v>
      </c>
      <c r="I369" s="11" t="s">
        <v>69</v>
      </c>
      <c r="J369" s="11" t="s">
        <v>80</v>
      </c>
      <c r="K369" s="11" t="s">
        <v>81</v>
      </c>
      <c r="L369" s="11" t="s">
        <v>82</v>
      </c>
      <c r="M369" s="11" t="s">
        <v>73</v>
      </c>
      <c r="N369" s="11" t="s">
        <v>74</v>
      </c>
      <c r="O369" s="11" t="s">
        <v>75</v>
      </c>
      <c r="P369" s="11" t="s">
        <v>76</v>
      </c>
      <c r="Q369" s="13" t="n">
        <f aca="false">F369*H369</f>
        <v>71368200</v>
      </c>
      <c r="R369" s="13" t="n">
        <f aca="false">G369*H369</f>
        <v>51750000</v>
      </c>
      <c r="S369" s="13" t="n">
        <f aca="false">Q369-R369</f>
        <v>19618200</v>
      </c>
      <c r="T369" s="14" t="n">
        <f aca="false">IFERROR(S369/Q369,0)</f>
        <v>0.274887134606169</v>
      </c>
      <c r="U369" s="15" t="str">
        <f aca="false">TEXT(A369,"yyyy-mm")</f>
        <v>2022-05</v>
      </c>
    </row>
    <row r="370" customFormat="false" ht="15" hidden="false" customHeight="false" outlineLevel="0" collapsed="false">
      <c r="A370" s="10" t="n">
        <v>44690</v>
      </c>
      <c r="B370" s="11" t="s">
        <v>502</v>
      </c>
      <c r="C370" s="11" t="s">
        <v>111</v>
      </c>
      <c r="D370" s="11" t="s">
        <v>67</v>
      </c>
      <c r="E370" s="11" t="s">
        <v>79</v>
      </c>
      <c r="F370" s="12" t="n">
        <v>3545808</v>
      </c>
      <c r="G370" s="12" t="n">
        <v>3350000</v>
      </c>
      <c r="H370" s="11" t="n">
        <v>19</v>
      </c>
      <c r="I370" s="11" t="s">
        <v>69</v>
      </c>
      <c r="J370" s="11" t="s">
        <v>80</v>
      </c>
      <c r="K370" s="11" t="s">
        <v>81</v>
      </c>
      <c r="L370" s="11" t="s">
        <v>82</v>
      </c>
      <c r="M370" s="11" t="s">
        <v>73</v>
      </c>
      <c r="N370" s="11" t="s">
        <v>149</v>
      </c>
      <c r="O370" s="11" t="s">
        <v>150</v>
      </c>
      <c r="P370" s="11" t="s">
        <v>151</v>
      </c>
      <c r="Q370" s="13" t="n">
        <f aca="false">F370*H370</f>
        <v>67370352</v>
      </c>
      <c r="R370" s="13" t="n">
        <f aca="false">G370*H370</f>
        <v>63650000</v>
      </c>
      <c r="S370" s="13" t="n">
        <f aca="false">Q370-R370</f>
        <v>3720352</v>
      </c>
      <c r="T370" s="14" t="n">
        <f aca="false">IFERROR(S370/Q370,0)</f>
        <v>0.0552223921881839</v>
      </c>
      <c r="U370" s="15" t="str">
        <f aca="false">TEXT(A370,"yyyy-mm")</f>
        <v>2022-05</v>
      </c>
    </row>
    <row r="371" customFormat="false" ht="15" hidden="false" customHeight="false" outlineLevel="0" collapsed="false">
      <c r="A371" s="10" t="n">
        <v>44690</v>
      </c>
      <c r="B371" s="11" t="s">
        <v>503</v>
      </c>
      <c r="C371" s="11" t="s">
        <v>115</v>
      </c>
      <c r="D371" s="11" t="s">
        <v>67</v>
      </c>
      <c r="E371" s="11" t="s">
        <v>98</v>
      </c>
      <c r="F371" s="12" t="n">
        <v>4200743</v>
      </c>
      <c r="G371" s="12" t="n">
        <v>4101000</v>
      </c>
      <c r="H371" s="11" t="n">
        <v>9</v>
      </c>
      <c r="I371" s="11" t="s">
        <v>69</v>
      </c>
      <c r="J371" s="11" t="s">
        <v>70</v>
      </c>
      <c r="K371" s="11" t="s">
        <v>71</v>
      </c>
      <c r="L371" s="11" t="s">
        <v>72</v>
      </c>
      <c r="M371" s="11" t="s">
        <v>73</v>
      </c>
      <c r="N371" s="11" t="s">
        <v>104</v>
      </c>
      <c r="O371" s="11" t="s">
        <v>105</v>
      </c>
      <c r="P371" s="11" t="s">
        <v>106</v>
      </c>
      <c r="Q371" s="13" t="n">
        <f aca="false">F371*H371</f>
        <v>37806687</v>
      </c>
      <c r="R371" s="13" t="n">
        <f aca="false">G371*H371</f>
        <v>36909000</v>
      </c>
      <c r="S371" s="13" t="n">
        <f aca="false">Q371-R371</f>
        <v>897687</v>
      </c>
      <c r="T371" s="14" t="n">
        <f aca="false">IFERROR(S371/Q371,0)</f>
        <v>0.023744132883159</v>
      </c>
      <c r="U371" s="15" t="str">
        <f aca="false">TEXT(A371,"yyyy-mm")</f>
        <v>2022-05</v>
      </c>
    </row>
    <row r="372" customFormat="false" ht="15" hidden="false" customHeight="false" outlineLevel="0" collapsed="false">
      <c r="A372" s="10" t="n">
        <v>44690</v>
      </c>
      <c r="B372" s="11" t="s">
        <v>504</v>
      </c>
      <c r="C372" s="11" t="s">
        <v>117</v>
      </c>
      <c r="D372" s="11" t="s">
        <v>118</v>
      </c>
      <c r="E372" s="11" t="s">
        <v>119</v>
      </c>
      <c r="F372" s="12" t="n">
        <v>8220549</v>
      </c>
      <c r="G372" s="12" t="n">
        <v>6500000</v>
      </c>
      <c r="H372" s="11" t="n">
        <v>17</v>
      </c>
      <c r="I372" s="11" t="s">
        <v>86</v>
      </c>
      <c r="J372" s="11" t="s">
        <v>87</v>
      </c>
      <c r="K372" s="11" t="s">
        <v>88</v>
      </c>
      <c r="L372" s="11" t="s">
        <v>89</v>
      </c>
      <c r="M372" s="11" t="s">
        <v>90</v>
      </c>
      <c r="N372" s="11" t="s">
        <v>99</v>
      </c>
      <c r="O372" s="11" t="s">
        <v>100</v>
      </c>
      <c r="P372" s="11" t="s">
        <v>101</v>
      </c>
      <c r="Q372" s="13" t="n">
        <f aca="false">F372*H372</f>
        <v>139749333</v>
      </c>
      <c r="R372" s="13" t="n">
        <f aca="false">G372*H372</f>
        <v>110500000</v>
      </c>
      <c r="S372" s="13" t="n">
        <f aca="false">Q372-R372</f>
        <v>29249333</v>
      </c>
      <c r="T372" s="14" t="n">
        <f aca="false">IFERROR(S372/Q372,0)</f>
        <v>0.209298551714733</v>
      </c>
      <c r="U372" s="15" t="str">
        <f aca="false">TEXT(A372,"yyyy-mm")</f>
        <v>2022-05</v>
      </c>
    </row>
    <row r="373" customFormat="false" ht="15" hidden="false" customHeight="false" outlineLevel="0" collapsed="false">
      <c r="A373" s="10" t="n">
        <v>44690</v>
      </c>
      <c r="B373" s="11" t="s">
        <v>505</v>
      </c>
      <c r="C373" s="11" t="s">
        <v>121</v>
      </c>
      <c r="D373" s="11" t="s">
        <v>118</v>
      </c>
      <c r="E373" s="11" t="s">
        <v>122</v>
      </c>
      <c r="F373" s="12" t="n">
        <v>7687274</v>
      </c>
      <c r="G373" s="12" t="n">
        <v>6500000</v>
      </c>
      <c r="H373" s="11" t="n">
        <v>18</v>
      </c>
      <c r="I373" s="11" t="s">
        <v>69</v>
      </c>
      <c r="J373" s="11" t="s">
        <v>112</v>
      </c>
      <c r="K373" s="11" t="s">
        <v>113</v>
      </c>
      <c r="L373" s="11" t="s">
        <v>82</v>
      </c>
      <c r="M373" s="11" t="s">
        <v>157</v>
      </c>
      <c r="N373" s="11" t="s">
        <v>74</v>
      </c>
      <c r="O373" s="11" t="s">
        <v>75</v>
      </c>
      <c r="P373" s="11" t="s">
        <v>76</v>
      </c>
      <c r="Q373" s="13" t="n">
        <f aca="false">F373*H373</f>
        <v>138370932</v>
      </c>
      <c r="R373" s="13" t="n">
        <f aca="false">G373*H373</f>
        <v>117000000</v>
      </c>
      <c r="S373" s="13" t="n">
        <f aca="false">Q373-R373</f>
        <v>21370932</v>
      </c>
      <c r="T373" s="14" t="n">
        <f aca="false">IFERROR(S373/Q373,0)</f>
        <v>0.154446686822923</v>
      </c>
      <c r="U373" s="15" t="str">
        <f aca="false">TEXT(A373,"yyyy-mm")</f>
        <v>2022-05</v>
      </c>
    </row>
    <row r="374" customFormat="false" ht="15" hidden="false" customHeight="false" outlineLevel="0" collapsed="false">
      <c r="A374" s="10" t="n">
        <v>44691</v>
      </c>
      <c r="B374" s="11" t="s">
        <v>506</v>
      </c>
      <c r="C374" s="11" t="s">
        <v>125</v>
      </c>
      <c r="D374" s="11" t="s">
        <v>118</v>
      </c>
      <c r="E374" s="11" t="s">
        <v>126</v>
      </c>
      <c r="F374" s="12" t="n">
        <v>5684211</v>
      </c>
      <c r="G374" s="12" t="n">
        <v>4300000</v>
      </c>
      <c r="H374" s="11" t="n">
        <v>13</v>
      </c>
      <c r="I374" s="11" t="s">
        <v>69</v>
      </c>
      <c r="J374" s="11" t="s">
        <v>80</v>
      </c>
      <c r="K374" s="11" t="s">
        <v>81</v>
      </c>
      <c r="L374" s="11" t="s">
        <v>82</v>
      </c>
      <c r="M374" s="11" t="s">
        <v>73</v>
      </c>
      <c r="N374" s="11" t="s">
        <v>74</v>
      </c>
      <c r="O374" s="11" t="s">
        <v>75</v>
      </c>
      <c r="P374" s="11" t="s">
        <v>76</v>
      </c>
      <c r="Q374" s="13" t="n">
        <f aca="false">F374*H374</f>
        <v>73894743</v>
      </c>
      <c r="R374" s="13" t="n">
        <f aca="false">G374*H374</f>
        <v>55900000</v>
      </c>
      <c r="S374" s="13" t="n">
        <f aca="false">Q374-R374</f>
        <v>17994743</v>
      </c>
      <c r="T374" s="14" t="n">
        <f aca="false">IFERROR(S374/Q374,0)</f>
        <v>0.243518581558637</v>
      </c>
      <c r="U374" s="15" t="str">
        <f aca="false">TEXT(A374,"yyyy-mm")</f>
        <v>2022-05</v>
      </c>
    </row>
    <row r="375" customFormat="false" ht="15" hidden="false" customHeight="false" outlineLevel="0" collapsed="false">
      <c r="A375" s="10" t="n">
        <v>44691</v>
      </c>
      <c r="B375" s="11" t="s">
        <v>507</v>
      </c>
      <c r="C375" s="11" t="s">
        <v>128</v>
      </c>
      <c r="D375" s="11" t="s">
        <v>118</v>
      </c>
      <c r="E375" s="11" t="s">
        <v>119</v>
      </c>
      <c r="F375" s="12" t="n">
        <v>3370302</v>
      </c>
      <c r="G375" s="12" t="n">
        <v>2100000</v>
      </c>
      <c r="H375" s="11" t="n">
        <v>26</v>
      </c>
      <c r="I375" s="11" t="s">
        <v>69</v>
      </c>
      <c r="J375" s="11" t="s">
        <v>80</v>
      </c>
      <c r="K375" s="11" t="s">
        <v>81</v>
      </c>
      <c r="L375" s="11" t="s">
        <v>82</v>
      </c>
      <c r="M375" s="11" t="s">
        <v>73</v>
      </c>
      <c r="N375" s="11" t="s">
        <v>173</v>
      </c>
      <c r="O375" s="11" t="s">
        <v>174</v>
      </c>
      <c r="P375" s="11" t="s">
        <v>95</v>
      </c>
      <c r="Q375" s="13" t="n">
        <f aca="false">F375*H375</f>
        <v>87627852</v>
      </c>
      <c r="R375" s="13" t="n">
        <f aca="false">G375*H375</f>
        <v>54600000</v>
      </c>
      <c r="S375" s="13" t="n">
        <f aca="false">Q375-R375</f>
        <v>33027852</v>
      </c>
      <c r="T375" s="14" t="n">
        <f aca="false">IFERROR(S375/Q375,0)</f>
        <v>0.37691043710623</v>
      </c>
      <c r="U375" s="15" t="str">
        <f aca="false">TEXT(A375,"yyyy-mm")</f>
        <v>2022-05</v>
      </c>
    </row>
    <row r="376" customFormat="false" ht="15" hidden="false" customHeight="false" outlineLevel="0" collapsed="false">
      <c r="A376" s="10" t="n">
        <v>44691</v>
      </c>
      <c r="B376" s="11" t="s">
        <v>508</v>
      </c>
      <c r="C376" s="11" t="s">
        <v>130</v>
      </c>
      <c r="D376" s="11" t="s">
        <v>118</v>
      </c>
      <c r="E376" s="11" t="s">
        <v>68</v>
      </c>
      <c r="F376" s="12" t="n">
        <v>2852897</v>
      </c>
      <c r="G376" s="12" t="n">
        <v>2450000</v>
      </c>
      <c r="H376" s="11" t="n">
        <v>3</v>
      </c>
      <c r="I376" s="11" t="s">
        <v>69</v>
      </c>
      <c r="J376" s="11" t="s">
        <v>112</v>
      </c>
      <c r="K376" s="11" t="s">
        <v>113</v>
      </c>
      <c r="L376" s="11" t="s">
        <v>82</v>
      </c>
      <c r="M376" s="11" t="s">
        <v>157</v>
      </c>
      <c r="N376" s="11" t="s">
        <v>93</v>
      </c>
      <c r="O376" s="11" t="s">
        <v>94</v>
      </c>
      <c r="P376" s="11" t="s">
        <v>95</v>
      </c>
      <c r="Q376" s="13" t="n">
        <f aca="false">F376*H376</f>
        <v>8558691</v>
      </c>
      <c r="R376" s="13" t="n">
        <f aca="false">G376*H376</f>
        <v>7350000</v>
      </c>
      <c r="S376" s="13" t="n">
        <f aca="false">Q376-R376</f>
        <v>1208691</v>
      </c>
      <c r="T376" s="14" t="n">
        <f aca="false">IFERROR(S376/Q376,0)</f>
        <v>0.141223815651249</v>
      </c>
      <c r="U376" s="15" t="str">
        <f aca="false">TEXT(A376,"yyyy-mm")</f>
        <v>2022-05</v>
      </c>
    </row>
    <row r="377" customFormat="false" ht="15" hidden="false" customHeight="false" outlineLevel="0" collapsed="false">
      <c r="A377" s="10" t="n">
        <v>44692</v>
      </c>
      <c r="B377" s="11" t="s">
        <v>509</v>
      </c>
      <c r="C377" s="11" t="s">
        <v>132</v>
      </c>
      <c r="D377" s="11" t="s">
        <v>118</v>
      </c>
      <c r="E377" s="11" t="s">
        <v>68</v>
      </c>
      <c r="F377" s="12" t="n">
        <v>4803603</v>
      </c>
      <c r="G377" s="12" t="n">
        <v>4121000</v>
      </c>
      <c r="H377" s="11" t="n">
        <v>24</v>
      </c>
      <c r="I377" s="11" t="s">
        <v>69</v>
      </c>
      <c r="J377" s="11" t="s">
        <v>80</v>
      </c>
      <c r="K377" s="11" t="s">
        <v>81</v>
      </c>
      <c r="L377" s="11" t="s">
        <v>82</v>
      </c>
      <c r="M377" s="11" t="s">
        <v>73</v>
      </c>
      <c r="N377" s="11" t="s">
        <v>173</v>
      </c>
      <c r="O377" s="11" t="s">
        <v>174</v>
      </c>
      <c r="P377" s="11" t="s">
        <v>95</v>
      </c>
      <c r="Q377" s="13" t="n">
        <f aca="false">F377*H377</f>
        <v>115286472</v>
      </c>
      <c r="R377" s="13" t="n">
        <f aca="false">G377*H377</f>
        <v>98904000</v>
      </c>
      <c r="S377" s="13" t="n">
        <f aca="false">Q377-R377</f>
        <v>16382472</v>
      </c>
      <c r="T377" s="14" t="n">
        <f aca="false">IFERROR(S377/Q377,0)</f>
        <v>0.142102292799801</v>
      </c>
      <c r="U377" s="15" t="str">
        <f aca="false">TEXT(A377,"yyyy-mm")</f>
        <v>2022-05</v>
      </c>
    </row>
    <row r="378" customFormat="false" ht="15" hidden="false" customHeight="false" outlineLevel="0" collapsed="false">
      <c r="A378" s="10" t="n">
        <v>44692</v>
      </c>
      <c r="B378" s="11" t="s">
        <v>510</v>
      </c>
      <c r="C378" s="11" t="s">
        <v>135</v>
      </c>
      <c r="D378" s="11" t="s">
        <v>118</v>
      </c>
      <c r="E378" s="11" t="s">
        <v>68</v>
      </c>
      <c r="F378" s="12" t="n">
        <v>5689947</v>
      </c>
      <c r="G378" s="12" t="n">
        <v>5235000</v>
      </c>
      <c r="H378" s="11" t="n">
        <v>19</v>
      </c>
      <c r="I378" s="11" t="s">
        <v>69</v>
      </c>
      <c r="J378" s="11" t="s">
        <v>80</v>
      </c>
      <c r="K378" s="11" t="s">
        <v>81</v>
      </c>
      <c r="L378" s="11" t="s">
        <v>82</v>
      </c>
      <c r="M378" s="11" t="s">
        <v>73</v>
      </c>
      <c r="N378" s="11" t="s">
        <v>74</v>
      </c>
      <c r="O378" s="11" t="s">
        <v>75</v>
      </c>
      <c r="P378" s="11" t="s">
        <v>76</v>
      </c>
      <c r="Q378" s="13" t="n">
        <f aca="false">F378*H378</f>
        <v>108108993</v>
      </c>
      <c r="R378" s="13" t="n">
        <f aca="false">G378*H378</f>
        <v>99465000</v>
      </c>
      <c r="S378" s="13" t="n">
        <f aca="false">Q378-R378</f>
        <v>8643993</v>
      </c>
      <c r="T378" s="14" t="n">
        <f aca="false">IFERROR(S378/Q378,0)</f>
        <v>0.0799562807878527</v>
      </c>
      <c r="U378" s="15" t="str">
        <f aca="false">TEXT(A378,"yyyy-mm")</f>
        <v>2022-05</v>
      </c>
    </row>
    <row r="379" customFormat="false" ht="15" hidden="false" customHeight="false" outlineLevel="0" collapsed="false">
      <c r="A379" s="10" t="n">
        <v>44693</v>
      </c>
      <c r="B379" s="11" t="s">
        <v>511</v>
      </c>
      <c r="C379" s="11" t="s">
        <v>137</v>
      </c>
      <c r="D379" s="11" t="s">
        <v>138</v>
      </c>
      <c r="E379" s="11" t="s">
        <v>139</v>
      </c>
      <c r="F379" s="12" t="n">
        <v>5171827</v>
      </c>
      <c r="G379" s="12" t="n">
        <v>4890000</v>
      </c>
      <c r="H379" s="11" t="n">
        <v>11</v>
      </c>
      <c r="I379" s="11" t="s">
        <v>69</v>
      </c>
      <c r="J379" s="11" t="s">
        <v>80</v>
      </c>
      <c r="K379" s="11" t="s">
        <v>81</v>
      </c>
      <c r="L379" s="11" t="s">
        <v>82</v>
      </c>
      <c r="M379" s="11" t="s">
        <v>73</v>
      </c>
      <c r="N379" s="11" t="s">
        <v>104</v>
      </c>
      <c r="O379" s="11" t="s">
        <v>105</v>
      </c>
      <c r="P379" s="11" t="s">
        <v>106</v>
      </c>
      <c r="Q379" s="13" t="n">
        <f aca="false">F379*H379</f>
        <v>56890097</v>
      </c>
      <c r="R379" s="13" t="n">
        <f aca="false">G379*H379</f>
        <v>53790000</v>
      </c>
      <c r="S379" s="13" t="n">
        <f aca="false">Q379-R379</f>
        <v>3100097</v>
      </c>
      <c r="T379" s="14" t="n">
        <f aca="false">IFERROR(S379/Q379,0)</f>
        <v>0.0544927353525166</v>
      </c>
      <c r="U379" s="15" t="str">
        <f aca="false">TEXT(A379,"yyyy-mm")</f>
        <v>2022-05</v>
      </c>
    </row>
    <row r="380" customFormat="false" ht="15" hidden="false" customHeight="false" outlineLevel="0" collapsed="false">
      <c r="A380" s="10" t="n">
        <v>44693</v>
      </c>
      <c r="B380" s="11" t="s">
        <v>512</v>
      </c>
      <c r="C380" s="11" t="s">
        <v>141</v>
      </c>
      <c r="D380" s="11" t="s">
        <v>138</v>
      </c>
      <c r="E380" s="11" t="s">
        <v>142</v>
      </c>
      <c r="F380" s="12" t="n">
        <v>2805124</v>
      </c>
      <c r="G380" s="12" t="n">
        <v>2178000</v>
      </c>
      <c r="H380" s="11" t="n">
        <v>5</v>
      </c>
      <c r="I380" s="11" t="s">
        <v>69</v>
      </c>
      <c r="J380" s="11" t="s">
        <v>80</v>
      </c>
      <c r="K380" s="11" t="s">
        <v>81</v>
      </c>
      <c r="L380" s="11" t="s">
        <v>82</v>
      </c>
      <c r="M380" s="11" t="s">
        <v>73</v>
      </c>
      <c r="N380" s="11" t="s">
        <v>74</v>
      </c>
      <c r="O380" s="11" t="s">
        <v>75</v>
      </c>
      <c r="P380" s="11" t="s">
        <v>76</v>
      </c>
      <c r="Q380" s="13" t="n">
        <f aca="false">F380*H380</f>
        <v>14025620</v>
      </c>
      <c r="R380" s="13" t="n">
        <f aca="false">G380*H380</f>
        <v>10890000</v>
      </c>
      <c r="S380" s="13" t="n">
        <f aca="false">Q380-R380</f>
        <v>3135620</v>
      </c>
      <c r="T380" s="14" t="n">
        <f aca="false">IFERROR(S380/Q380,0)</f>
        <v>0.22356373550688</v>
      </c>
      <c r="U380" s="15" t="str">
        <f aca="false">TEXT(A380,"yyyy-mm")</f>
        <v>2022-05</v>
      </c>
    </row>
    <row r="381" customFormat="false" ht="15" hidden="false" customHeight="false" outlineLevel="0" collapsed="false">
      <c r="A381" s="10" t="n">
        <v>44694</v>
      </c>
      <c r="B381" s="11" t="s">
        <v>513</v>
      </c>
      <c r="C381" s="11" t="s">
        <v>146</v>
      </c>
      <c r="D381" s="11" t="s">
        <v>138</v>
      </c>
      <c r="E381" s="11" t="s">
        <v>139</v>
      </c>
      <c r="F381" s="12" t="n">
        <v>2728100</v>
      </c>
      <c r="G381" s="12" t="n">
        <v>2321000</v>
      </c>
      <c r="H381" s="11" t="n">
        <v>20</v>
      </c>
      <c r="I381" s="11" t="s">
        <v>69</v>
      </c>
      <c r="J381" s="11" t="s">
        <v>70</v>
      </c>
      <c r="K381" s="11" t="s">
        <v>71</v>
      </c>
      <c r="L381" s="11" t="s">
        <v>72</v>
      </c>
      <c r="M381" s="11" t="s">
        <v>73</v>
      </c>
      <c r="N381" s="11" t="s">
        <v>143</v>
      </c>
      <c r="O381" s="11" t="s">
        <v>144</v>
      </c>
      <c r="P381" s="11" t="s">
        <v>101</v>
      </c>
      <c r="Q381" s="13" t="n">
        <f aca="false">F381*H381</f>
        <v>54562000</v>
      </c>
      <c r="R381" s="13" t="n">
        <f aca="false">G381*H381</f>
        <v>46420000</v>
      </c>
      <c r="S381" s="13" t="n">
        <f aca="false">Q381-R381</f>
        <v>8142000</v>
      </c>
      <c r="T381" s="14" t="n">
        <f aca="false">IFERROR(S381/Q381,0)</f>
        <v>0.149224735163667</v>
      </c>
      <c r="U381" s="15" t="str">
        <f aca="false">TEXT(A381,"yyyy-mm")</f>
        <v>2022-05</v>
      </c>
    </row>
    <row r="382" customFormat="false" ht="15" hidden="false" customHeight="false" outlineLevel="0" collapsed="false">
      <c r="A382" s="10" t="n">
        <v>44694</v>
      </c>
      <c r="B382" s="11" t="s">
        <v>514</v>
      </c>
      <c r="C382" s="11" t="s">
        <v>148</v>
      </c>
      <c r="D382" s="11" t="s">
        <v>138</v>
      </c>
      <c r="E382" s="11" t="s">
        <v>122</v>
      </c>
      <c r="F382" s="12" t="n">
        <v>4941716</v>
      </c>
      <c r="G382" s="12" t="n">
        <v>4456000</v>
      </c>
      <c r="H382" s="11" t="n">
        <v>26</v>
      </c>
      <c r="I382" s="11" t="s">
        <v>86</v>
      </c>
      <c r="J382" s="11" t="s">
        <v>87</v>
      </c>
      <c r="K382" s="11" t="s">
        <v>88</v>
      </c>
      <c r="L382" s="11" t="s">
        <v>89</v>
      </c>
      <c r="M382" s="11" t="s">
        <v>90</v>
      </c>
      <c r="N382" s="11" t="s">
        <v>149</v>
      </c>
      <c r="O382" s="11" t="s">
        <v>150</v>
      </c>
      <c r="P382" s="11" t="s">
        <v>151</v>
      </c>
      <c r="Q382" s="13" t="n">
        <f aca="false">F382*H382</f>
        <v>128484616</v>
      </c>
      <c r="R382" s="13" t="n">
        <f aca="false">G382*H382</f>
        <v>115856000</v>
      </c>
      <c r="S382" s="13" t="n">
        <f aca="false">Q382-R382</f>
        <v>12628616</v>
      </c>
      <c r="T382" s="14" t="n">
        <f aca="false">IFERROR(S382/Q382,0)</f>
        <v>0.0982889344511097</v>
      </c>
      <c r="U382" s="15" t="str">
        <f aca="false">TEXT(A382,"yyyy-mm")</f>
        <v>2022-05</v>
      </c>
    </row>
    <row r="383" customFormat="false" ht="15" hidden="false" customHeight="false" outlineLevel="0" collapsed="false">
      <c r="A383" s="10" t="n">
        <v>44694</v>
      </c>
      <c r="B383" s="11" t="s">
        <v>515</v>
      </c>
      <c r="C383" s="11" t="s">
        <v>66</v>
      </c>
      <c r="D383" s="11" t="s">
        <v>67</v>
      </c>
      <c r="E383" s="11" t="s">
        <v>68</v>
      </c>
      <c r="F383" s="12" t="n">
        <v>3048952</v>
      </c>
      <c r="G383" s="12" t="n">
        <v>2560000</v>
      </c>
      <c r="H383" s="11" t="n">
        <v>4</v>
      </c>
      <c r="I383" s="11" t="s">
        <v>86</v>
      </c>
      <c r="J383" s="11" t="s">
        <v>87</v>
      </c>
      <c r="K383" s="11" t="s">
        <v>88</v>
      </c>
      <c r="L383" s="11" t="s">
        <v>89</v>
      </c>
      <c r="M383" s="11" t="s">
        <v>90</v>
      </c>
      <c r="N383" s="11" t="s">
        <v>143</v>
      </c>
      <c r="O383" s="11" t="s">
        <v>144</v>
      </c>
      <c r="P383" s="11" t="s">
        <v>101</v>
      </c>
      <c r="Q383" s="13" t="n">
        <f aca="false">F383*H383</f>
        <v>12195808</v>
      </c>
      <c r="R383" s="13" t="n">
        <f aca="false">G383*H383</f>
        <v>10240000</v>
      </c>
      <c r="S383" s="13" t="n">
        <f aca="false">Q383-R383</f>
        <v>1955808</v>
      </c>
      <c r="T383" s="14" t="n">
        <f aca="false">IFERROR(S383/Q383,0)</f>
        <v>0.160367234380863</v>
      </c>
      <c r="U383" s="15" t="str">
        <f aca="false">TEXT(A383,"yyyy-mm")</f>
        <v>2022-05</v>
      </c>
    </row>
    <row r="384" customFormat="false" ht="15" hidden="false" customHeight="false" outlineLevel="0" collapsed="false">
      <c r="A384" s="10" t="n">
        <v>44694</v>
      </c>
      <c r="B384" s="11" t="s">
        <v>516</v>
      </c>
      <c r="C384" s="11" t="s">
        <v>78</v>
      </c>
      <c r="D384" s="11" t="s">
        <v>67</v>
      </c>
      <c r="E384" s="11" t="s">
        <v>79</v>
      </c>
      <c r="F384" s="12" t="n">
        <v>1870000</v>
      </c>
      <c r="G384" s="12" t="n">
        <v>1650000</v>
      </c>
      <c r="H384" s="11" t="n">
        <v>10</v>
      </c>
      <c r="I384" s="11" t="s">
        <v>69</v>
      </c>
      <c r="J384" s="11" t="s">
        <v>112</v>
      </c>
      <c r="K384" s="11" t="s">
        <v>113</v>
      </c>
      <c r="L384" s="11" t="s">
        <v>82</v>
      </c>
      <c r="M384" s="11" t="s">
        <v>157</v>
      </c>
      <c r="N384" s="11" t="s">
        <v>99</v>
      </c>
      <c r="O384" s="11" t="s">
        <v>100</v>
      </c>
      <c r="P384" s="11" t="s">
        <v>101</v>
      </c>
      <c r="Q384" s="13" t="n">
        <f aca="false">F384*H384</f>
        <v>18700000</v>
      </c>
      <c r="R384" s="13" t="n">
        <f aca="false">G384*H384</f>
        <v>16500000</v>
      </c>
      <c r="S384" s="13" t="n">
        <f aca="false">Q384-R384</f>
        <v>2200000</v>
      </c>
      <c r="T384" s="14" t="n">
        <f aca="false">IFERROR(S384/Q384,0)</f>
        <v>0.117647058823529</v>
      </c>
      <c r="U384" s="15" t="str">
        <f aca="false">TEXT(A384,"yyyy-mm")</f>
        <v>2022-05</v>
      </c>
    </row>
    <row r="385" customFormat="false" ht="15" hidden="false" customHeight="false" outlineLevel="0" collapsed="false">
      <c r="A385" s="10" t="n">
        <v>44694</v>
      </c>
      <c r="B385" s="11" t="s">
        <v>517</v>
      </c>
      <c r="C385" s="11" t="s">
        <v>84</v>
      </c>
      <c r="D385" s="11" t="s">
        <v>67</v>
      </c>
      <c r="E385" s="11" t="s">
        <v>85</v>
      </c>
      <c r="F385" s="12" t="n">
        <v>2600000</v>
      </c>
      <c r="G385" s="12" t="n">
        <v>2300000</v>
      </c>
      <c r="H385" s="11" t="n">
        <v>19</v>
      </c>
      <c r="I385" s="11" t="s">
        <v>69</v>
      </c>
      <c r="J385" s="11" t="s">
        <v>112</v>
      </c>
      <c r="K385" s="11" t="s">
        <v>113</v>
      </c>
      <c r="L385" s="11" t="s">
        <v>82</v>
      </c>
      <c r="M385" s="11" t="s">
        <v>157</v>
      </c>
      <c r="N385" s="11" t="s">
        <v>74</v>
      </c>
      <c r="O385" s="11" t="s">
        <v>75</v>
      </c>
      <c r="P385" s="11" t="s">
        <v>76</v>
      </c>
      <c r="Q385" s="13" t="n">
        <f aca="false">F385*H385</f>
        <v>49400000</v>
      </c>
      <c r="R385" s="13" t="n">
        <f aca="false">G385*H385</f>
        <v>43700000</v>
      </c>
      <c r="S385" s="13" t="n">
        <f aca="false">Q385-R385</f>
        <v>5700000</v>
      </c>
      <c r="T385" s="14" t="n">
        <f aca="false">IFERROR(S385/Q385,0)</f>
        <v>0.115384615384615</v>
      </c>
      <c r="U385" s="15" t="str">
        <f aca="false">TEXT(A385,"yyyy-mm")</f>
        <v>2022-05</v>
      </c>
    </row>
    <row r="386" customFormat="false" ht="15" hidden="false" customHeight="false" outlineLevel="0" collapsed="false">
      <c r="A386" s="10" t="n">
        <v>44694</v>
      </c>
      <c r="B386" s="11" t="s">
        <v>518</v>
      </c>
      <c r="C386" s="11" t="s">
        <v>92</v>
      </c>
      <c r="D386" s="11" t="s">
        <v>67</v>
      </c>
      <c r="E386" s="11" t="s">
        <v>79</v>
      </c>
      <c r="F386" s="12" t="n">
        <v>3577480</v>
      </c>
      <c r="G386" s="12" t="n">
        <v>3100000</v>
      </c>
      <c r="H386" s="11" t="n">
        <v>17</v>
      </c>
      <c r="I386" s="11" t="s">
        <v>86</v>
      </c>
      <c r="J386" s="11" t="s">
        <v>87</v>
      </c>
      <c r="K386" s="11" t="s">
        <v>88</v>
      </c>
      <c r="L386" s="11" t="s">
        <v>89</v>
      </c>
      <c r="M386" s="11" t="s">
        <v>90</v>
      </c>
      <c r="N386" s="11" t="s">
        <v>99</v>
      </c>
      <c r="O386" s="11" t="s">
        <v>100</v>
      </c>
      <c r="P386" s="11" t="s">
        <v>101</v>
      </c>
      <c r="Q386" s="13" t="n">
        <f aca="false">F386*H386</f>
        <v>60817160</v>
      </c>
      <c r="R386" s="13" t="n">
        <f aca="false">G386*H386</f>
        <v>52700000</v>
      </c>
      <c r="S386" s="13" t="n">
        <f aca="false">Q386-R386</f>
        <v>8117160</v>
      </c>
      <c r="T386" s="14" t="n">
        <f aca="false">IFERROR(S386/Q386,0)</f>
        <v>0.133468251394837</v>
      </c>
      <c r="U386" s="15" t="str">
        <f aca="false">TEXT(A386,"yyyy-mm")</f>
        <v>2022-05</v>
      </c>
    </row>
    <row r="387" customFormat="false" ht="15" hidden="false" customHeight="false" outlineLevel="0" collapsed="false">
      <c r="A387" s="10" t="n">
        <v>44694</v>
      </c>
      <c r="B387" s="11" t="s">
        <v>519</v>
      </c>
      <c r="C387" s="11" t="s">
        <v>97</v>
      </c>
      <c r="D387" s="11" t="s">
        <v>67</v>
      </c>
      <c r="E387" s="11" t="s">
        <v>98</v>
      </c>
      <c r="F387" s="12" t="n">
        <v>4969724</v>
      </c>
      <c r="G387" s="12" t="n">
        <v>4121560</v>
      </c>
      <c r="H387" s="11" t="n">
        <v>9</v>
      </c>
      <c r="I387" s="11" t="s">
        <v>69</v>
      </c>
      <c r="J387" s="11" t="s">
        <v>70</v>
      </c>
      <c r="K387" s="11" t="s">
        <v>71</v>
      </c>
      <c r="L387" s="11" t="s">
        <v>72</v>
      </c>
      <c r="M387" s="11" t="s">
        <v>73</v>
      </c>
      <c r="N387" s="11" t="s">
        <v>173</v>
      </c>
      <c r="O387" s="11" t="s">
        <v>174</v>
      </c>
      <c r="P387" s="11" t="s">
        <v>95</v>
      </c>
      <c r="Q387" s="13" t="n">
        <f aca="false">F387*H387</f>
        <v>44727516</v>
      </c>
      <c r="R387" s="13" t="n">
        <f aca="false">G387*H387</f>
        <v>37094040</v>
      </c>
      <c r="S387" s="13" t="n">
        <f aca="false">Q387-R387</f>
        <v>7633476</v>
      </c>
      <c r="T387" s="14" t="n">
        <f aca="false">IFERROR(S387/Q387,0)</f>
        <v>0.170666218083741</v>
      </c>
      <c r="U387" s="15" t="str">
        <f aca="false">TEXT(A387,"yyyy-mm")</f>
        <v>2022-05</v>
      </c>
    </row>
    <row r="388" customFormat="false" ht="15" hidden="false" customHeight="false" outlineLevel="0" collapsed="false">
      <c r="A388" s="10" t="n">
        <v>44695</v>
      </c>
      <c r="B388" s="11" t="s">
        <v>520</v>
      </c>
      <c r="C388" s="11" t="s">
        <v>103</v>
      </c>
      <c r="D388" s="11" t="s">
        <v>67</v>
      </c>
      <c r="E388" s="11" t="s">
        <v>68</v>
      </c>
      <c r="F388" s="12" t="n">
        <v>3319925</v>
      </c>
      <c r="G388" s="12" t="n">
        <v>2800000</v>
      </c>
      <c r="H388" s="11" t="n">
        <v>6</v>
      </c>
      <c r="I388" s="11" t="s">
        <v>69</v>
      </c>
      <c r="J388" s="11" t="s">
        <v>80</v>
      </c>
      <c r="K388" s="11" t="s">
        <v>81</v>
      </c>
      <c r="L388" s="11" t="s">
        <v>82</v>
      </c>
      <c r="M388" s="11" t="s">
        <v>73</v>
      </c>
      <c r="N388" s="11" t="s">
        <v>104</v>
      </c>
      <c r="O388" s="11" t="s">
        <v>105</v>
      </c>
      <c r="P388" s="11" t="s">
        <v>106</v>
      </c>
      <c r="Q388" s="13" t="n">
        <f aca="false">F388*H388</f>
        <v>19919550</v>
      </c>
      <c r="R388" s="13" t="n">
        <f aca="false">G388*H388</f>
        <v>16800000</v>
      </c>
      <c r="S388" s="13" t="n">
        <f aca="false">Q388-R388</f>
        <v>3119550</v>
      </c>
      <c r="T388" s="14" t="n">
        <f aca="false">IFERROR(S388/Q388,0)</f>
        <v>0.15660745348163</v>
      </c>
      <c r="U388" s="15" t="str">
        <f aca="false">TEXT(A388,"yyyy-mm")</f>
        <v>2022-05</v>
      </c>
    </row>
    <row r="389" customFormat="false" ht="15" hidden="false" customHeight="false" outlineLevel="0" collapsed="false">
      <c r="A389" s="10" t="n">
        <v>44695</v>
      </c>
      <c r="B389" s="11" t="s">
        <v>521</v>
      </c>
      <c r="C389" s="11" t="s">
        <v>108</v>
      </c>
      <c r="D389" s="11" t="s">
        <v>67</v>
      </c>
      <c r="E389" s="11" t="s">
        <v>68</v>
      </c>
      <c r="F389" s="12" t="n">
        <v>4757880</v>
      </c>
      <c r="G389" s="12" t="n">
        <v>3450000</v>
      </c>
      <c r="H389" s="11" t="n">
        <v>9</v>
      </c>
      <c r="I389" s="11" t="s">
        <v>69</v>
      </c>
      <c r="J389" s="11" t="s">
        <v>80</v>
      </c>
      <c r="K389" s="11" t="s">
        <v>81</v>
      </c>
      <c r="L389" s="11" t="s">
        <v>82</v>
      </c>
      <c r="M389" s="11" t="s">
        <v>73</v>
      </c>
      <c r="N389" s="11" t="s">
        <v>104</v>
      </c>
      <c r="O389" s="11" t="s">
        <v>105</v>
      </c>
      <c r="P389" s="11" t="s">
        <v>106</v>
      </c>
      <c r="Q389" s="13" t="n">
        <f aca="false">F389*H389</f>
        <v>42820920</v>
      </c>
      <c r="R389" s="13" t="n">
        <f aca="false">G389*H389</f>
        <v>31050000</v>
      </c>
      <c r="S389" s="13" t="n">
        <f aca="false">Q389-R389</f>
        <v>11770920</v>
      </c>
      <c r="T389" s="14" t="n">
        <f aca="false">IFERROR(S389/Q389,0)</f>
        <v>0.274887134606169</v>
      </c>
      <c r="U389" s="15" t="str">
        <f aca="false">TEXT(A389,"yyyy-mm")</f>
        <v>2022-05</v>
      </c>
    </row>
    <row r="390" customFormat="false" ht="15" hidden="false" customHeight="false" outlineLevel="0" collapsed="false">
      <c r="A390" s="10" t="n">
        <v>44695</v>
      </c>
      <c r="B390" s="11" t="s">
        <v>522</v>
      </c>
      <c r="C390" s="11" t="s">
        <v>111</v>
      </c>
      <c r="D390" s="11" t="s">
        <v>67</v>
      </c>
      <c r="E390" s="11" t="s">
        <v>79</v>
      </c>
      <c r="F390" s="12" t="n">
        <v>3545808</v>
      </c>
      <c r="G390" s="12" t="n">
        <v>3350000</v>
      </c>
      <c r="H390" s="11" t="n">
        <v>20</v>
      </c>
      <c r="I390" s="11" t="s">
        <v>69</v>
      </c>
      <c r="J390" s="11" t="s">
        <v>112</v>
      </c>
      <c r="K390" s="11" t="s">
        <v>113</v>
      </c>
      <c r="L390" s="11" t="s">
        <v>82</v>
      </c>
      <c r="M390" s="11" t="s">
        <v>157</v>
      </c>
      <c r="N390" s="11" t="s">
        <v>99</v>
      </c>
      <c r="O390" s="11" t="s">
        <v>100</v>
      </c>
      <c r="P390" s="11" t="s">
        <v>101</v>
      </c>
      <c r="Q390" s="13" t="n">
        <f aca="false">F390*H390</f>
        <v>70916160</v>
      </c>
      <c r="R390" s="13" t="n">
        <f aca="false">G390*H390</f>
        <v>67000000</v>
      </c>
      <c r="S390" s="13" t="n">
        <f aca="false">Q390-R390</f>
        <v>3916160</v>
      </c>
      <c r="T390" s="14" t="n">
        <f aca="false">IFERROR(S390/Q390,0)</f>
        <v>0.0552223921881839</v>
      </c>
      <c r="U390" s="15" t="str">
        <f aca="false">TEXT(A390,"yyyy-mm")</f>
        <v>2022-05</v>
      </c>
    </row>
    <row r="391" customFormat="false" ht="15" hidden="false" customHeight="false" outlineLevel="0" collapsed="false">
      <c r="A391" s="10" t="n">
        <v>44695</v>
      </c>
      <c r="B391" s="11" t="s">
        <v>523</v>
      </c>
      <c r="C391" s="11" t="s">
        <v>115</v>
      </c>
      <c r="D391" s="11" t="s">
        <v>67</v>
      </c>
      <c r="E391" s="11" t="s">
        <v>98</v>
      </c>
      <c r="F391" s="12" t="n">
        <v>4200743</v>
      </c>
      <c r="G391" s="12" t="n">
        <v>4101000</v>
      </c>
      <c r="H391" s="11" t="n">
        <v>9</v>
      </c>
      <c r="I391" s="11" t="s">
        <v>69</v>
      </c>
      <c r="J391" s="11" t="s">
        <v>70</v>
      </c>
      <c r="K391" s="11" t="s">
        <v>71</v>
      </c>
      <c r="L391" s="11" t="s">
        <v>72</v>
      </c>
      <c r="M391" s="11" t="s">
        <v>73</v>
      </c>
      <c r="N391" s="11" t="s">
        <v>143</v>
      </c>
      <c r="O391" s="11" t="s">
        <v>144</v>
      </c>
      <c r="P391" s="11" t="s">
        <v>101</v>
      </c>
      <c r="Q391" s="13" t="n">
        <f aca="false">F391*H391</f>
        <v>37806687</v>
      </c>
      <c r="R391" s="13" t="n">
        <f aca="false">G391*H391</f>
        <v>36909000</v>
      </c>
      <c r="S391" s="13" t="n">
        <f aca="false">Q391-R391</f>
        <v>897687</v>
      </c>
      <c r="T391" s="14" t="n">
        <f aca="false">IFERROR(S391/Q391,0)</f>
        <v>0.023744132883159</v>
      </c>
      <c r="U391" s="15" t="str">
        <f aca="false">TEXT(A391,"yyyy-mm")</f>
        <v>2022-05</v>
      </c>
    </row>
    <row r="392" customFormat="false" ht="15" hidden="false" customHeight="false" outlineLevel="0" collapsed="false">
      <c r="A392" s="10" t="n">
        <v>44695</v>
      </c>
      <c r="B392" s="11" t="s">
        <v>524</v>
      </c>
      <c r="C392" s="11" t="s">
        <v>117</v>
      </c>
      <c r="D392" s="11" t="s">
        <v>118</v>
      </c>
      <c r="E392" s="11" t="s">
        <v>119</v>
      </c>
      <c r="F392" s="12" t="n">
        <v>8220549</v>
      </c>
      <c r="G392" s="12" t="n">
        <v>6500000</v>
      </c>
      <c r="H392" s="11" t="n">
        <v>9</v>
      </c>
      <c r="I392" s="11" t="s">
        <v>69</v>
      </c>
      <c r="J392" s="11" t="s">
        <v>80</v>
      </c>
      <c r="K392" s="11" t="s">
        <v>81</v>
      </c>
      <c r="L392" s="11" t="s">
        <v>82</v>
      </c>
      <c r="M392" s="11" t="s">
        <v>73</v>
      </c>
      <c r="N392" s="11" t="s">
        <v>123</v>
      </c>
      <c r="O392" s="11" t="s">
        <v>60</v>
      </c>
      <c r="P392" s="11" t="s">
        <v>106</v>
      </c>
      <c r="Q392" s="13" t="n">
        <f aca="false">F392*H392</f>
        <v>73984941</v>
      </c>
      <c r="R392" s="13" t="n">
        <f aca="false">G392*H392</f>
        <v>58500000</v>
      </c>
      <c r="S392" s="13" t="n">
        <f aca="false">Q392-R392</f>
        <v>15484941</v>
      </c>
      <c r="T392" s="14" t="n">
        <f aca="false">IFERROR(S392/Q392,0)</f>
        <v>0.209298551714733</v>
      </c>
      <c r="U392" s="15" t="str">
        <f aca="false">TEXT(A392,"yyyy-mm")</f>
        <v>2022-05</v>
      </c>
    </row>
    <row r="393" customFormat="false" ht="15" hidden="false" customHeight="false" outlineLevel="0" collapsed="false">
      <c r="A393" s="10" t="n">
        <v>44696</v>
      </c>
      <c r="B393" s="11" t="s">
        <v>525</v>
      </c>
      <c r="C393" s="11" t="s">
        <v>121</v>
      </c>
      <c r="D393" s="11" t="s">
        <v>118</v>
      </c>
      <c r="E393" s="11" t="s">
        <v>122</v>
      </c>
      <c r="F393" s="12" t="n">
        <v>7687274</v>
      </c>
      <c r="G393" s="12" t="n">
        <v>6500000</v>
      </c>
      <c r="H393" s="11" t="n">
        <v>20</v>
      </c>
      <c r="I393" s="11" t="s">
        <v>86</v>
      </c>
      <c r="J393" s="11" t="s">
        <v>87</v>
      </c>
      <c r="K393" s="11" t="s">
        <v>88</v>
      </c>
      <c r="L393" s="11" t="s">
        <v>89</v>
      </c>
      <c r="M393" s="11" t="s">
        <v>90</v>
      </c>
      <c r="N393" s="11" t="s">
        <v>93</v>
      </c>
      <c r="O393" s="11" t="s">
        <v>94</v>
      </c>
      <c r="P393" s="11" t="s">
        <v>95</v>
      </c>
      <c r="Q393" s="13" t="n">
        <f aca="false">F393*H393</f>
        <v>153745480</v>
      </c>
      <c r="R393" s="13" t="n">
        <f aca="false">G393*H393</f>
        <v>130000000</v>
      </c>
      <c r="S393" s="13" t="n">
        <f aca="false">Q393-R393</f>
        <v>23745480</v>
      </c>
      <c r="T393" s="14" t="n">
        <f aca="false">IFERROR(S393/Q393,0)</f>
        <v>0.154446686822923</v>
      </c>
      <c r="U393" s="15" t="str">
        <f aca="false">TEXT(A393,"yyyy-mm")</f>
        <v>2022-05</v>
      </c>
    </row>
    <row r="394" customFormat="false" ht="15" hidden="false" customHeight="false" outlineLevel="0" collapsed="false">
      <c r="A394" s="10" t="n">
        <v>44696</v>
      </c>
      <c r="B394" s="11" t="s">
        <v>526</v>
      </c>
      <c r="C394" s="11" t="s">
        <v>125</v>
      </c>
      <c r="D394" s="11" t="s">
        <v>118</v>
      </c>
      <c r="E394" s="11" t="s">
        <v>126</v>
      </c>
      <c r="F394" s="12" t="n">
        <v>5684211</v>
      </c>
      <c r="G394" s="12" t="n">
        <v>4300000</v>
      </c>
      <c r="H394" s="11" t="n">
        <v>3</v>
      </c>
      <c r="I394" s="11" t="s">
        <v>69</v>
      </c>
      <c r="J394" s="11" t="s">
        <v>70</v>
      </c>
      <c r="K394" s="11" t="s">
        <v>71</v>
      </c>
      <c r="L394" s="11" t="s">
        <v>72</v>
      </c>
      <c r="M394" s="11" t="s">
        <v>73</v>
      </c>
      <c r="N394" s="11" t="s">
        <v>99</v>
      </c>
      <c r="O394" s="11" t="s">
        <v>100</v>
      </c>
      <c r="P394" s="11" t="s">
        <v>101</v>
      </c>
      <c r="Q394" s="13" t="n">
        <f aca="false">F394*H394</f>
        <v>17052633</v>
      </c>
      <c r="R394" s="13" t="n">
        <f aca="false">G394*H394</f>
        <v>12900000</v>
      </c>
      <c r="S394" s="13" t="n">
        <f aca="false">Q394-R394</f>
        <v>4152633</v>
      </c>
      <c r="T394" s="14" t="n">
        <f aca="false">IFERROR(S394/Q394,0)</f>
        <v>0.243518581558637</v>
      </c>
      <c r="U394" s="15" t="str">
        <f aca="false">TEXT(A394,"yyyy-mm")</f>
        <v>2022-05</v>
      </c>
    </row>
    <row r="395" customFormat="false" ht="15" hidden="false" customHeight="false" outlineLevel="0" collapsed="false">
      <c r="A395" s="10" t="n">
        <v>44696</v>
      </c>
      <c r="B395" s="11" t="s">
        <v>527</v>
      </c>
      <c r="C395" s="11" t="s">
        <v>128</v>
      </c>
      <c r="D395" s="11" t="s">
        <v>118</v>
      </c>
      <c r="E395" s="11" t="s">
        <v>119</v>
      </c>
      <c r="F395" s="12" t="n">
        <v>3370302</v>
      </c>
      <c r="G395" s="12" t="n">
        <v>2100000</v>
      </c>
      <c r="H395" s="11" t="n">
        <v>25</v>
      </c>
      <c r="I395" s="11" t="s">
        <v>86</v>
      </c>
      <c r="J395" s="11" t="s">
        <v>87</v>
      </c>
      <c r="K395" s="11" t="s">
        <v>88</v>
      </c>
      <c r="L395" s="11" t="s">
        <v>89</v>
      </c>
      <c r="M395" s="11" t="s">
        <v>90</v>
      </c>
      <c r="N395" s="11" t="s">
        <v>74</v>
      </c>
      <c r="O395" s="11" t="s">
        <v>75</v>
      </c>
      <c r="P395" s="11" t="s">
        <v>76</v>
      </c>
      <c r="Q395" s="13" t="n">
        <f aca="false">F395*H395</f>
        <v>84257550</v>
      </c>
      <c r="R395" s="13" t="n">
        <f aca="false">G395*H395</f>
        <v>52500000</v>
      </c>
      <c r="S395" s="13" t="n">
        <f aca="false">Q395-R395</f>
        <v>31757550</v>
      </c>
      <c r="T395" s="14" t="n">
        <f aca="false">IFERROR(S395/Q395,0)</f>
        <v>0.37691043710623</v>
      </c>
      <c r="U395" s="15" t="str">
        <f aca="false">TEXT(A395,"yyyy-mm")</f>
        <v>2022-05</v>
      </c>
    </row>
    <row r="396" customFormat="false" ht="15" hidden="false" customHeight="false" outlineLevel="0" collapsed="false">
      <c r="A396" s="10" t="n">
        <v>44696</v>
      </c>
      <c r="B396" s="11" t="s">
        <v>528</v>
      </c>
      <c r="C396" s="11" t="s">
        <v>130</v>
      </c>
      <c r="D396" s="11" t="s">
        <v>118</v>
      </c>
      <c r="E396" s="11" t="s">
        <v>68</v>
      </c>
      <c r="F396" s="12" t="n">
        <v>2852897</v>
      </c>
      <c r="G396" s="12" t="n">
        <v>2450000</v>
      </c>
      <c r="H396" s="11" t="n">
        <v>1</v>
      </c>
      <c r="I396" s="11" t="s">
        <v>69</v>
      </c>
      <c r="J396" s="11" t="s">
        <v>80</v>
      </c>
      <c r="K396" s="11" t="s">
        <v>81</v>
      </c>
      <c r="L396" s="11" t="s">
        <v>82</v>
      </c>
      <c r="M396" s="11" t="s">
        <v>73</v>
      </c>
      <c r="N396" s="11" t="s">
        <v>99</v>
      </c>
      <c r="O396" s="11" t="s">
        <v>100</v>
      </c>
      <c r="P396" s="11" t="s">
        <v>101</v>
      </c>
      <c r="Q396" s="13" t="n">
        <f aca="false">F396*H396</f>
        <v>2852897</v>
      </c>
      <c r="R396" s="13" t="n">
        <f aca="false">G396*H396</f>
        <v>2450000</v>
      </c>
      <c r="S396" s="13" t="n">
        <f aca="false">Q396-R396</f>
        <v>402897</v>
      </c>
      <c r="T396" s="14" t="n">
        <f aca="false">IFERROR(S396/Q396,0)</f>
        <v>0.141223815651249</v>
      </c>
      <c r="U396" s="15" t="str">
        <f aca="false">TEXT(A396,"yyyy-mm")</f>
        <v>2022-05</v>
      </c>
    </row>
    <row r="397" customFormat="false" ht="15" hidden="false" customHeight="false" outlineLevel="0" collapsed="false">
      <c r="A397" s="10" t="n">
        <v>44697</v>
      </c>
      <c r="B397" s="11" t="s">
        <v>529</v>
      </c>
      <c r="C397" s="11" t="s">
        <v>132</v>
      </c>
      <c r="D397" s="11" t="s">
        <v>118</v>
      </c>
      <c r="E397" s="11" t="s">
        <v>68</v>
      </c>
      <c r="F397" s="12" t="n">
        <v>4803603</v>
      </c>
      <c r="G397" s="12" t="n">
        <v>4121000</v>
      </c>
      <c r="H397" s="11" t="n">
        <v>18</v>
      </c>
      <c r="I397" s="11" t="s">
        <v>69</v>
      </c>
      <c r="J397" s="11" t="s">
        <v>112</v>
      </c>
      <c r="K397" s="11" t="s">
        <v>113</v>
      </c>
      <c r="L397" s="11" t="s">
        <v>82</v>
      </c>
      <c r="M397" s="11" t="s">
        <v>157</v>
      </c>
      <c r="N397" s="11" t="s">
        <v>109</v>
      </c>
      <c r="O397" s="11" t="s">
        <v>75</v>
      </c>
      <c r="P397" s="11" t="s">
        <v>95</v>
      </c>
      <c r="Q397" s="13" t="n">
        <f aca="false">F397*H397</f>
        <v>86464854</v>
      </c>
      <c r="R397" s="13" t="n">
        <f aca="false">G397*H397</f>
        <v>74178000</v>
      </c>
      <c r="S397" s="13" t="n">
        <f aca="false">Q397-R397</f>
        <v>12286854</v>
      </c>
      <c r="T397" s="14" t="n">
        <f aca="false">IFERROR(S397/Q397,0)</f>
        <v>0.142102292799801</v>
      </c>
      <c r="U397" s="15" t="str">
        <f aca="false">TEXT(A397,"yyyy-mm")</f>
        <v>2022-05</v>
      </c>
    </row>
    <row r="398" customFormat="false" ht="15" hidden="false" customHeight="false" outlineLevel="0" collapsed="false">
      <c r="A398" s="10" t="n">
        <v>44697</v>
      </c>
      <c r="B398" s="11" t="s">
        <v>530</v>
      </c>
      <c r="C398" s="11" t="s">
        <v>135</v>
      </c>
      <c r="D398" s="11" t="s">
        <v>118</v>
      </c>
      <c r="E398" s="11" t="s">
        <v>68</v>
      </c>
      <c r="F398" s="12" t="n">
        <v>5689947</v>
      </c>
      <c r="G398" s="12" t="n">
        <v>5235000</v>
      </c>
      <c r="H398" s="11" t="n">
        <v>14</v>
      </c>
      <c r="I398" s="11" t="s">
        <v>69</v>
      </c>
      <c r="J398" s="11" t="s">
        <v>70</v>
      </c>
      <c r="K398" s="11" t="s">
        <v>71</v>
      </c>
      <c r="L398" s="11" t="s">
        <v>72</v>
      </c>
      <c r="M398" s="11" t="s">
        <v>73</v>
      </c>
      <c r="N398" s="11" t="s">
        <v>149</v>
      </c>
      <c r="O398" s="11" t="s">
        <v>150</v>
      </c>
      <c r="P398" s="11" t="s">
        <v>151</v>
      </c>
      <c r="Q398" s="13" t="n">
        <f aca="false">F398*H398</f>
        <v>79659258</v>
      </c>
      <c r="R398" s="13" t="n">
        <f aca="false">G398*H398</f>
        <v>73290000</v>
      </c>
      <c r="S398" s="13" t="n">
        <f aca="false">Q398-R398</f>
        <v>6369258</v>
      </c>
      <c r="T398" s="14" t="n">
        <f aca="false">IFERROR(S398/Q398,0)</f>
        <v>0.0799562807878527</v>
      </c>
      <c r="U398" s="15" t="str">
        <f aca="false">TEXT(A398,"yyyy-mm")</f>
        <v>2022-05</v>
      </c>
    </row>
    <row r="399" customFormat="false" ht="15" hidden="false" customHeight="false" outlineLevel="0" collapsed="false">
      <c r="A399" s="10" t="n">
        <v>44697</v>
      </c>
      <c r="B399" s="11" t="s">
        <v>531</v>
      </c>
      <c r="C399" s="11" t="s">
        <v>137</v>
      </c>
      <c r="D399" s="11" t="s">
        <v>138</v>
      </c>
      <c r="E399" s="11" t="s">
        <v>139</v>
      </c>
      <c r="F399" s="12" t="n">
        <v>5171827</v>
      </c>
      <c r="G399" s="12" t="n">
        <v>4890000</v>
      </c>
      <c r="H399" s="11" t="n">
        <v>5</v>
      </c>
      <c r="I399" s="11" t="s">
        <v>86</v>
      </c>
      <c r="J399" s="11" t="s">
        <v>87</v>
      </c>
      <c r="K399" s="11" t="s">
        <v>88</v>
      </c>
      <c r="L399" s="11" t="s">
        <v>89</v>
      </c>
      <c r="M399" s="11" t="s">
        <v>90</v>
      </c>
      <c r="N399" s="11" t="s">
        <v>93</v>
      </c>
      <c r="O399" s="11" t="s">
        <v>94</v>
      </c>
      <c r="P399" s="11" t="s">
        <v>95</v>
      </c>
      <c r="Q399" s="13" t="n">
        <f aca="false">F399*H399</f>
        <v>25859135</v>
      </c>
      <c r="R399" s="13" t="n">
        <f aca="false">G399*H399</f>
        <v>24450000</v>
      </c>
      <c r="S399" s="13" t="n">
        <f aca="false">Q399-R399</f>
        <v>1409135</v>
      </c>
      <c r="T399" s="14" t="n">
        <f aca="false">IFERROR(S399/Q399,0)</f>
        <v>0.0544927353525166</v>
      </c>
      <c r="U399" s="15" t="str">
        <f aca="false">TEXT(A399,"yyyy-mm")</f>
        <v>2022-05</v>
      </c>
    </row>
    <row r="400" customFormat="false" ht="15" hidden="false" customHeight="false" outlineLevel="0" collapsed="false">
      <c r="A400" s="10" t="n">
        <v>44698</v>
      </c>
      <c r="B400" s="11" t="s">
        <v>532</v>
      </c>
      <c r="C400" s="11" t="s">
        <v>141</v>
      </c>
      <c r="D400" s="11" t="s">
        <v>138</v>
      </c>
      <c r="E400" s="11" t="s">
        <v>142</v>
      </c>
      <c r="F400" s="12" t="n">
        <v>2805124</v>
      </c>
      <c r="G400" s="12" t="n">
        <v>2178000</v>
      </c>
      <c r="H400" s="11" t="n">
        <v>22</v>
      </c>
      <c r="I400" s="11" t="s">
        <v>69</v>
      </c>
      <c r="J400" s="11" t="s">
        <v>80</v>
      </c>
      <c r="K400" s="11" t="s">
        <v>81</v>
      </c>
      <c r="L400" s="11" t="s">
        <v>82</v>
      </c>
      <c r="M400" s="11" t="s">
        <v>73</v>
      </c>
      <c r="N400" s="11" t="s">
        <v>149</v>
      </c>
      <c r="O400" s="11" t="s">
        <v>150</v>
      </c>
      <c r="P400" s="11" t="s">
        <v>151</v>
      </c>
      <c r="Q400" s="13" t="n">
        <f aca="false">F400*H400</f>
        <v>61712728</v>
      </c>
      <c r="R400" s="13" t="n">
        <f aca="false">G400*H400</f>
        <v>47916000</v>
      </c>
      <c r="S400" s="13" t="n">
        <f aca="false">Q400-R400</f>
        <v>13796728</v>
      </c>
      <c r="T400" s="14" t="n">
        <f aca="false">IFERROR(S400/Q400,0)</f>
        <v>0.22356373550688</v>
      </c>
      <c r="U400" s="15" t="str">
        <f aca="false">TEXT(A400,"yyyy-mm")</f>
        <v>2022-05</v>
      </c>
    </row>
    <row r="401" customFormat="false" ht="15" hidden="false" customHeight="false" outlineLevel="0" collapsed="false">
      <c r="A401" s="10" t="n">
        <v>44698</v>
      </c>
      <c r="B401" s="11" t="s">
        <v>533</v>
      </c>
      <c r="C401" s="11" t="s">
        <v>146</v>
      </c>
      <c r="D401" s="11" t="s">
        <v>138</v>
      </c>
      <c r="E401" s="11" t="s">
        <v>139</v>
      </c>
      <c r="F401" s="12" t="n">
        <v>2728100</v>
      </c>
      <c r="G401" s="12" t="n">
        <v>2321000</v>
      </c>
      <c r="H401" s="11" t="n">
        <v>30</v>
      </c>
      <c r="I401" s="11" t="s">
        <v>86</v>
      </c>
      <c r="J401" s="11" t="s">
        <v>87</v>
      </c>
      <c r="K401" s="11" t="s">
        <v>88</v>
      </c>
      <c r="L401" s="11" t="s">
        <v>89</v>
      </c>
      <c r="M401" s="11" t="s">
        <v>90</v>
      </c>
      <c r="N401" s="11" t="s">
        <v>133</v>
      </c>
      <c r="O401" s="11" t="s">
        <v>60</v>
      </c>
      <c r="P401" s="11" t="s">
        <v>76</v>
      </c>
      <c r="Q401" s="13" t="n">
        <f aca="false">F401*H401</f>
        <v>81843000</v>
      </c>
      <c r="R401" s="13" t="n">
        <f aca="false">G401*H401</f>
        <v>69630000</v>
      </c>
      <c r="S401" s="13" t="n">
        <f aca="false">Q401-R401</f>
        <v>12213000</v>
      </c>
      <c r="T401" s="14" t="n">
        <f aca="false">IFERROR(S401/Q401,0)</f>
        <v>0.149224735163667</v>
      </c>
      <c r="U401" s="15" t="str">
        <f aca="false">TEXT(A401,"yyyy-mm")</f>
        <v>2022-05</v>
      </c>
    </row>
    <row r="402" customFormat="false" ht="15" hidden="false" customHeight="false" outlineLevel="0" collapsed="false">
      <c r="A402" s="10" t="n">
        <v>44698</v>
      </c>
      <c r="B402" s="11" t="s">
        <v>534</v>
      </c>
      <c r="C402" s="11" t="s">
        <v>148</v>
      </c>
      <c r="D402" s="11" t="s">
        <v>138</v>
      </c>
      <c r="E402" s="11" t="s">
        <v>122</v>
      </c>
      <c r="F402" s="12" t="n">
        <v>4941716</v>
      </c>
      <c r="G402" s="12" t="n">
        <v>4456000</v>
      </c>
      <c r="H402" s="11" t="n">
        <v>24</v>
      </c>
      <c r="I402" s="11" t="s">
        <v>69</v>
      </c>
      <c r="J402" s="11" t="s">
        <v>70</v>
      </c>
      <c r="K402" s="11" t="s">
        <v>71</v>
      </c>
      <c r="L402" s="11" t="s">
        <v>72</v>
      </c>
      <c r="M402" s="11" t="s">
        <v>73</v>
      </c>
      <c r="N402" s="11" t="s">
        <v>104</v>
      </c>
      <c r="O402" s="11" t="s">
        <v>105</v>
      </c>
      <c r="P402" s="11" t="s">
        <v>106</v>
      </c>
      <c r="Q402" s="13" t="n">
        <f aca="false">F402*H402</f>
        <v>118601184</v>
      </c>
      <c r="R402" s="13" t="n">
        <f aca="false">G402*H402</f>
        <v>106944000</v>
      </c>
      <c r="S402" s="13" t="n">
        <f aca="false">Q402-R402</f>
        <v>11657184</v>
      </c>
      <c r="T402" s="14" t="n">
        <f aca="false">IFERROR(S402/Q402,0)</f>
        <v>0.0982889344511097</v>
      </c>
      <c r="U402" s="15" t="str">
        <f aca="false">TEXT(A402,"yyyy-mm")</f>
        <v>2022-05</v>
      </c>
    </row>
    <row r="403" customFormat="false" ht="15" hidden="false" customHeight="false" outlineLevel="0" collapsed="false">
      <c r="A403" s="10" t="n">
        <v>44698</v>
      </c>
      <c r="B403" s="11" t="s">
        <v>535</v>
      </c>
      <c r="C403" s="11" t="s">
        <v>66</v>
      </c>
      <c r="D403" s="11" t="s">
        <v>67</v>
      </c>
      <c r="E403" s="11" t="s">
        <v>68</v>
      </c>
      <c r="F403" s="12" t="n">
        <v>3048952</v>
      </c>
      <c r="G403" s="12" t="n">
        <v>2560000</v>
      </c>
      <c r="H403" s="11" t="n">
        <v>1</v>
      </c>
      <c r="I403" s="11" t="s">
        <v>69</v>
      </c>
      <c r="J403" s="11" t="s">
        <v>80</v>
      </c>
      <c r="K403" s="11" t="s">
        <v>81</v>
      </c>
      <c r="L403" s="11" t="s">
        <v>82</v>
      </c>
      <c r="M403" s="11" t="s">
        <v>73</v>
      </c>
      <c r="N403" s="11" t="s">
        <v>133</v>
      </c>
      <c r="O403" s="11" t="s">
        <v>60</v>
      </c>
      <c r="P403" s="11" t="s">
        <v>76</v>
      </c>
      <c r="Q403" s="13" t="n">
        <f aca="false">F403*H403</f>
        <v>3048952</v>
      </c>
      <c r="R403" s="13" t="n">
        <f aca="false">G403*H403</f>
        <v>2560000</v>
      </c>
      <c r="S403" s="13" t="n">
        <f aca="false">Q403-R403</f>
        <v>488952</v>
      </c>
      <c r="T403" s="14" t="n">
        <f aca="false">IFERROR(S403/Q403,0)</f>
        <v>0.160367234380863</v>
      </c>
      <c r="U403" s="15" t="str">
        <f aca="false">TEXT(A403,"yyyy-mm")</f>
        <v>2022-05</v>
      </c>
    </row>
    <row r="404" customFormat="false" ht="15" hidden="false" customHeight="false" outlineLevel="0" collapsed="false">
      <c r="A404" s="10" t="n">
        <v>44699</v>
      </c>
      <c r="B404" s="11" t="s">
        <v>536</v>
      </c>
      <c r="C404" s="11" t="s">
        <v>78</v>
      </c>
      <c r="D404" s="11" t="s">
        <v>67</v>
      </c>
      <c r="E404" s="11" t="s">
        <v>79</v>
      </c>
      <c r="F404" s="12" t="n">
        <v>1870000</v>
      </c>
      <c r="G404" s="12" t="n">
        <v>1650000</v>
      </c>
      <c r="H404" s="11" t="n">
        <v>14</v>
      </c>
      <c r="I404" s="11" t="s">
        <v>69</v>
      </c>
      <c r="J404" s="11" t="s">
        <v>112</v>
      </c>
      <c r="K404" s="11" t="s">
        <v>113</v>
      </c>
      <c r="L404" s="11" t="s">
        <v>82</v>
      </c>
      <c r="M404" s="11" t="s">
        <v>157</v>
      </c>
      <c r="N404" s="11" t="s">
        <v>173</v>
      </c>
      <c r="O404" s="11" t="s">
        <v>174</v>
      </c>
      <c r="P404" s="11" t="s">
        <v>95</v>
      </c>
      <c r="Q404" s="13" t="n">
        <f aca="false">F404*H404</f>
        <v>26180000</v>
      </c>
      <c r="R404" s="13" t="n">
        <f aca="false">G404*H404</f>
        <v>23100000</v>
      </c>
      <c r="S404" s="13" t="n">
        <f aca="false">Q404-R404</f>
        <v>3080000</v>
      </c>
      <c r="T404" s="14" t="n">
        <f aca="false">IFERROR(S404/Q404,0)</f>
        <v>0.117647058823529</v>
      </c>
      <c r="U404" s="15" t="str">
        <f aca="false">TEXT(A404,"yyyy-mm")</f>
        <v>2022-05</v>
      </c>
    </row>
    <row r="405" customFormat="false" ht="15" hidden="false" customHeight="false" outlineLevel="0" collapsed="false">
      <c r="A405" s="10" t="n">
        <v>44699</v>
      </c>
      <c r="B405" s="11" t="s">
        <v>537</v>
      </c>
      <c r="C405" s="11" t="s">
        <v>84</v>
      </c>
      <c r="D405" s="11" t="s">
        <v>67</v>
      </c>
      <c r="E405" s="11" t="s">
        <v>85</v>
      </c>
      <c r="F405" s="12" t="n">
        <v>2600000</v>
      </c>
      <c r="G405" s="12" t="n">
        <v>2300000</v>
      </c>
      <c r="H405" s="11" t="n">
        <v>2</v>
      </c>
      <c r="I405" s="11" t="s">
        <v>69</v>
      </c>
      <c r="J405" s="11" t="s">
        <v>80</v>
      </c>
      <c r="K405" s="11" t="s">
        <v>81</v>
      </c>
      <c r="L405" s="11" t="s">
        <v>82</v>
      </c>
      <c r="M405" s="11" t="s">
        <v>73</v>
      </c>
      <c r="N405" s="11" t="s">
        <v>99</v>
      </c>
      <c r="O405" s="11" t="s">
        <v>100</v>
      </c>
      <c r="P405" s="11" t="s">
        <v>101</v>
      </c>
      <c r="Q405" s="13" t="n">
        <f aca="false">F405*H405</f>
        <v>5200000</v>
      </c>
      <c r="R405" s="13" t="n">
        <f aca="false">G405*H405</f>
        <v>4600000</v>
      </c>
      <c r="S405" s="13" t="n">
        <f aca="false">Q405-R405</f>
        <v>600000</v>
      </c>
      <c r="T405" s="14" t="n">
        <f aca="false">IFERROR(S405/Q405,0)</f>
        <v>0.115384615384615</v>
      </c>
      <c r="U405" s="15" t="str">
        <f aca="false">TEXT(A405,"yyyy-mm")</f>
        <v>2022-05</v>
      </c>
    </row>
    <row r="406" customFormat="false" ht="15" hidden="false" customHeight="false" outlineLevel="0" collapsed="false">
      <c r="A406" s="10" t="n">
        <v>44699</v>
      </c>
      <c r="B406" s="11" t="s">
        <v>538</v>
      </c>
      <c r="C406" s="11" t="s">
        <v>92</v>
      </c>
      <c r="D406" s="11" t="s">
        <v>67</v>
      </c>
      <c r="E406" s="11" t="s">
        <v>79</v>
      </c>
      <c r="F406" s="12" t="n">
        <v>3577480</v>
      </c>
      <c r="G406" s="12" t="n">
        <v>3100000</v>
      </c>
      <c r="H406" s="11" t="n">
        <v>28</v>
      </c>
      <c r="I406" s="11" t="s">
        <v>69</v>
      </c>
      <c r="J406" s="11" t="s">
        <v>112</v>
      </c>
      <c r="K406" s="11" t="s">
        <v>113</v>
      </c>
      <c r="L406" s="11" t="s">
        <v>82</v>
      </c>
      <c r="M406" s="11" t="s">
        <v>157</v>
      </c>
      <c r="N406" s="11" t="s">
        <v>99</v>
      </c>
      <c r="O406" s="11" t="s">
        <v>100</v>
      </c>
      <c r="P406" s="11" t="s">
        <v>101</v>
      </c>
      <c r="Q406" s="13" t="n">
        <f aca="false">F406*H406</f>
        <v>100169440</v>
      </c>
      <c r="R406" s="13" t="n">
        <f aca="false">G406*H406</f>
        <v>86800000</v>
      </c>
      <c r="S406" s="13" t="n">
        <f aca="false">Q406-R406</f>
        <v>13369440</v>
      </c>
      <c r="T406" s="14" t="n">
        <f aca="false">IFERROR(S406/Q406,0)</f>
        <v>0.133468251394837</v>
      </c>
      <c r="U406" s="15" t="str">
        <f aca="false">TEXT(A406,"yyyy-mm")</f>
        <v>2022-05</v>
      </c>
    </row>
    <row r="407" customFormat="false" ht="15" hidden="false" customHeight="false" outlineLevel="0" collapsed="false">
      <c r="A407" s="10" t="n">
        <v>44699</v>
      </c>
      <c r="B407" s="11" t="s">
        <v>539</v>
      </c>
      <c r="C407" s="11" t="s">
        <v>97</v>
      </c>
      <c r="D407" s="11" t="s">
        <v>67</v>
      </c>
      <c r="E407" s="11" t="s">
        <v>98</v>
      </c>
      <c r="F407" s="12" t="n">
        <v>4969724</v>
      </c>
      <c r="G407" s="12" t="n">
        <v>4121560</v>
      </c>
      <c r="H407" s="11" t="n">
        <v>13</v>
      </c>
      <c r="I407" s="11" t="s">
        <v>69</v>
      </c>
      <c r="J407" s="11" t="s">
        <v>112</v>
      </c>
      <c r="K407" s="11" t="s">
        <v>113</v>
      </c>
      <c r="L407" s="11" t="s">
        <v>82</v>
      </c>
      <c r="M407" s="11" t="s">
        <v>157</v>
      </c>
      <c r="N407" s="11" t="s">
        <v>173</v>
      </c>
      <c r="O407" s="11" t="s">
        <v>174</v>
      </c>
      <c r="P407" s="11" t="s">
        <v>95</v>
      </c>
      <c r="Q407" s="13" t="n">
        <f aca="false">F407*H407</f>
        <v>64606412</v>
      </c>
      <c r="R407" s="13" t="n">
        <f aca="false">G407*H407</f>
        <v>53580280</v>
      </c>
      <c r="S407" s="13" t="n">
        <f aca="false">Q407-R407</f>
        <v>11026132</v>
      </c>
      <c r="T407" s="14" t="n">
        <f aca="false">IFERROR(S407/Q407,0)</f>
        <v>0.170666218083741</v>
      </c>
      <c r="U407" s="15" t="str">
        <f aca="false">TEXT(A407,"yyyy-mm")</f>
        <v>2022-05</v>
      </c>
    </row>
    <row r="408" customFormat="false" ht="15" hidden="false" customHeight="false" outlineLevel="0" collapsed="false">
      <c r="A408" s="10" t="n">
        <v>44699</v>
      </c>
      <c r="B408" s="11" t="s">
        <v>540</v>
      </c>
      <c r="C408" s="11" t="s">
        <v>103</v>
      </c>
      <c r="D408" s="11" t="s">
        <v>67</v>
      </c>
      <c r="E408" s="11" t="s">
        <v>68</v>
      </c>
      <c r="F408" s="12" t="n">
        <v>3319925</v>
      </c>
      <c r="G408" s="12" t="n">
        <v>2800000</v>
      </c>
      <c r="H408" s="11" t="n">
        <v>9</v>
      </c>
      <c r="I408" s="11" t="s">
        <v>69</v>
      </c>
      <c r="J408" s="11" t="s">
        <v>80</v>
      </c>
      <c r="K408" s="11" t="s">
        <v>81</v>
      </c>
      <c r="L408" s="11" t="s">
        <v>82</v>
      </c>
      <c r="M408" s="11" t="s">
        <v>73</v>
      </c>
      <c r="N408" s="11" t="s">
        <v>143</v>
      </c>
      <c r="O408" s="11" t="s">
        <v>144</v>
      </c>
      <c r="P408" s="11" t="s">
        <v>101</v>
      </c>
      <c r="Q408" s="13" t="n">
        <f aca="false">F408*H408</f>
        <v>29879325</v>
      </c>
      <c r="R408" s="13" t="n">
        <f aca="false">G408*H408</f>
        <v>25200000</v>
      </c>
      <c r="S408" s="13" t="n">
        <f aca="false">Q408-R408</f>
        <v>4679325</v>
      </c>
      <c r="T408" s="14" t="n">
        <f aca="false">IFERROR(S408/Q408,0)</f>
        <v>0.15660745348163</v>
      </c>
      <c r="U408" s="15" t="str">
        <f aca="false">TEXT(A408,"yyyy-mm")</f>
        <v>2022-05</v>
      </c>
    </row>
    <row r="409" customFormat="false" ht="15" hidden="false" customHeight="false" outlineLevel="0" collapsed="false">
      <c r="A409" s="10" t="n">
        <v>44700</v>
      </c>
      <c r="B409" s="11" t="s">
        <v>541</v>
      </c>
      <c r="C409" s="11" t="s">
        <v>108</v>
      </c>
      <c r="D409" s="11" t="s">
        <v>67</v>
      </c>
      <c r="E409" s="11" t="s">
        <v>68</v>
      </c>
      <c r="F409" s="12" t="n">
        <v>4757880</v>
      </c>
      <c r="G409" s="12" t="n">
        <v>3450000</v>
      </c>
      <c r="H409" s="11" t="n">
        <v>6</v>
      </c>
      <c r="I409" s="11" t="s">
        <v>69</v>
      </c>
      <c r="J409" s="11" t="s">
        <v>80</v>
      </c>
      <c r="K409" s="11" t="s">
        <v>81</v>
      </c>
      <c r="L409" s="11" t="s">
        <v>82</v>
      </c>
      <c r="M409" s="11" t="s">
        <v>73</v>
      </c>
      <c r="N409" s="11" t="s">
        <v>149</v>
      </c>
      <c r="O409" s="11" t="s">
        <v>150</v>
      </c>
      <c r="P409" s="11" t="s">
        <v>151</v>
      </c>
      <c r="Q409" s="13" t="n">
        <f aca="false">F409*H409</f>
        <v>28547280</v>
      </c>
      <c r="R409" s="13" t="n">
        <f aca="false">G409*H409</f>
        <v>20700000</v>
      </c>
      <c r="S409" s="13" t="n">
        <f aca="false">Q409-R409</f>
        <v>7847280</v>
      </c>
      <c r="T409" s="14" t="n">
        <f aca="false">IFERROR(S409/Q409,0)</f>
        <v>0.274887134606169</v>
      </c>
      <c r="U409" s="15" t="str">
        <f aca="false">TEXT(A409,"yyyy-mm")</f>
        <v>2022-05</v>
      </c>
    </row>
    <row r="410" customFormat="false" ht="15" hidden="false" customHeight="false" outlineLevel="0" collapsed="false">
      <c r="A410" s="10" t="n">
        <v>44700</v>
      </c>
      <c r="B410" s="11" t="s">
        <v>542</v>
      </c>
      <c r="C410" s="11" t="s">
        <v>111</v>
      </c>
      <c r="D410" s="11" t="s">
        <v>67</v>
      </c>
      <c r="E410" s="11" t="s">
        <v>79</v>
      </c>
      <c r="F410" s="12" t="n">
        <v>3545808</v>
      </c>
      <c r="G410" s="12" t="n">
        <v>3350000</v>
      </c>
      <c r="H410" s="11" t="n">
        <v>15</v>
      </c>
      <c r="I410" s="11" t="s">
        <v>69</v>
      </c>
      <c r="J410" s="11" t="s">
        <v>80</v>
      </c>
      <c r="K410" s="11" t="s">
        <v>81</v>
      </c>
      <c r="L410" s="11" t="s">
        <v>82</v>
      </c>
      <c r="M410" s="11" t="s">
        <v>73</v>
      </c>
      <c r="N410" s="11" t="s">
        <v>74</v>
      </c>
      <c r="O410" s="11" t="s">
        <v>75</v>
      </c>
      <c r="P410" s="11" t="s">
        <v>76</v>
      </c>
      <c r="Q410" s="13" t="n">
        <f aca="false">F410*H410</f>
        <v>53187120</v>
      </c>
      <c r="R410" s="13" t="n">
        <f aca="false">G410*H410</f>
        <v>50250000</v>
      </c>
      <c r="S410" s="13" t="n">
        <f aca="false">Q410-R410</f>
        <v>2937120</v>
      </c>
      <c r="T410" s="14" t="n">
        <f aca="false">IFERROR(S410/Q410,0)</f>
        <v>0.0552223921881839</v>
      </c>
      <c r="U410" s="15" t="str">
        <f aca="false">TEXT(A410,"yyyy-mm")</f>
        <v>2022-05</v>
      </c>
    </row>
    <row r="411" customFormat="false" ht="15" hidden="false" customHeight="false" outlineLevel="0" collapsed="false">
      <c r="A411" s="10" t="n">
        <v>44700</v>
      </c>
      <c r="B411" s="11" t="s">
        <v>543</v>
      </c>
      <c r="C411" s="11" t="s">
        <v>115</v>
      </c>
      <c r="D411" s="11" t="s">
        <v>67</v>
      </c>
      <c r="E411" s="11" t="s">
        <v>98</v>
      </c>
      <c r="F411" s="12" t="n">
        <v>4200743</v>
      </c>
      <c r="G411" s="12" t="n">
        <v>4101000</v>
      </c>
      <c r="H411" s="11" t="n">
        <v>12</v>
      </c>
      <c r="I411" s="11" t="s">
        <v>69</v>
      </c>
      <c r="J411" s="11" t="s">
        <v>80</v>
      </c>
      <c r="K411" s="11" t="s">
        <v>81</v>
      </c>
      <c r="L411" s="11" t="s">
        <v>82</v>
      </c>
      <c r="M411" s="11" t="s">
        <v>73</v>
      </c>
      <c r="N411" s="11" t="s">
        <v>133</v>
      </c>
      <c r="O411" s="11" t="s">
        <v>60</v>
      </c>
      <c r="P411" s="11" t="s">
        <v>76</v>
      </c>
      <c r="Q411" s="13" t="n">
        <f aca="false">F411*H411</f>
        <v>50408916</v>
      </c>
      <c r="R411" s="13" t="n">
        <f aca="false">G411*H411</f>
        <v>49212000</v>
      </c>
      <c r="S411" s="13" t="n">
        <f aca="false">Q411-R411</f>
        <v>1196916</v>
      </c>
      <c r="T411" s="14" t="n">
        <f aca="false">IFERROR(S411/Q411,0)</f>
        <v>0.023744132883159</v>
      </c>
      <c r="U411" s="15" t="str">
        <f aca="false">TEXT(A411,"yyyy-mm")</f>
        <v>2022-05</v>
      </c>
    </row>
    <row r="412" customFormat="false" ht="15" hidden="false" customHeight="false" outlineLevel="0" collapsed="false">
      <c r="A412" s="10" t="n">
        <v>44700</v>
      </c>
      <c r="B412" s="11" t="s">
        <v>544</v>
      </c>
      <c r="C412" s="11" t="s">
        <v>117</v>
      </c>
      <c r="D412" s="11" t="s">
        <v>118</v>
      </c>
      <c r="E412" s="11" t="s">
        <v>119</v>
      </c>
      <c r="F412" s="12" t="n">
        <v>8220549</v>
      </c>
      <c r="G412" s="12" t="n">
        <v>6500000</v>
      </c>
      <c r="H412" s="11" t="n">
        <v>1</v>
      </c>
      <c r="I412" s="11" t="s">
        <v>69</v>
      </c>
      <c r="J412" s="11" t="s">
        <v>80</v>
      </c>
      <c r="K412" s="11" t="s">
        <v>81</v>
      </c>
      <c r="L412" s="11" t="s">
        <v>82</v>
      </c>
      <c r="M412" s="11" t="s">
        <v>73</v>
      </c>
      <c r="N412" s="11" t="s">
        <v>133</v>
      </c>
      <c r="O412" s="11" t="s">
        <v>60</v>
      </c>
      <c r="P412" s="11" t="s">
        <v>76</v>
      </c>
      <c r="Q412" s="13" t="n">
        <f aca="false">F412*H412</f>
        <v>8220549</v>
      </c>
      <c r="R412" s="13" t="n">
        <f aca="false">G412*H412</f>
        <v>6500000</v>
      </c>
      <c r="S412" s="13" t="n">
        <f aca="false">Q412-R412</f>
        <v>1720549</v>
      </c>
      <c r="T412" s="14" t="n">
        <f aca="false">IFERROR(S412/Q412,0)</f>
        <v>0.209298551714733</v>
      </c>
      <c r="U412" s="15" t="str">
        <f aca="false">TEXT(A412,"yyyy-mm")</f>
        <v>2022-05</v>
      </c>
    </row>
    <row r="413" customFormat="false" ht="15" hidden="false" customHeight="false" outlineLevel="0" collapsed="false">
      <c r="A413" s="10" t="n">
        <v>44701</v>
      </c>
      <c r="B413" s="11" t="s">
        <v>545</v>
      </c>
      <c r="C413" s="11" t="s">
        <v>121</v>
      </c>
      <c r="D413" s="11" t="s">
        <v>118</v>
      </c>
      <c r="E413" s="11" t="s">
        <v>122</v>
      </c>
      <c r="F413" s="12" t="n">
        <v>7687274</v>
      </c>
      <c r="G413" s="12" t="n">
        <v>6500000</v>
      </c>
      <c r="H413" s="11" t="n">
        <v>18</v>
      </c>
      <c r="I413" s="11" t="s">
        <v>69</v>
      </c>
      <c r="J413" s="11" t="s">
        <v>80</v>
      </c>
      <c r="K413" s="11" t="s">
        <v>81</v>
      </c>
      <c r="L413" s="11" t="s">
        <v>82</v>
      </c>
      <c r="M413" s="11" t="s">
        <v>73</v>
      </c>
      <c r="N413" s="11" t="s">
        <v>109</v>
      </c>
      <c r="O413" s="11" t="s">
        <v>75</v>
      </c>
      <c r="P413" s="11" t="s">
        <v>95</v>
      </c>
      <c r="Q413" s="13" t="n">
        <f aca="false">F413*H413</f>
        <v>138370932</v>
      </c>
      <c r="R413" s="13" t="n">
        <f aca="false">G413*H413</f>
        <v>117000000</v>
      </c>
      <c r="S413" s="13" t="n">
        <f aca="false">Q413-R413</f>
        <v>21370932</v>
      </c>
      <c r="T413" s="14" t="n">
        <f aca="false">IFERROR(S413/Q413,0)</f>
        <v>0.154446686822923</v>
      </c>
      <c r="U413" s="15" t="str">
        <f aca="false">TEXT(A413,"yyyy-mm")</f>
        <v>2022-05</v>
      </c>
    </row>
    <row r="414" customFormat="false" ht="15" hidden="false" customHeight="false" outlineLevel="0" collapsed="false">
      <c r="A414" s="10" t="n">
        <v>44701</v>
      </c>
      <c r="B414" s="11" t="s">
        <v>546</v>
      </c>
      <c r="C414" s="11" t="s">
        <v>125</v>
      </c>
      <c r="D414" s="11" t="s">
        <v>118</v>
      </c>
      <c r="E414" s="11" t="s">
        <v>126</v>
      </c>
      <c r="F414" s="12" t="n">
        <v>5684211</v>
      </c>
      <c r="G414" s="12" t="n">
        <v>4300000</v>
      </c>
      <c r="H414" s="11" t="n">
        <v>14</v>
      </c>
      <c r="I414" s="11" t="s">
        <v>69</v>
      </c>
      <c r="J414" s="11" t="s">
        <v>70</v>
      </c>
      <c r="K414" s="11" t="s">
        <v>71</v>
      </c>
      <c r="L414" s="11" t="s">
        <v>72</v>
      </c>
      <c r="M414" s="11" t="s">
        <v>73</v>
      </c>
      <c r="N414" s="11" t="s">
        <v>123</v>
      </c>
      <c r="O414" s="11" t="s">
        <v>60</v>
      </c>
      <c r="P414" s="11" t="s">
        <v>106</v>
      </c>
      <c r="Q414" s="13" t="n">
        <f aca="false">F414*H414</f>
        <v>79578954</v>
      </c>
      <c r="R414" s="13" t="n">
        <f aca="false">G414*H414</f>
        <v>60200000</v>
      </c>
      <c r="S414" s="13" t="n">
        <f aca="false">Q414-R414</f>
        <v>19378954</v>
      </c>
      <c r="T414" s="14" t="n">
        <f aca="false">IFERROR(S414/Q414,0)</f>
        <v>0.243518581558637</v>
      </c>
      <c r="U414" s="15" t="str">
        <f aca="false">TEXT(A414,"yyyy-mm")</f>
        <v>2022-05</v>
      </c>
    </row>
    <row r="415" customFormat="false" ht="15" hidden="false" customHeight="false" outlineLevel="0" collapsed="false">
      <c r="A415" s="10" t="n">
        <v>44701</v>
      </c>
      <c r="B415" s="11" t="s">
        <v>547</v>
      </c>
      <c r="C415" s="11" t="s">
        <v>128</v>
      </c>
      <c r="D415" s="11" t="s">
        <v>118</v>
      </c>
      <c r="E415" s="11" t="s">
        <v>119</v>
      </c>
      <c r="F415" s="12" t="n">
        <v>3370302</v>
      </c>
      <c r="G415" s="12" t="n">
        <v>2100000</v>
      </c>
      <c r="H415" s="11" t="n">
        <v>11</v>
      </c>
      <c r="I415" s="11" t="s">
        <v>69</v>
      </c>
      <c r="J415" s="11" t="s">
        <v>80</v>
      </c>
      <c r="K415" s="11" t="s">
        <v>81</v>
      </c>
      <c r="L415" s="11" t="s">
        <v>82</v>
      </c>
      <c r="M415" s="11" t="s">
        <v>73</v>
      </c>
      <c r="N415" s="11" t="s">
        <v>74</v>
      </c>
      <c r="O415" s="11" t="s">
        <v>75</v>
      </c>
      <c r="P415" s="11" t="s">
        <v>76</v>
      </c>
      <c r="Q415" s="13" t="n">
        <f aca="false">F415*H415</f>
        <v>37073322</v>
      </c>
      <c r="R415" s="13" t="n">
        <f aca="false">G415*H415</f>
        <v>23100000</v>
      </c>
      <c r="S415" s="13" t="n">
        <f aca="false">Q415-R415</f>
        <v>13973322</v>
      </c>
      <c r="T415" s="14" t="n">
        <f aca="false">IFERROR(S415/Q415,0)</f>
        <v>0.37691043710623</v>
      </c>
      <c r="U415" s="15" t="str">
        <f aca="false">TEXT(A415,"yyyy-mm")</f>
        <v>2022-05</v>
      </c>
    </row>
    <row r="416" customFormat="false" ht="15" hidden="false" customHeight="false" outlineLevel="0" collapsed="false">
      <c r="A416" s="10" t="n">
        <v>44701</v>
      </c>
      <c r="B416" s="11" t="s">
        <v>548</v>
      </c>
      <c r="C416" s="11" t="s">
        <v>130</v>
      </c>
      <c r="D416" s="11" t="s">
        <v>118</v>
      </c>
      <c r="E416" s="11" t="s">
        <v>68</v>
      </c>
      <c r="F416" s="12" t="n">
        <v>2852897</v>
      </c>
      <c r="G416" s="12" t="n">
        <v>2450000</v>
      </c>
      <c r="H416" s="11" t="n">
        <v>6</v>
      </c>
      <c r="I416" s="11" t="s">
        <v>86</v>
      </c>
      <c r="J416" s="11" t="s">
        <v>87</v>
      </c>
      <c r="K416" s="11" t="s">
        <v>88</v>
      </c>
      <c r="L416" s="11" t="s">
        <v>89</v>
      </c>
      <c r="M416" s="11" t="s">
        <v>90</v>
      </c>
      <c r="N416" s="11" t="s">
        <v>93</v>
      </c>
      <c r="O416" s="11" t="s">
        <v>94</v>
      </c>
      <c r="P416" s="11" t="s">
        <v>95</v>
      </c>
      <c r="Q416" s="13" t="n">
        <f aca="false">F416*H416</f>
        <v>17117382</v>
      </c>
      <c r="R416" s="13" t="n">
        <f aca="false">G416*H416</f>
        <v>14700000</v>
      </c>
      <c r="S416" s="13" t="n">
        <f aca="false">Q416-R416</f>
        <v>2417382</v>
      </c>
      <c r="T416" s="14" t="n">
        <f aca="false">IFERROR(S416/Q416,0)</f>
        <v>0.141223815651249</v>
      </c>
      <c r="U416" s="15" t="str">
        <f aca="false">TEXT(A416,"yyyy-mm")</f>
        <v>2022-05</v>
      </c>
    </row>
    <row r="417" customFormat="false" ht="15" hidden="false" customHeight="false" outlineLevel="0" collapsed="false">
      <c r="A417" s="10" t="n">
        <v>44701</v>
      </c>
      <c r="B417" s="11" t="s">
        <v>549</v>
      </c>
      <c r="C417" s="11" t="s">
        <v>132</v>
      </c>
      <c r="D417" s="11" t="s">
        <v>118</v>
      </c>
      <c r="E417" s="11" t="s">
        <v>68</v>
      </c>
      <c r="F417" s="12" t="n">
        <v>4803603</v>
      </c>
      <c r="G417" s="12" t="n">
        <v>4121000</v>
      </c>
      <c r="H417" s="11" t="n">
        <v>5</v>
      </c>
      <c r="I417" s="11" t="s">
        <v>86</v>
      </c>
      <c r="J417" s="11" t="s">
        <v>87</v>
      </c>
      <c r="K417" s="11" t="s">
        <v>88</v>
      </c>
      <c r="L417" s="11" t="s">
        <v>89</v>
      </c>
      <c r="M417" s="11" t="s">
        <v>90</v>
      </c>
      <c r="N417" s="11" t="s">
        <v>74</v>
      </c>
      <c r="O417" s="11" t="s">
        <v>75</v>
      </c>
      <c r="P417" s="11" t="s">
        <v>76</v>
      </c>
      <c r="Q417" s="13" t="n">
        <f aca="false">F417*H417</f>
        <v>24018015</v>
      </c>
      <c r="R417" s="13" t="n">
        <f aca="false">G417*H417</f>
        <v>20605000</v>
      </c>
      <c r="S417" s="13" t="n">
        <f aca="false">Q417-R417</f>
        <v>3413015</v>
      </c>
      <c r="T417" s="14" t="n">
        <f aca="false">IFERROR(S417/Q417,0)</f>
        <v>0.142102292799801</v>
      </c>
      <c r="U417" s="15" t="str">
        <f aca="false">TEXT(A417,"yyyy-mm")</f>
        <v>2022-05</v>
      </c>
    </row>
    <row r="418" customFormat="false" ht="15" hidden="false" customHeight="false" outlineLevel="0" collapsed="false">
      <c r="A418" s="10" t="n">
        <v>44701</v>
      </c>
      <c r="B418" s="11" t="s">
        <v>550</v>
      </c>
      <c r="C418" s="11" t="s">
        <v>135</v>
      </c>
      <c r="D418" s="11" t="s">
        <v>118</v>
      </c>
      <c r="E418" s="11" t="s">
        <v>68</v>
      </c>
      <c r="F418" s="12" t="n">
        <v>5689947</v>
      </c>
      <c r="G418" s="12" t="n">
        <v>5235000</v>
      </c>
      <c r="H418" s="11" t="n">
        <v>20</v>
      </c>
      <c r="I418" s="11" t="s">
        <v>69</v>
      </c>
      <c r="J418" s="11" t="s">
        <v>70</v>
      </c>
      <c r="K418" s="11" t="s">
        <v>71</v>
      </c>
      <c r="L418" s="11" t="s">
        <v>72</v>
      </c>
      <c r="M418" s="11" t="s">
        <v>73</v>
      </c>
      <c r="N418" s="11" t="s">
        <v>123</v>
      </c>
      <c r="O418" s="11" t="s">
        <v>60</v>
      </c>
      <c r="P418" s="11" t="s">
        <v>106</v>
      </c>
      <c r="Q418" s="13" t="n">
        <f aca="false">F418*H418</f>
        <v>113798940</v>
      </c>
      <c r="R418" s="13" t="n">
        <f aca="false">G418*H418</f>
        <v>104700000</v>
      </c>
      <c r="S418" s="13" t="n">
        <f aca="false">Q418-R418</f>
        <v>9098940</v>
      </c>
      <c r="T418" s="14" t="n">
        <f aca="false">IFERROR(S418/Q418,0)</f>
        <v>0.0799562807878527</v>
      </c>
      <c r="U418" s="15" t="str">
        <f aca="false">TEXT(A418,"yyyy-mm")</f>
        <v>2022-05</v>
      </c>
    </row>
    <row r="419" customFormat="false" ht="15" hidden="false" customHeight="false" outlineLevel="0" collapsed="false">
      <c r="A419" s="10" t="n">
        <v>44702</v>
      </c>
      <c r="B419" s="11" t="s">
        <v>551</v>
      </c>
      <c r="C419" s="11" t="s">
        <v>137</v>
      </c>
      <c r="D419" s="11" t="s">
        <v>138</v>
      </c>
      <c r="E419" s="11" t="s">
        <v>139</v>
      </c>
      <c r="F419" s="12" t="n">
        <v>5171827</v>
      </c>
      <c r="G419" s="12" t="n">
        <v>4890000</v>
      </c>
      <c r="H419" s="11" t="n">
        <v>4</v>
      </c>
      <c r="I419" s="11" t="s">
        <v>69</v>
      </c>
      <c r="J419" s="11" t="s">
        <v>80</v>
      </c>
      <c r="K419" s="11" t="s">
        <v>81</v>
      </c>
      <c r="L419" s="11" t="s">
        <v>82</v>
      </c>
      <c r="M419" s="11" t="s">
        <v>73</v>
      </c>
      <c r="N419" s="11" t="s">
        <v>173</v>
      </c>
      <c r="O419" s="11" t="s">
        <v>174</v>
      </c>
      <c r="P419" s="11" t="s">
        <v>95</v>
      </c>
      <c r="Q419" s="13" t="n">
        <f aca="false">F419*H419</f>
        <v>20687308</v>
      </c>
      <c r="R419" s="13" t="n">
        <f aca="false">G419*H419</f>
        <v>19560000</v>
      </c>
      <c r="S419" s="13" t="n">
        <f aca="false">Q419-R419</f>
        <v>1127308</v>
      </c>
      <c r="T419" s="14" t="n">
        <f aca="false">IFERROR(S419/Q419,0)</f>
        <v>0.0544927353525166</v>
      </c>
      <c r="U419" s="15" t="str">
        <f aca="false">TEXT(A419,"yyyy-mm")</f>
        <v>2022-05</v>
      </c>
    </row>
    <row r="420" customFormat="false" ht="15" hidden="false" customHeight="false" outlineLevel="0" collapsed="false">
      <c r="A420" s="10" t="n">
        <v>44702</v>
      </c>
      <c r="B420" s="11" t="s">
        <v>552</v>
      </c>
      <c r="C420" s="11" t="s">
        <v>141</v>
      </c>
      <c r="D420" s="11" t="s">
        <v>138</v>
      </c>
      <c r="E420" s="11" t="s">
        <v>142</v>
      </c>
      <c r="F420" s="12" t="n">
        <v>2805124</v>
      </c>
      <c r="G420" s="12" t="n">
        <v>2178000</v>
      </c>
      <c r="H420" s="11" t="n">
        <v>21</v>
      </c>
      <c r="I420" s="11" t="s">
        <v>86</v>
      </c>
      <c r="J420" s="11" t="s">
        <v>87</v>
      </c>
      <c r="K420" s="11" t="s">
        <v>88</v>
      </c>
      <c r="L420" s="11" t="s">
        <v>89</v>
      </c>
      <c r="M420" s="11" t="s">
        <v>90</v>
      </c>
      <c r="N420" s="11" t="s">
        <v>173</v>
      </c>
      <c r="O420" s="11" t="s">
        <v>174</v>
      </c>
      <c r="P420" s="11" t="s">
        <v>95</v>
      </c>
      <c r="Q420" s="13" t="n">
        <f aca="false">F420*H420</f>
        <v>58907604</v>
      </c>
      <c r="R420" s="13" t="n">
        <f aca="false">G420*H420</f>
        <v>45738000</v>
      </c>
      <c r="S420" s="13" t="n">
        <f aca="false">Q420-R420</f>
        <v>13169604</v>
      </c>
      <c r="T420" s="14" t="n">
        <f aca="false">IFERROR(S420/Q420,0)</f>
        <v>0.22356373550688</v>
      </c>
      <c r="U420" s="15" t="str">
        <f aca="false">TEXT(A420,"yyyy-mm")</f>
        <v>2022-05</v>
      </c>
    </row>
    <row r="421" customFormat="false" ht="15" hidden="false" customHeight="false" outlineLevel="0" collapsed="false">
      <c r="A421" s="10" t="n">
        <v>44702</v>
      </c>
      <c r="B421" s="11" t="s">
        <v>553</v>
      </c>
      <c r="C421" s="11" t="s">
        <v>146</v>
      </c>
      <c r="D421" s="11" t="s">
        <v>138</v>
      </c>
      <c r="E421" s="11" t="s">
        <v>139</v>
      </c>
      <c r="F421" s="12" t="n">
        <v>2728100</v>
      </c>
      <c r="G421" s="12" t="n">
        <v>2321000</v>
      </c>
      <c r="H421" s="11" t="n">
        <v>17</v>
      </c>
      <c r="I421" s="11" t="s">
        <v>69</v>
      </c>
      <c r="J421" s="11" t="s">
        <v>70</v>
      </c>
      <c r="K421" s="11" t="s">
        <v>71</v>
      </c>
      <c r="L421" s="11" t="s">
        <v>72</v>
      </c>
      <c r="M421" s="11" t="s">
        <v>73</v>
      </c>
      <c r="N421" s="11" t="s">
        <v>149</v>
      </c>
      <c r="O421" s="11" t="s">
        <v>150</v>
      </c>
      <c r="P421" s="11" t="s">
        <v>151</v>
      </c>
      <c r="Q421" s="13" t="n">
        <f aca="false">F421*H421</f>
        <v>46377700</v>
      </c>
      <c r="R421" s="13" t="n">
        <f aca="false">G421*H421</f>
        <v>39457000</v>
      </c>
      <c r="S421" s="13" t="n">
        <f aca="false">Q421-R421</f>
        <v>6920700</v>
      </c>
      <c r="T421" s="14" t="n">
        <f aca="false">IFERROR(S421/Q421,0)</f>
        <v>0.149224735163667</v>
      </c>
      <c r="U421" s="15" t="str">
        <f aca="false">TEXT(A421,"yyyy-mm")</f>
        <v>2022-05</v>
      </c>
    </row>
    <row r="422" customFormat="false" ht="15" hidden="false" customHeight="false" outlineLevel="0" collapsed="false">
      <c r="A422" s="10" t="n">
        <v>44702</v>
      </c>
      <c r="B422" s="11" t="s">
        <v>554</v>
      </c>
      <c r="C422" s="11" t="s">
        <v>148</v>
      </c>
      <c r="D422" s="11" t="s">
        <v>138</v>
      </c>
      <c r="E422" s="11" t="s">
        <v>122</v>
      </c>
      <c r="F422" s="12" t="n">
        <v>4941716</v>
      </c>
      <c r="G422" s="12" t="n">
        <v>4456000</v>
      </c>
      <c r="H422" s="11" t="n">
        <v>23</v>
      </c>
      <c r="I422" s="11" t="s">
        <v>86</v>
      </c>
      <c r="J422" s="11" t="s">
        <v>87</v>
      </c>
      <c r="K422" s="11" t="s">
        <v>88</v>
      </c>
      <c r="L422" s="11" t="s">
        <v>89</v>
      </c>
      <c r="M422" s="11" t="s">
        <v>90</v>
      </c>
      <c r="N422" s="11" t="s">
        <v>133</v>
      </c>
      <c r="O422" s="11" t="s">
        <v>60</v>
      </c>
      <c r="P422" s="11" t="s">
        <v>76</v>
      </c>
      <c r="Q422" s="13" t="n">
        <f aca="false">F422*H422</f>
        <v>113659468</v>
      </c>
      <c r="R422" s="13" t="n">
        <f aca="false">G422*H422</f>
        <v>102488000</v>
      </c>
      <c r="S422" s="13" t="n">
        <f aca="false">Q422-R422</f>
        <v>11171468</v>
      </c>
      <c r="T422" s="14" t="n">
        <f aca="false">IFERROR(S422/Q422,0)</f>
        <v>0.0982889344511097</v>
      </c>
      <c r="U422" s="15" t="str">
        <f aca="false">TEXT(A422,"yyyy-mm")</f>
        <v>2022-05</v>
      </c>
    </row>
    <row r="423" customFormat="false" ht="15" hidden="false" customHeight="false" outlineLevel="0" collapsed="false">
      <c r="A423" s="10" t="n">
        <v>44702</v>
      </c>
      <c r="B423" s="11" t="s">
        <v>555</v>
      </c>
      <c r="C423" s="11" t="s">
        <v>66</v>
      </c>
      <c r="D423" s="11" t="s">
        <v>67</v>
      </c>
      <c r="E423" s="11" t="s">
        <v>68</v>
      </c>
      <c r="F423" s="12" t="n">
        <v>3048952</v>
      </c>
      <c r="G423" s="12" t="n">
        <v>2560000</v>
      </c>
      <c r="H423" s="11" t="n">
        <v>2</v>
      </c>
      <c r="I423" s="11" t="s">
        <v>69</v>
      </c>
      <c r="J423" s="11" t="s">
        <v>80</v>
      </c>
      <c r="K423" s="11" t="s">
        <v>81</v>
      </c>
      <c r="L423" s="11" t="s">
        <v>82</v>
      </c>
      <c r="M423" s="11" t="s">
        <v>73</v>
      </c>
      <c r="N423" s="11" t="s">
        <v>123</v>
      </c>
      <c r="O423" s="11" t="s">
        <v>60</v>
      </c>
      <c r="P423" s="11" t="s">
        <v>106</v>
      </c>
      <c r="Q423" s="13" t="n">
        <f aca="false">F423*H423</f>
        <v>6097904</v>
      </c>
      <c r="R423" s="13" t="n">
        <f aca="false">G423*H423</f>
        <v>5120000</v>
      </c>
      <c r="S423" s="13" t="n">
        <f aca="false">Q423-R423</f>
        <v>977904</v>
      </c>
      <c r="T423" s="14" t="n">
        <f aca="false">IFERROR(S423/Q423,0)</f>
        <v>0.160367234380863</v>
      </c>
      <c r="U423" s="15" t="str">
        <f aca="false">TEXT(A423,"yyyy-mm")</f>
        <v>2022-05</v>
      </c>
    </row>
    <row r="424" customFormat="false" ht="15" hidden="false" customHeight="false" outlineLevel="0" collapsed="false">
      <c r="A424" s="10" t="n">
        <v>44702</v>
      </c>
      <c r="B424" s="11" t="s">
        <v>556</v>
      </c>
      <c r="C424" s="11" t="s">
        <v>78</v>
      </c>
      <c r="D424" s="11" t="s">
        <v>67</v>
      </c>
      <c r="E424" s="11" t="s">
        <v>79</v>
      </c>
      <c r="F424" s="12" t="n">
        <v>1870000</v>
      </c>
      <c r="G424" s="12" t="n">
        <v>1650000</v>
      </c>
      <c r="H424" s="11" t="n">
        <v>17</v>
      </c>
      <c r="I424" s="11" t="s">
        <v>69</v>
      </c>
      <c r="J424" s="11" t="s">
        <v>70</v>
      </c>
      <c r="K424" s="11" t="s">
        <v>71</v>
      </c>
      <c r="L424" s="11" t="s">
        <v>72</v>
      </c>
      <c r="M424" s="11" t="s">
        <v>73</v>
      </c>
      <c r="N424" s="11" t="s">
        <v>93</v>
      </c>
      <c r="O424" s="11" t="s">
        <v>94</v>
      </c>
      <c r="P424" s="11" t="s">
        <v>95</v>
      </c>
      <c r="Q424" s="13" t="n">
        <f aca="false">F424*H424</f>
        <v>31790000</v>
      </c>
      <c r="R424" s="13" t="n">
        <f aca="false">G424*H424</f>
        <v>28050000</v>
      </c>
      <c r="S424" s="13" t="n">
        <f aca="false">Q424-R424</f>
        <v>3740000</v>
      </c>
      <c r="T424" s="14" t="n">
        <f aca="false">IFERROR(S424/Q424,0)</f>
        <v>0.117647058823529</v>
      </c>
      <c r="U424" s="15" t="str">
        <f aca="false">TEXT(A424,"yyyy-mm")</f>
        <v>2022-05</v>
      </c>
    </row>
    <row r="425" customFormat="false" ht="15" hidden="false" customHeight="false" outlineLevel="0" collapsed="false">
      <c r="A425" s="10" t="n">
        <v>44704</v>
      </c>
      <c r="B425" s="11" t="s">
        <v>557</v>
      </c>
      <c r="C425" s="11" t="s">
        <v>84</v>
      </c>
      <c r="D425" s="11" t="s">
        <v>67</v>
      </c>
      <c r="E425" s="11" t="s">
        <v>85</v>
      </c>
      <c r="F425" s="12" t="n">
        <v>2600000</v>
      </c>
      <c r="G425" s="12" t="n">
        <v>2300000</v>
      </c>
      <c r="H425" s="11" t="n">
        <v>7</v>
      </c>
      <c r="I425" s="11" t="s">
        <v>69</v>
      </c>
      <c r="J425" s="11" t="s">
        <v>80</v>
      </c>
      <c r="K425" s="11" t="s">
        <v>81</v>
      </c>
      <c r="L425" s="11" t="s">
        <v>82</v>
      </c>
      <c r="M425" s="11" t="s">
        <v>73</v>
      </c>
      <c r="N425" s="11" t="s">
        <v>143</v>
      </c>
      <c r="O425" s="11" t="s">
        <v>144</v>
      </c>
      <c r="P425" s="11" t="s">
        <v>101</v>
      </c>
      <c r="Q425" s="13" t="n">
        <f aca="false">F425*H425</f>
        <v>18200000</v>
      </c>
      <c r="R425" s="13" t="n">
        <f aca="false">G425*H425</f>
        <v>16100000</v>
      </c>
      <c r="S425" s="13" t="n">
        <f aca="false">Q425-R425</f>
        <v>2100000</v>
      </c>
      <c r="T425" s="14" t="n">
        <f aca="false">IFERROR(S425/Q425,0)</f>
        <v>0.115384615384615</v>
      </c>
      <c r="U425" s="15" t="str">
        <f aca="false">TEXT(A425,"yyyy-mm")</f>
        <v>2022-05</v>
      </c>
    </row>
    <row r="426" customFormat="false" ht="15" hidden="false" customHeight="false" outlineLevel="0" collapsed="false">
      <c r="A426" s="10" t="n">
        <v>44704</v>
      </c>
      <c r="B426" s="11" t="s">
        <v>558</v>
      </c>
      <c r="C426" s="11" t="s">
        <v>92</v>
      </c>
      <c r="D426" s="11" t="s">
        <v>67</v>
      </c>
      <c r="E426" s="11" t="s">
        <v>79</v>
      </c>
      <c r="F426" s="12" t="n">
        <v>3577480</v>
      </c>
      <c r="G426" s="12" t="n">
        <v>3100000</v>
      </c>
      <c r="H426" s="11" t="n">
        <v>17</v>
      </c>
      <c r="I426" s="11" t="s">
        <v>86</v>
      </c>
      <c r="J426" s="11" t="s">
        <v>87</v>
      </c>
      <c r="K426" s="11" t="s">
        <v>88</v>
      </c>
      <c r="L426" s="11" t="s">
        <v>89</v>
      </c>
      <c r="M426" s="11" t="s">
        <v>90</v>
      </c>
      <c r="N426" s="11" t="s">
        <v>93</v>
      </c>
      <c r="O426" s="11" t="s">
        <v>94</v>
      </c>
      <c r="P426" s="11" t="s">
        <v>95</v>
      </c>
      <c r="Q426" s="13" t="n">
        <f aca="false">F426*H426</f>
        <v>60817160</v>
      </c>
      <c r="R426" s="13" t="n">
        <f aca="false">G426*H426</f>
        <v>52700000</v>
      </c>
      <c r="S426" s="13" t="n">
        <f aca="false">Q426-R426</f>
        <v>8117160</v>
      </c>
      <c r="T426" s="14" t="n">
        <f aca="false">IFERROR(S426/Q426,0)</f>
        <v>0.133468251394837</v>
      </c>
      <c r="U426" s="15" t="str">
        <f aca="false">TEXT(A426,"yyyy-mm")</f>
        <v>2022-05</v>
      </c>
    </row>
    <row r="427" customFormat="false" ht="15" hidden="false" customHeight="false" outlineLevel="0" collapsed="false">
      <c r="A427" s="10" t="n">
        <v>44704</v>
      </c>
      <c r="B427" s="11" t="s">
        <v>559</v>
      </c>
      <c r="C427" s="11" t="s">
        <v>97</v>
      </c>
      <c r="D427" s="11" t="s">
        <v>67</v>
      </c>
      <c r="E427" s="11" t="s">
        <v>98</v>
      </c>
      <c r="F427" s="12" t="n">
        <v>4969724</v>
      </c>
      <c r="G427" s="12" t="n">
        <v>4121560</v>
      </c>
      <c r="H427" s="11" t="n">
        <v>8</v>
      </c>
      <c r="I427" s="11" t="s">
        <v>69</v>
      </c>
      <c r="J427" s="11" t="s">
        <v>80</v>
      </c>
      <c r="K427" s="11" t="s">
        <v>81</v>
      </c>
      <c r="L427" s="11" t="s">
        <v>82</v>
      </c>
      <c r="M427" s="11" t="s">
        <v>73</v>
      </c>
      <c r="N427" s="11" t="s">
        <v>133</v>
      </c>
      <c r="O427" s="11" t="s">
        <v>60</v>
      </c>
      <c r="P427" s="11" t="s">
        <v>76</v>
      </c>
      <c r="Q427" s="13" t="n">
        <f aca="false">F427*H427</f>
        <v>39757792</v>
      </c>
      <c r="R427" s="13" t="n">
        <f aca="false">G427*H427</f>
        <v>32972480</v>
      </c>
      <c r="S427" s="13" t="n">
        <f aca="false">Q427-R427</f>
        <v>6785312</v>
      </c>
      <c r="T427" s="14" t="n">
        <f aca="false">IFERROR(S427/Q427,0)</f>
        <v>0.170666218083741</v>
      </c>
      <c r="U427" s="15" t="str">
        <f aca="false">TEXT(A427,"yyyy-mm")</f>
        <v>2022-05</v>
      </c>
    </row>
    <row r="428" customFormat="false" ht="15" hidden="false" customHeight="false" outlineLevel="0" collapsed="false">
      <c r="A428" s="10" t="n">
        <v>44704</v>
      </c>
      <c r="B428" s="11" t="s">
        <v>560</v>
      </c>
      <c r="C428" s="11" t="s">
        <v>103</v>
      </c>
      <c r="D428" s="11" t="s">
        <v>67</v>
      </c>
      <c r="E428" s="11" t="s">
        <v>68</v>
      </c>
      <c r="F428" s="12" t="n">
        <v>3319925</v>
      </c>
      <c r="G428" s="12" t="n">
        <v>2800000</v>
      </c>
      <c r="H428" s="11" t="n">
        <v>16</v>
      </c>
      <c r="I428" s="11" t="s">
        <v>69</v>
      </c>
      <c r="J428" s="11" t="s">
        <v>70</v>
      </c>
      <c r="K428" s="11" t="s">
        <v>71</v>
      </c>
      <c r="L428" s="11" t="s">
        <v>72</v>
      </c>
      <c r="M428" s="11" t="s">
        <v>73</v>
      </c>
      <c r="N428" s="11" t="s">
        <v>173</v>
      </c>
      <c r="O428" s="11" t="s">
        <v>174</v>
      </c>
      <c r="P428" s="11" t="s">
        <v>95</v>
      </c>
      <c r="Q428" s="13" t="n">
        <f aca="false">F428*H428</f>
        <v>53118800</v>
      </c>
      <c r="R428" s="13" t="n">
        <f aca="false">G428*H428</f>
        <v>44800000</v>
      </c>
      <c r="S428" s="13" t="n">
        <f aca="false">Q428-R428</f>
        <v>8318800</v>
      </c>
      <c r="T428" s="14" t="n">
        <f aca="false">IFERROR(S428/Q428,0)</f>
        <v>0.15660745348163</v>
      </c>
      <c r="U428" s="15" t="str">
        <f aca="false">TEXT(A428,"yyyy-mm")</f>
        <v>2022-05</v>
      </c>
    </row>
    <row r="429" customFormat="false" ht="15" hidden="false" customHeight="false" outlineLevel="0" collapsed="false">
      <c r="A429" s="10" t="n">
        <v>44704</v>
      </c>
      <c r="B429" s="11" t="s">
        <v>561</v>
      </c>
      <c r="C429" s="11" t="s">
        <v>108</v>
      </c>
      <c r="D429" s="11" t="s">
        <v>67</v>
      </c>
      <c r="E429" s="11" t="s">
        <v>68</v>
      </c>
      <c r="F429" s="12" t="n">
        <v>4757880</v>
      </c>
      <c r="G429" s="12" t="n">
        <v>3450000</v>
      </c>
      <c r="H429" s="11" t="n">
        <v>13</v>
      </c>
      <c r="I429" s="11" t="s">
        <v>69</v>
      </c>
      <c r="J429" s="11" t="s">
        <v>112</v>
      </c>
      <c r="K429" s="11" t="s">
        <v>113</v>
      </c>
      <c r="L429" s="11" t="s">
        <v>82</v>
      </c>
      <c r="M429" s="11" t="s">
        <v>157</v>
      </c>
      <c r="N429" s="11" t="s">
        <v>123</v>
      </c>
      <c r="O429" s="11" t="s">
        <v>60</v>
      </c>
      <c r="P429" s="11" t="s">
        <v>106</v>
      </c>
      <c r="Q429" s="13" t="n">
        <f aca="false">F429*H429</f>
        <v>61852440</v>
      </c>
      <c r="R429" s="13" t="n">
        <f aca="false">G429*H429</f>
        <v>44850000</v>
      </c>
      <c r="S429" s="13" t="n">
        <f aca="false">Q429-R429</f>
        <v>17002440</v>
      </c>
      <c r="T429" s="14" t="n">
        <f aca="false">IFERROR(S429/Q429,0)</f>
        <v>0.274887134606169</v>
      </c>
      <c r="U429" s="15" t="str">
        <f aca="false">TEXT(A429,"yyyy-mm")</f>
        <v>2022-05</v>
      </c>
    </row>
    <row r="430" customFormat="false" ht="15" hidden="false" customHeight="false" outlineLevel="0" collapsed="false">
      <c r="A430" s="10" t="n">
        <v>44705</v>
      </c>
      <c r="B430" s="11" t="s">
        <v>562</v>
      </c>
      <c r="C430" s="11" t="s">
        <v>111</v>
      </c>
      <c r="D430" s="11" t="s">
        <v>67</v>
      </c>
      <c r="E430" s="11" t="s">
        <v>79</v>
      </c>
      <c r="F430" s="12" t="n">
        <v>3545808</v>
      </c>
      <c r="G430" s="12" t="n">
        <v>3350000</v>
      </c>
      <c r="H430" s="11" t="n">
        <v>13</v>
      </c>
      <c r="I430" s="11" t="s">
        <v>69</v>
      </c>
      <c r="J430" s="11" t="s">
        <v>80</v>
      </c>
      <c r="K430" s="11" t="s">
        <v>81</v>
      </c>
      <c r="L430" s="11" t="s">
        <v>82</v>
      </c>
      <c r="M430" s="11" t="s">
        <v>73</v>
      </c>
      <c r="N430" s="11" t="s">
        <v>93</v>
      </c>
      <c r="O430" s="11" t="s">
        <v>94</v>
      </c>
      <c r="P430" s="11" t="s">
        <v>95</v>
      </c>
      <c r="Q430" s="13" t="n">
        <f aca="false">F430*H430</f>
        <v>46095504</v>
      </c>
      <c r="R430" s="13" t="n">
        <f aca="false">G430*H430</f>
        <v>43550000</v>
      </c>
      <c r="S430" s="13" t="n">
        <f aca="false">Q430-R430</f>
        <v>2545504</v>
      </c>
      <c r="T430" s="14" t="n">
        <f aca="false">IFERROR(S430/Q430,0)</f>
        <v>0.0552223921881839</v>
      </c>
      <c r="U430" s="15" t="str">
        <f aca="false">TEXT(A430,"yyyy-mm")</f>
        <v>2022-05</v>
      </c>
    </row>
    <row r="431" customFormat="false" ht="15" hidden="false" customHeight="false" outlineLevel="0" collapsed="false">
      <c r="A431" s="10" t="n">
        <v>44705</v>
      </c>
      <c r="B431" s="11" t="s">
        <v>563</v>
      </c>
      <c r="C431" s="11" t="s">
        <v>115</v>
      </c>
      <c r="D431" s="11" t="s">
        <v>67</v>
      </c>
      <c r="E431" s="11" t="s">
        <v>98</v>
      </c>
      <c r="F431" s="12" t="n">
        <v>4200743</v>
      </c>
      <c r="G431" s="12" t="n">
        <v>4101000</v>
      </c>
      <c r="H431" s="11" t="n">
        <v>6</v>
      </c>
      <c r="I431" s="11" t="s">
        <v>69</v>
      </c>
      <c r="J431" s="11" t="s">
        <v>80</v>
      </c>
      <c r="K431" s="11" t="s">
        <v>81</v>
      </c>
      <c r="L431" s="11" t="s">
        <v>82</v>
      </c>
      <c r="M431" s="11" t="s">
        <v>73</v>
      </c>
      <c r="N431" s="11" t="s">
        <v>104</v>
      </c>
      <c r="O431" s="11" t="s">
        <v>105</v>
      </c>
      <c r="P431" s="11" t="s">
        <v>106</v>
      </c>
      <c r="Q431" s="13" t="n">
        <f aca="false">F431*H431</f>
        <v>25204458</v>
      </c>
      <c r="R431" s="13" t="n">
        <f aca="false">G431*H431</f>
        <v>24606000</v>
      </c>
      <c r="S431" s="13" t="n">
        <f aca="false">Q431-R431</f>
        <v>598458</v>
      </c>
      <c r="T431" s="14" t="n">
        <f aca="false">IFERROR(S431/Q431,0)</f>
        <v>0.023744132883159</v>
      </c>
      <c r="U431" s="15" t="str">
        <f aca="false">TEXT(A431,"yyyy-mm")</f>
        <v>2022-05</v>
      </c>
    </row>
    <row r="432" customFormat="false" ht="15" hidden="false" customHeight="false" outlineLevel="0" collapsed="false">
      <c r="A432" s="10" t="n">
        <v>44705</v>
      </c>
      <c r="B432" s="11" t="s">
        <v>564</v>
      </c>
      <c r="C432" s="11" t="s">
        <v>117</v>
      </c>
      <c r="D432" s="11" t="s">
        <v>118</v>
      </c>
      <c r="E432" s="11" t="s">
        <v>119</v>
      </c>
      <c r="F432" s="12" t="n">
        <v>8220549</v>
      </c>
      <c r="G432" s="12" t="n">
        <v>6500000</v>
      </c>
      <c r="H432" s="11" t="n">
        <v>11</v>
      </c>
      <c r="I432" s="11" t="s">
        <v>69</v>
      </c>
      <c r="J432" s="11" t="s">
        <v>70</v>
      </c>
      <c r="K432" s="11" t="s">
        <v>71</v>
      </c>
      <c r="L432" s="11" t="s">
        <v>72</v>
      </c>
      <c r="M432" s="11" t="s">
        <v>73</v>
      </c>
      <c r="N432" s="11" t="s">
        <v>149</v>
      </c>
      <c r="O432" s="11" t="s">
        <v>150</v>
      </c>
      <c r="P432" s="11" t="s">
        <v>151</v>
      </c>
      <c r="Q432" s="13" t="n">
        <f aca="false">F432*H432</f>
        <v>90426039</v>
      </c>
      <c r="R432" s="13" t="n">
        <f aca="false">G432*H432</f>
        <v>71500000</v>
      </c>
      <c r="S432" s="13" t="n">
        <f aca="false">Q432-R432</f>
        <v>18926039</v>
      </c>
      <c r="T432" s="14" t="n">
        <f aca="false">IFERROR(S432/Q432,0)</f>
        <v>0.209298551714733</v>
      </c>
      <c r="U432" s="15" t="str">
        <f aca="false">TEXT(A432,"yyyy-mm")</f>
        <v>2022-05</v>
      </c>
    </row>
    <row r="433" customFormat="false" ht="15" hidden="false" customHeight="false" outlineLevel="0" collapsed="false">
      <c r="A433" s="10" t="n">
        <v>44705</v>
      </c>
      <c r="B433" s="11" t="s">
        <v>565</v>
      </c>
      <c r="C433" s="11" t="s">
        <v>121</v>
      </c>
      <c r="D433" s="11" t="s">
        <v>118</v>
      </c>
      <c r="E433" s="11" t="s">
        <v>122</v>
      </c>
      <c r="F433" s="12" t="n">
        <v>7687274</v>
      </c>
      <c r="G433" s="12" t="n">
        <v>6500000</v>
      </c>
      <c r="H433" s="11" t="n">
        <v>20</v>
      </c>
      <c r="I433" s="11" t="s">
        <v>86</v>
      </c>
      <c r="J433" s="11" t="s">
        <v>87</v>
      </c>
      <c r="K433" s="11" t="s">
        <v>88</v>
      </c>
      <c r="L433" s="11" t="s">
        <v>89</v>
      </c>
      <c r="M433" s="11" t="s">
        <v>90</v>
      </c>
      <c r="N433" s="11" t="s">
        <v>109</v>
      </c>
      <c r="O433" s="11" t="s">
        <v>75</v>
      </c>
      <c r="P433" s="11" t="s">
        <v>95</v>
      </c>
      <c r="Q433" s="13" t="n">
        <f aca="false">F433*H433</f>
        <v>153745480</v>
      </c>
      <c r="R433" s="13" t="n">
        <f aca="false">G433*H433</f>
        <v>130000000</v>
      </c>
      <c r="S433" s="13" t="n">
        <f aca="false">Q433-R433</f>
        <v>23745480</v>
      </c>
      <c r="T433" s="14" t="n">
        <f aca="false">IFERROR(S433/Q433,0)</f>
        <v>0.154446686822923</v>
      </c>
      <c r="U433" s="15" t="str">
        <f aca="false">TEXT(A433,"yyyy-mm")</f>
        <v>2022-05</v>
      </c>
    </row>
    <row r="434" customFormat="false" ht="15" hidden="false" customHeight="false" outlineLevel="0" collapsed="false">
      <c r="A434" s="10" t="n">
        <v>44705</v>
      </c>
      <c r="B434" s="11" t="s">
        <v>566</v>
      </c>
      <c r="C434" s="11" t="s">
        <v>125</v>
      </c>
      <c r="D434" s="11" t="s">
        <v>118</v>
      </c>
      <c r="E434" s="11" t="s">
        <v>126</v>
      </c>
      <c r="F434" s="12" t="n">
        <v>5684211</v>
      </c>
      <c r="G434" s="12" t="n">
        <v>4300000</v>
      </c>
      <c r="H434" s="11" t="n">
        <v>12</v>
      </c>
      <c r="I434" s="11" t="s">
        <v>69</v>
      </c>
      <c r="J434" s="11" t="s">
        <v>112</v>
      </c>
      <c r="K434" s="11" t="s">
        <v>113</v>
      </c>
      <c r="L434" s="11" t="s">
        <v>82</v>
      </c>
      <c r="M434" s="11" t="s">
        <v>157</v>
      </c>
      <c r="N434" s="11" t="s">
        <v>123</v>
      </c>
      <c r="O434" s="11" t="s">
        <v>60</v>
      </c>
      <c r="P434" s="11" t="s">
        <v>106</v>
      </c>
      <c r="Q434" s="13" t="n">
        <f aca="false">F434*H434</f>
        <v>68210532</v>
      </c>
      <c r="R434" s="13" t="n">
        <f aca="false">G434*H434</f>
        <v>51600000</v>
      </c>
      <c r="S434" s="13" t="n">
        <f aca="false">Q434-R434</f>
        <v>16610532</v>
      </c>
      <c r="T434" s="14" t="n">
        <f aca="false">IFERROR(S434/Q434,0)</f>
        <v>0.243518581558637</v>
      </c>
      <c r="U434" s="15" t="str">
        <f aca="false">TEXT(A434,"yyyy-mm")</f>
        <v>2022-05</v>
      </c>
    </row>
    <row r="435" customFormat="false" ht="15" hidden="false" customHeight="false" outlineLevel="0" collapsed="false">
      <c r="A435" s="10" t="n">
        <v>44706</v>
      </c>
      <c r="B435" s="11" t="s">
        <v>567</v>
      </c>
      <c r="C435" s="11" t="s">
        <v>128</v>
      </c>
      <c r="D435" s="11" t="s">
        <v>118</v>
      </c>
      <c r="E435" s="11" t="s">
        <v>119</v>
      </c>
      <c r="F435" s="12" t="n">
        <v>3370302</v>
      </c>
      <c r="G435" s="12" t="n">
        <v>2100000</v>
      </c>
      <c r="H435" s="11" t="n">
        <v>26</v>
      </c>
      <c r="I435" s="11" t="s">
        <v>69</v>
      </c>
      <c r="J435" s="11" t="s">
        <v>80</v>
      </c>
      <c r="K435" s="11" t="s">
        <v>81</v>
      </c>
      <c r="L435" s="11" t="s">
        <v>82</v>
      </c>
      <c r="M435" s="11" t="s">
        <v>73</v>
      </c>
      <c r="N435" s="11" t="s">
        <v>133</v>
      </c>
      <c r="O435" s="11" t="s">
        <v>60</v>
      </c>
      <c r="P435" s="11" t="s">
        <v>76</v>
      </c>
      <c r="Q435" s="13" t="n">
        <f aca="false">F435*H435</f>
        <v>87627852</v>
      </c>
      <c r="R435" s="13" t="n">
        <f aca="false">G435*H435</f>
        <v>54600000</v>
      </c>
      <c r="S435" s="13" t="n">
        <f aca="false">Q435-R435</f>
        <v>33027852</v>
      </c>
      <c r="T435" s="14" t="n">
        <f aca="false">IFERROR(S435/Q435,0)</f>
        <v>0.37691043710623</v>
      </c>
      <c r="U435" s="15" t="str">
        <f aca="false">TEXT(A435,"yyyy-mm")</f>
        <v>2022-05</v>
      </c>
    </row>
    <row r="436" customFormat="false" ht="15" hidden="false" customHeight="false" outlineLevel="0" collapsed="false">
      <c r="A436" s="10" t="n">
        <v>44706</v>
      </c>
      <c r="B436" s="11" t="s">
        <v>568</v>
      </c>
      <c r="C436" s="11" t="s">
        <v>130</v>
      </c>
      <c r="D436" s="11" t="s">
        <v>118</v>
      </c>
      <c r="E436" s="11" t="s">
        <v>68</v>
      </c>
      <c r="F436" s="12" t="n">
        <v>2852897</v>
      </c>
      <c r="G436" s="12" t="n">
        <v>2450000</v>
      </c>
      <c r="H436" s="11" t="n">
        <v>1</v>
      </c>
      <c r="I436" s="11" t="s">
        <v>86</v>
      </c>
      <c r="J436" s="11" t="s">
        <v>87</v>
      </c>
      <c r="K436" s="11" t="s">
        <v>88</v>
      </c>
      <c r="L436" s="11" t="s">
        <v>89</v>
      </c>
      <c r="M436" s="11" t="s">
        <v>90</v>
      </c>
      <c r="N436" s="11" t="s">
        <v>173</v>
      </c>
      <c r="O436" s="11" t="s">
        <v>174</v>
      </c>
      <c r="P436" s="11" t="s">
        <v>95</v>
      </c>
      <c r="Q436" s="13" t="n">
        <f aca="false">F436*H436</f>
        <v>2852897</v>
      </c>
      <c r="R436" s="13" t="n">
        <f aca="false">G436*H436</f>
        <v>2450000</v>
      </c>
      <c r="S436" s="13" t="n">
        <f aca="false">Q436-R436</f>
        <v>402897</v>
      </c>
      <c r="T436" s="14" t="n">
        <f aca="false">IFERROR(S436/Q436,0)</f>
        <v>0.141223815651249</v>
      </c>
      <c r="U436" s="15" t="str">
        <f aca="false">TEXT(A436,"yyyy-mm")</f>
        <v>2022-05</v>
      </c>
    </row>
    <row r="437" customFormat="false" ht="15" hidden="false" customHeight="false" outlineLevel="0" collapsed="false">
      <c r="A437" s="10" t="n">
        <v>44706</v>
      </c>
      <c r="B437" s="11" t="s">
        <v>569</v>
      </c>
      <c r="C437" s="11" t="s">
        <v>132</v>
      </c>
      <c r="D437" s="11" t="s">
        <v>118</v>
      </c>
      <c r="E437" s="11" t="s">
        <v>68</v>
      </c>
      <c r="F437" s="12" t="n">
        <v>4803603</v>
      </c>
      <c r="G437" s="12" t="n">
        <v>4121000</v>
      </c>
      <c r="H437" s="11" t="n">
        <v>24</v>
      </c>
      <c r="I437" s="11" t="s">
        <v>69</v>
      </c>
      <c r="J437" s="11" t="s">
        <v>80</v>
      </c>
      <c r="K437" s="11" t="s">
        <v>81</v>
      </c>
      <c r="L437" s="11" t="s">
        <v>82</v>
      </c>
      <c r="M437" s="11" t="s">
        <v>73</v>
      </c>
      <c r="N437" s="11" t="s">
        <v>93</v>
      </c>
      <c r="O437" s="11" t="s">
        <v>94</v>
      </c>
      <c r="P437" s="11" t="s">
        <v>95</v>
      </c>
      <c r="Q437" s="13" t="n">
        <f aca="false">F437*H437</f>
        <v>115286472</v>
      </c>
      <c r="R437" s="13" t="n">
        <f aca="false">G437*H437</f>
        <v>98904000</v>
      </c>
      <c r="S437" s="13" t="n">
        <f aca="false">Q437-R437</f>
        <v>16382472</v>
      </c>
      <c r="T437" s="14" t="n">
        <f aca="false">IFERROR(S437/Q437,0)</f>
        <v>0.142102292799801</v>
      </c>
      <c r="U437" s="15" t="str">
        <f aca="false">TEXT(A437,"yyyy-mm")</f>
        <v>2022-05</v>
      </c>
    </row>
    <row r="438" customFormat="false" ht="15" hidden="false" customHeight="false" outlineLevel="0" collapsed="false">
      <c r="A438" s="10" t="n">
        <v>44706</v>
      </c>
      <c r="B438" s="11" t="s">
        <v>570</v>
      </c>
      <c r="C438" s="11" t="s">
        <v>135</v>
      </c>
      <c r="D438" s="11" t="s">
        <v>118</v>
      </c>
      <c r="E438" s="11" t="s">
        <v>68</v>
      </c>
      <c r="F438" s="12" t="n">
        <v>5689947</v>
      </c>
      <c r="G438" s="12" t="n">
        <v>5235000</v>
      </c>
      <c r="H438" s="11" t="n">
        <v>8</v>
      </c>
      <c r="I438" s="11" t="s">
        <v>69</v>
      </c>
      <c r="J438" s="11" t="s">
        <v>112</v>
      </c>
      <c r="K438" s="11" t="s">
        <v>113</v>
      </c>
      <c r="L438" s="11" t="s">
        <v>82</v>
      </c>
      <c r="M438" s="11" t="s">
        <v>157</v>
      </c>
      <c r="N438" s="11" t="s">
        <v>173</v>
      </c>
      <c r="O438" s="11" t="s">
        <v>174</v>
      </c>
      <c r="P438" s="11" t="s">
        <v>95</v>
      </c>
      <c r="Q438" s="13" t="n">
        <f aca="false">F438*H438</f>
        <v>45519576</v>
      </c>
      <c r="R438" s="13" t="n">
        <f aca="false">G438*H438</f>
        <v>41880000</v>
      </c>
      <c r="S438" s="13" t="n">
        <f aca="false">Q438-R438</f>
        <v>3639576</v>
      </c>
      <c r="T438" s="14" t="n">
        <f aca="false">IFERROR(S438/Q438,0)</f>
        <v>0.0799562807878527</v>
      </c>
      <c r="U438" s="15" t="str">
        <f aca="false">TEXT(A438,"yyyy-mm")</f>
        <v>2022-05</v>
      </c>
    </row>
    <row r="439" customFormat="false" ht="15" hidden="false" customHeight="false" outlineLevel="0" collapsed="false">
      <c r="A439" s="10" t="n">
        <v>44706</v>
      </c>
      <c r="B439" s="11" t="s">
        <v>571</v>
      </c>
      <c r="C439" s="11" t="s">
        <v>137</v>
      </c>
      <c r="D439" s="11" t="s">
        <v>138</v>
      </c>
      <c r="E439" s="11" t="s">
        <v>139</v>
      </c>
      <c r="F439" s="12" t="n">
        <v>5171827</v>
      </c>
      <c r="G439" s="12" t="n">
        <v>4890000</v>
      </c>
      <c r="H439" s="11" t="n">
        <v>4</v>
      </c>
      <c r="I439" s="11" t="s">
        <v>69</v>
      </c>
      <c r="J439" s="11" t="s">
        <v>70</v>
      </c>
      <c r="K439" s="11" t="s">
        <v>71</v>
      </c>
      <c r="L439" s="11" t="s">
        <v>72</v>
      </c>
      <c r="M439" s="11" t="s">
        <v>73</v>
      </c>
      <c r="N439" s="11" t="s">
        <v>149</v>
      </c>
      <c r="O439" s="11" t="s">
        <v>150</v>
      </c>
      <c r="P439" s="11" t="s">
        <v>151</v>
      </c>
      <c r="Q439" s="13" t="n">
        <f aca="false">F439*H439</f>
        <v>20687308</v>
      </c>
      <c r="R439" s="13" t="n">
        <f aca="false">G439*H439</f>
        <v>19560000</v>
      </c>
      <c r="S439" s="13" t="n">
        <f aca="false">Q439-R439</f>
        <v>1127308</v>
      </c>
      <c r="T439" s="14" t="n">
        <f aca="false">IFERROR(S439/Q439,0)</f>
        <v>0.0544927353525166</v>
      </c>
      <c r="U439" s="15" t="str">
        <f aca="false">TEXT(A439,"yyyy-mm")</f>
        <v>2022-05</v>
      </c>
    </row>
    <row r="440" customFormat="false" ht="15" hidden="false" customHeight="false" outlineLevel="0" collapsed="false">
      <c r="A440" s="10" t="n">
        <v>44706</v>
      </c>
      <c r="B440" s="11" t="s">
        <v>572</v>
      </c>
      <c r="C440" s="11" t="s">
        <v>141</v>
      </c>
      <c r="D440" s="11" t="s">
        <v>138</v>
      </c>
      <c r="E440" s="11" t="s">
        <v>142</v>
      </c>
      <c r="F440" s="12" t="n">
        <v>2805124</v>
      </c>
      <c r="G440" s="12" t="n">
        <v>2178000</v>
      </c>
      <c r="H440" s="11" t="n">
        <v>11</v>
      </c>
      <c r="I440" s="11" t="s">
        <v>69</v>
      </c>
      <c r="J440" s="11" t="s">
        <v>70</v>
      </c>
      <c r="K440" s="11" t="s">
        <v>71</v>
      </c>
      <c r="L440" s="11" t="s">
        <v>72</v>
      </c>
      <c r="M440" s="11" t="s">
        <v>73</v>
      </c>
      <c r="N440" s="11" t="s">
        <v>74</v>
      </c>
      <c r="O440" s="11" t="s">
        <v>75</v>
      </c>
      <c r="P440" s="11" t="s">
        <v>76</v>
      </c>
      <c r="Q440" s="13" t="n">
        <f aca="false">F440*H440</f>
        <v>30856364</v>
      </c>
      <c r="R440" s="13" t="n">
        <f aca="false">G440*H440</f>
        <v>23958000</v>
      </c>
      <c r="S440" s="13" t="n">
        <f aca="false">Q440-R440</f>
        <v>6898364</v>
      </c>
      <c r="T440" s="14" t="n">
        <f aca="false">IFERROR(S440/Q440,0)</f>
        <v>0.22356373550688</v>
      </c>
      <c r="U440" s="15" t="str">
        <f aca="false">TEXT(A440,"yyyy-mm")</f>
        <v>2022-05</v>
      </c>
    </row>
    <row r="441" customFormat="false" ht="15" hidden="false" customHeight="false" outlineLevel="0" collapsed="false">
      <c r="A441" s="10" t="n">
        <v>44706</v>
      </c>
      <c r="B441" s="11" t="s">
        <v>573</v>
      </c>
      <c r="C441" s="11" t="s">
        <v>146</v>
      </c>
      <c r="D441" s="11" t="s">
        <v>138</v>
      </c>
      <c r="E441" s="11" t="s">
        <v>139</v>
      </c>
      <c r="F441" s="12" t="n">
        <v>2728100</v>
      </c>
      <c r="G441" s="12" t="n">
        <v>2321000</v>
      </c>
      <c r="H441" s="11" t="n">
        <v>21</v>
      </c>
      <c r="I441" s="11" t="s">
        <v>86</v>
      </c>
      <c r="J441" s="11" t="s">
        <v>87</v>
      </c>
      <c r="K441" s="11" t="s">
        <v>88</v>
      </c>
      <c r="L441" s="11" t="s">
        <v>89</v>
      </c>
      <c r="M441" s="11" t="s">
        <v>90</v>
      </c>
      <c r="N441" s="11" t="s">
        <v>93</v>
      </c>
      <c r="O441" s="11" t="s">
        <v>94</v>
      </c>
      <c r="P441" s="11" t="s">
        <v>95</v>
      </c>
      <c r="Q441" s="13" t="n">
        <f aca="false">F441*H441</f>
        <v>57290100</v>
      </c>
      <c r="R441" s="13" t="n">
        <f aca="false">G441*H441</f>
        <v>48741000</v>
      </c>
      <c r="S441" s="13" t="n">
        <f aca="false">Q441-R441</f>
        <v>8549100</v>
      </c>
      <c r="T441" s="14" t="n">
        <f aca="false">IFERROR(S441/Q441,0)</f>
        <v>0.149224735163667</v>
      </c>
      <c r="U441" s="15" t="str">
        <f aca="false">TEXT(A441,"yyyy-mm")</f>
        <v>2022-05</v>
      </c>
    </row>
    <row r="442" customFormat="false" ht="15" hidden="false" customHeight="false" outlineLevel="0" collapsed="false">
      <c r="A442" s="10" t="n">
        <v>44706</v>
      </c>
      <c r="B442" s="11" t="s">
        <v>574</v>
      </c>
      <c r="C442" s="11" t="s">
        <v>148</v>
      </c>
      <c r="D442" s="11" t="s">
        <v>138</v>
      </c>
      <c r="E442" s="11" t="s">
        <v>122</v>
      </c>
      <c r="F442" s="12" t="n">
        <v>4941716</v>
      </c>
      <c r="G442" s="12" t="n">
        <v>4456000</v>
      </c>
      <c r="H442" s="11" t="n">
        <v>16</v>
      </c>
      <c r="I442" s="11" t="s">
        <v>69</v>
      </c>
      <c r="J442" s="11" t="s">
        <v>70</v>
      </c>
      <c r="K442" s="11" t="s">
        <v>71</v>
      </c>
      <c r="L442" s="11" t="s">
        <v>72</v>
      </c>
      <c r="M442" s="11" t="s">
        <v>73</v>
      </c>
      <c r="N442" s="11" t="s">
        <v>109</v>
      </c>
      <c r="O442" s="11" t="s">
        <v>75</v>
      </c>
      <c r="P442" s="11" t="s">
        <v>95</v>
      </c>
      <c r="Q442" s="13" t="n">
        <f aca="false">F442*H442</f>
        <v>79067456</v>
      </c>
      <c r="R442" s="13" t="n">
        <f aca="false">G442*H442</f>
        <v>71296000</v>
      </c>
      <c r="S442" s="13" t="n">
        <f aca="false">Q442-R442</f>
        <v>7771456</v>
      </c>
      <c r="T442" s="14" t="n">
        <f aca="false">IFERROR(S442/Q442,0)</f>
        <v>0.0982889344511097</v>
      </c>
      <c r="U442" s="15" t="str">
        <f aca="false">TEXT(A442,"yyyy-mm")</f>
        <v>2022-05</v>
      </c>
    </row>
    <row r="443" customFormat="false" ht="15" hidden="false" customHeight="false" outlineLevel="0" collapsed="false">
      <c r="A443" s="10" t="n">
        <v>44707</v>
      </c>
      <c r="B443" s="11" t="s">
        <v>575</v>
      </c>
      <c r="C443" s="11" t="s">
        <v>66</v>
      </c>
      <c r="D443" s="11" t="s">
        <v>67</v>
      </c>
      <c r="E443" s="11" t="s">
        <v>68</v>
      </c>
      <c r="F443" s="12" t="n">
        <v>3048952</v>
      </c>
      <c r="G443" s="12" t="n">
        <v>2560000</v>
      </c>
      <c r="H443" s="11" t="n">
        <v>15</v>
      </c>
      <c r="I443" s="11" t="s">
        <v>69</v>
      </c>
      <c r="J443" s="11" t="s">
        <v>80</v>
      </c>
      <c r="K443" s="11" t="s">
        <v>81</v>
      </c>
      <c r="L443" s="11" t="s">
        <v>82</v>
      </c>
      <c r="M443" s="11" t="s">
        <v>73</v>
      </c>
      <c r="N443" s="11" t="s">
        <v>173</v>
      </c>
      <c r="O443" s="11" t="s">
        <v>174</v>
      </c>
      <c r="P443" s="11" t="s">
        <v>95</v>
      </c>
      <c r="Q443" s="13" t="n">
        <f aca="false">F443*H443</f>
        <v>45734280</v>
      </c>
      <c r="R443" s="13" t="n">
        <f aca="false">G443*H443</f>
        <v>38400000</v>
      </c>
      <c r="S443" s="13" t="n">
        <f aca="false">Q443-R443</f>
        <v>7334280</v>
      </c>
      <c r="T443" s="14" t="n">
        <f aca="false">IFERROR(S443/Q443,0)</f>
        <v>0.160367234380863</v>
      </c>
      <c r="U443" s="15" t="str">
        <f aca="false">TEXT(A443,"yyyy-mm")</f>
        <v>2022-05</v>
      </c>
    </row>
    <row r="444" customFormat="false" ht="15" hidden="false" customHeight="false" outlineLevel="0" collapsed="false">
      <c r="A444" s="10" t="n">
        <v>44707</v>
      </c>
      <c r="B444" s="11" t="s">
        <v>576</v>
      </c>
      <c r="C444" s="11" t="s">
        <v>78</v>
      </c>
      <c r="D444" s="11" t="s">
        <v>67</v>
      </c>
      <c r="E444" s="11" t="s">
        <v>79</v>
      </c>
      <c r="F444" s="12" t="n">
        <v>1870000</v>
      </c>
      <c r="G444" s="12" t="n">
        <v>1650000</v>
      </c>
      <c r="H444" s="11" t="n">
        <v>5</v>
      </c>
      <c r="I444" s="11" t="s">
        <v>86</v>
      </c>
      <c r="J444" s="11" t="s">
        <v>87</v>
      </c>
      <c r="K444" s="11" t="s">
        <v>88</v>
      </c>
      <c r="L444" s="11" t="s">
        <v>89</v>
      </c>
      <c r="M444" s="11" t="s">
        <v>90</v>
      </c>
      <c r="N444" s="11" t="s">
        <v>93</v>
      </c>
      <c r="O444" s="11" t="s">
        <v>94</v>
      </c>
      <c r="P444" s="11" t="s">
        <v>95</v>
      </c>
      <c r="Q444" s="13" t="n">
        <f aca="false">F444*H444</f>
        <v>9350000</v>
      </c>
      <c r="R444" s="13" t="n">
        <f aca="false">G444*H444</f>
        <v>8250000</v>
      </c>
      <c r="S444" s="13" t="n">
        <f aca="false">Q444-R444</f>
        <v>1100000</v>
      </c>
      <c r="T444" s="14" t="n">
        <f aca="false">IFERROR(S444/Q444,0)</f>
        <v>0.117647058823529</v>
      </c>
      <c r="U444" s="15" t="str">
        <f aca="false">TEXT(A444,"yyyy-mm")</f>
        <v>2022-05</v>
      </c>
    </row>
    <row r="445" customFormat="false" ht="15" hidden="false" customHeight="false" outlineLevel="0" collapsed="false">
      <c r="A445" s="10" t="n">
        <v>44707</v>
      </c>
      <c r="B445" s="11" t="s">
        <v>577</v>
      </c>
      <c r="C445" s="11" t="s">
        <v>84</v>
      </c>
      <c r="D445" s="11" t="s">
        <v>67</v>
      </c>
      <c r="E445" s="11" t="s">
        <v>85</v>
      </c>
      <c r="F445" s="12" t="n">
        <v>2600000</v>
      </c>
      <c r="G445" s="12" t="n">
        <v>2300000</v>
      </c>
      <c r="H445" s="11" t="n">
        <v>10</v>
      </c>
      <c r="I445" s="11" t="s">
        <v>69</v>
      </c>
      <c r="J445" s="11" t="s">
        <v>80</v>
      </c>
      <c r="K445" s="11" t="s">
        <v>81</v>
      </c>
      <c r="L445" s="11" t="s">
        <v>82</v>
      </c>
      <c r="M445" s="11" t="s">
        <v>73</v>
      </c>
      <c r="N445" s="11" t="s">
        <v>173</v>
      </c>
      <c r="O445" s="11" t="s">
        <v>174</v>
      </c>
      <c r="P445" s="11" t="s">
        <v>95</v>
      </c>
      <c r="Q445" s="13" t="n">
        <f aca="false">F445*H445</f>
        <v>26000000</v>
      </c>
      <c r="R445" s="13" t="n">
        <f aca="false">G445*H445</f>
        <v>23000000</v>
      </c>
      <c r="S445" s="13" t="n">
        <f aca="false">Q445-R445</f>
        <v>3000000</v>
      </c>
      <c r="T445" s="14" t="n">
        <f aca="false">IFERROR(S445/Q445,0)</f>
        <v>0.115384615384615</v>
      </c>
      <c r="U445" s="15" t="str">
        <f aca="false">TEXT(A445,"yyyy-mm")</f>
        <v>2022-05</v>
      </c>
    </row>
    <row r="446" customFormat="false" ht="15" hidden="false" customHeight="false" outlineLevel="0" collapsed="false">
      <c r="A446" s="10" t="n">
        <v>44707</v>
      </c>
      <c r="B446" s="11" t="s">
        <v>578</v>
      </c>
      <c r="C446" s="11" t="s">
        <v>92</v>
      </c>
      <c r="D446" s="11" t="s">
        <v>67</v>
      </c>
      <c r="E446" s="11" t="s">
        <v>79</v>
      </c>
      <c r="F446" s="12" t="n">
        <v>3577480</v>
      </c>
      <c r="G446" s="12" t="n">
        <v>3100000</v>
      </c>
      <c r="H446" s="11" t="n">
        <v>28</v>
      </c>
      <c r="I446" s="11" t="s">
        <v>69</v>
      </c>
      <c r="J446" s="11" t="s">
        <v>112</v>
      </c>
      <c r="K446" s="11" t="s">
        <v>113</v>
      </c>
      <c r="L446" s="11" t="s">
        <v>82</v>
      </c>
      <c r="M446" s="11" t="s">
        <v>157</v>
      </c>
      <c r="N446" s="11" t="s">
        <v>143</v>
      </c>
      <c r="O446" s="11" t="s">
        <v>144</v>
      </c>
      <c r="P446" s="11" t="s">
        <v>101</v>
      </c>
      <c r="Q446" s="13" t="n">
        <f aca="false">F446*H446</f>
        <v>100169440</v>
      </c>
      <c r="R446" s="13" t="n">
        <f aca="false">G446*H446</f>
        <v>86800000</v>
      </c>
      <c r="S446" s="13" t="n">
        <f aca="false">Q446-R446</f>
        <v>13369440</v>
      </c>
      <c r="T446" s="14" t="n">
        <f aca="false">IFERROR(S446/Q446,0)</f>
        <v>0.133468251394837</v>
      </c>
      <c r="U446" s="15" t="str">
        <f aca="false">TEXT(A446,"yyyy-mm")</f>
        <v>2022-05</v>
      </c>
    </row>
    <row r="447" customFormat="false" ht="15" hidden="false" customHeight="false" outlineLevel="0" collapsed="false">
      <c r="A447" s="10" t="n">
        <v>44708</v>
      </c>
      <c r="B447" s="11" t="s">
        <v>579</v>
      </c>
      <c r="C447" s="11" t="s">
        <v>97</v>
      </c>
      <c r="D447" s="11" t="s">
        <v>67</v>
      </c>
      <c r="E447" s="11" t="s">
        <v>98</v>
      </c>
      <c r="F447" s="12" t="n">
        <v>4969724</v>
      </c>
      <c r="G447" s="12" t="n">
        <v>4121560</v>
      </c>
      <c r="H447" s="11" t="n">
        <v>20</v>
      </c>
      <c r="I447" s="11" t="s">
        <v>69</v>
      </c>
      <c r="J447" s="11" t="s">
        <v>80</v>
      </c>
      <c r="K447" s="11" t="s">
        <v>81</v>
      </c>
      <c r="L447" s="11" t="s">
        <v>82</v>
      </c>
      <c r="M447" s="11" t="s">
        <v>73</v>
      </c>
      <c r="N447" s="11" t="s">
        <v>123</v>
      </c>
      <c r="O447" s="11" t="s">
        <v>60</v>
      </c>
      <c r="P447" s="11" t="s">
        <v>106</v>
      </c>
      <c r="Q447" s="13" t="n">
        <f aca="false">F447*H447</f>
        <v>99394480</v>
      </c>
      <c r="R447" s="13" t="n">
        <f aca="false">G447*H447</f>
        <v>82431200</v>
      </c>
      <c r="S447" s="13" t="n">
        <f aca="false">Q447-R447</f>
        <v>16963280</v>
      </c>
      <c r="T447" s="14" t="n">
        <f aca="false">IFERROR(S447/Q447,0)</f>
        <v>0.170666218083741</v>
      </c>
      <c r="U447" s="15" t="str">
        <f aca="false">TEXT(A447,"yyyy-mm")</f>
        <v>2022-05</v>
      </c>
    </row>
    <row r="448" customFormat="false" ht="15" hidden="false" customHeight="false" outlineLevel="0" collapsed="false">
      <c r="A448" s="10" t="n">
        <v>44709</v>
      </c>
      <c r="B448" s="11" t="s">
        <v>580</v>
      </c>
      <c r="C448" s="11" t="s">
        <v>103</v>
      </c>
      <c r="D448" s="11" t="s">
        <v>67</v>
      </c>
      <c r="E448" s="11" t="s">
        <v>68</v>
      </c>
      <c r="F448" s="12" t="n">
        <v>3319925</v>
      </c>
      <c r="G448" s="12" t="n">
        <v>2800000</v>
      </c>
      <c r="H448" s="11" t="n">
        <v>2</v>
      </c>
      <c r="I448" s="11" t="s">
        <v>86</v>
      </c>
      <c r="J448" s="11" t="s">
        <v>87</v>
      </c>
      <c r="K448" s="11" t="s">
        <v>88</v>
      </c>
      <c r="L448" s="11" t="s">
        <v>89</v>
      </c>
      <c r="M448" s="11" t="s">
        <v>90</v>
      </c>
      <c r="N448" s="11" t="s">
        <v>149</v>
      </c>
      <c r="O448" s="11" t="s">
        <v>150</v>
      </c>
      <c r="P448" s="11" t="s">
        <v>151</v>
      </c>
      <c r="Q448" s="13" t="n">
        <f aca="false">F448*H448</f>
        <v>6639850</v>
      </c>
      <c r="R448" s="13" t="n">
        <f aca="false">G448*H448</f>
        <v>5600000</v>
      </c>
      <c r="S448" s="13" t="n">
        <f aca="false">Q448-R448</f>
        <v>1039850</v>
      </c>
      <c r="T448" s="14" t="n">
        <f aca="false">IFERROR(S448/Q448,0)</f>
        <v>0.15660745348163</v>
      </c>
      <c r="U448" s="15" t="str">
        <f aca="false">TEXT(A448,"yyyy-mm")</f>
        <v>2022-05</v>
      </c>
    </row>
    <row r="449" customFormat="false" ht="15" hidden="false" customHeight="false" outlineLevel="0" collapsed="false">
      <c r="A449" s="10" t="n">
        <v>44709</v>
      </c>
      <c r="B449" s="11" t="s">
        <v>581</v>
      </c>
      <c r="C449" s="11" t="s">
        <v>108</v>
      </c>
      <c r="D449" s="11" t="s">
        <v>67</v>
      </c>
      <c r="E449" s="11" t="s">
        <v>68</v>
      </c>
      <c r="F449" s="12" t="n">
        <v>4757880</v>
      </c>
      <c r="G449" s="12" t="n">
        <v>3450000</v>
      </c>
      <c r="H449" s="11" t="n">
        <v>3</v>
      </c>
      <c r="I449" s="11" t="s">
        <v>69</v>
      </c>
      <c r="J449" s="11" t="s">
        <v>70</v>
      </c>
      <c r="K449" s="11" t="s">
        <v>71</v>
      </c>
      <c r="L449" s="11" t="s">
        <v>72</v>
      </c>
      <c r="M449" s="11" t="s">
        <v>73</v>
      </c>
      <c r="N449" s="11" t="s">
        <v>104</v>
      </c>
      <c r="O449" s="11" t="s">
        <v>105</v>
      </c>
      <c r="P449" s="11" t="s">
        <v>106</v>
      </c>
      <c r="Q449" s="13" t="n">
        <f aca="false">F449*H449</f>
        <v>14273640</v>
      </c>
      <c r="R449" s="13" t="n">
        <f aca="false">G449*H449</f>
        <v>10350000</v>
      </c>
      <c r="S449" s="13" t="n">
        <f aca="false">Q449-R449</f>
        <v>3923640</v>
      </c>
      <c r="T449" s="14" t="n">
        <f aca="false">IFERROR(S449/Q449,0)</f>
        <v>0.274887134606169</v>
      </c>
      <c r="U449" s="15" t="str">
        <f aca="false">TEXT(A449,"yyyy-mm")</f>
        <v>2022-05</v>
      </c>
    </row>
    <row r="450" customFormat="false" ht="15" hidden="false" customHeight="false" outlineLevel="0" collapsed="false">
      <c r="A450" s="10" t="n">
        <v>44709</v>
      </c>
      <c r="B450" s="11" t="s">
        <v>582</v>
      </c>
      <c r="C450" s="11" t="s">
        <v>111</v>
      </c>
      <c r="D450" s="11" t="s">
        <v>67</v>
      </c>
      <c r="E450" s="11" t="s">
        <v>79</v>
      </c>
      <c r="F450" s="12" t="n">
        <v>3545808</v>
      </c>
      <c r="G450" s="12" t="n">
        <v>3350000</v>
      </c>
      <c r="H450" s="11" t="n">
        <v>14</v>
      </c>
      <c r="I450" s="11" t="s">
        <v>86</v>
      </c>
      <c r="J450" s="11" t="s">
        <v>87</v>
      </c>
      <c r="K450" s="11" t="s">
        <v>88</v>
      </c>
      <c r="L450" s="11" t="s">
        <v>89</v>
      </c>
      <c r="M450" s="11" t="s">
        <v>90</v>
      </c>
      <c r="N450" s="11" t="s">
        <v>99</v>
      </c>
      <c r="O450" s="11" t="s">
        <v>100</v>
      </c>
      <c r="P450" s="11" t="s">
        <v>101</v>
      </c>
      <c r="Q450" s="13" t="n">
        <f aca="false">F450*H450</f>
        <v>49641312</v>
      </c>
      <c r="R450" s="13" t="n">
        <f aca="false">G450*H450</f>
        <v>46900000</v>
      </c>
      <c r="S450" s="13" t="n">
        <f aca="false">Q450-R450</f>
        <v>2741312</v>
      </c>
      <c r="T450" s="14" t="n">
        <f aca="false">IFERROR(S450/Q450,0)</f>
        <v>0.0552223921881839</v>
      </c>
      <c r="U450" s="15" t="str">
        <f aca="false">TEXT(A450,"yyyy-mm")</f>
        <v>2022-05</v>
      </c>
    </row>
    <row r="451" customFormat="false" ht="15" hidden="false" customHeight="false" outlineLevel="0" collapsed="false">
      <c r="A451" s="10" t="n">
        <v>44709</v>
      </c>
      <c r="B451" s="11" t="s">
        <v>583</v>
      </c>
      <c r="C451" s="11" t="s">
        <v>115</v>
      </c>
      <c r="D451" s="11" t="s">
        <v>67</v>
      </c>
      <c r="E451" s="11" t="s">
        <v>98</v>
      </c>
      <c r="F451" s="12" t="n">
        <v>4200743</v>
      </c>
      <c r="G451" s="12" t="n">
        <v>4101000</v>
      </c>
      <c r="H451" s="11" t="n">
        <v>14</v>
      </c>
      <c r="I451" s="11" t="s">
        <v>69</v>
      </c>
      <c r="J451" s="11" t="s">
        <v>80</v>
      </c>
      <c r="K451" s="11" t="s">
        <v>81</v>
      </c>
      <c r="L451" s="11" t="s">
        <v>82</v>
      </c>
      <c r="M451" s="11" t="s">
        <v>73</v>
      </c>
      <c r="N451" s="11" t="s">
        <v>99</v>
      </c>
      <c r="O451" s="11" t="s">
        <v>100</v>
      </c>
      <c r="P451" s="11" t="s">
        <v>101</v>
      </c>
      <c r="Q451" s="13" t="n">
        <f aca="false">F451*H451</f>
        <v>58810402</v>
      </c>
      <c r="R451" s="13" t="n">
        <f aca="false">G451*H451</f>
        <v>57414000</v>
      </c>
      <c r="S451" s="13" t="n">
        <f aca="false">Q451-R451</f>
        <v>1396402</v>
      </c>
      <c r="T451" s="14" t="n">
        <f aca="false">IFERROR(S451/Q451,0)</f>
        <v>0.023744132883159</v>
      </c>
      <c r="U451" s="15" t="str">
        <f aca="false">TEXT(A451,"yyyy-mm")</f>
        <v>2022-05</v>
      </c>
    </row>
    <row r="452" customFormat="false" ht="15" hidden="false" customHeight="false" outlineLevel="0" collapsed="false">
      <c r="A452" s="10" t="n">
        <v>44710</v>
      </c>
      <c r="B452" s="11" t="s">
        <v>584</v>
      </c>
      <c r="C452" s="11" t="s">
        <v>117</v>
      </c>
      <c r="D452" s="11" t="s">
        <v>118</v>
      </c>
      <c r="E452" s="11" t="s">
        <v>119</v>
      </c>
      <c r="F452" s="12" t="n">
        <v>8220549</v>
      </c>
      <c r="G452" s="12" t="n">
        <v>6500000</v>
      </c>
      <c r="H452" s="11" t="n">
        <v>24</v>
      </c>
      <c r="I452" s="11" t="s">
        <v>69</v>
      </c>
      <c r="J452" s="11" t="s">
        <v>112</v>
      </c>
      <c r="K452" s="11" t="s">
        <v>113</v>
      </c>
      <c r="L452" s="11" t="s">
        <v>82</v>
      </c>
      <c r="M452" s="11" t="s">
        <v>157</v>
      </c>
      <c r="N452" s="11" t="s">
        <v>173</v>
      </c>
      <c r="O452" s="11" t="s">
        <v>174</v>
      </c>
      <c r="P452" s="11" t="s">
        <v>95</v>
      </c>
      <c r="Q452" s="13" t="n">
        <f aca="false">F452*H452</f>
        <v>197293176</v>
      </c>
      <c r="R452" s="13" t="n">
        <f aca="false">G452*H452</f>
        <v>156000000</v>
      </c>
      <c r="S452" s="13" t="n">
        <f aca="false">Q452-R452</f>
        <v>41293176</v>
      </c>
      <c r="T452" s="14" t="n">
        <f aca="false">IFERROR(S452/Q452,0)</f>
        <v>0.209298551714733</v>
      </c>
      <c r="U452" s="15" t="str">
        <f aca="false">TEXT(A452,"yyyy-mm")</f>
        <v>2022-05</v>
      </c>
    </row>
    <row r="453" customFormat="false" ht="15" hidden="false" customHeight="false" outlineLevel="0" collapsed="false">
      <c r="A453" s="10" t="n">
        <v>44711</v>
      </c>
      <c r="B453" s="11" t="s">
        <v>585</v>
      </c>
      <c r="C453" s="11" t="s">
        <v>121</v>
      </c>
      <c r="D453" s="11" t="s">
        <v>118</v>
      </c>
      <c r="E453" s="11" t="s">
        <v>122</v>
      </c>
      <c r="F453" s="12" t="n">
        <v>7687274</v>
      </c>
      <c r="G453" s="12" t="n">
        <v>6500000</v>
      </c>
      <c r="H453" s="11" t="n">
        <v>16</v>
      </c>
      <c r="I453" s="11" t="s">
        <v>69</v>
      </c>
      <c r="J453" s="11" t="s">
        <v>70</v>
      </c>
      <c r="K453" s="11" t="s">
        <v>71</v>
      </c>
      <c r="L453" s="11" t="s">
        <v>72</v>
      </c>
      <c r="M453" s="11" t="s">
        <v>73</v>
      </c>
      <c r="N453" s="11" t="s">
        <v>149</v>
      </c>
      <c r="O453" s="11" t="s">
        <v>150</v>
      </c>
      <c r="P453" s="11" t="s">
        <v>151</v>
      </c>
      <c r="Q453" s="13" t="n">
        <f aca="false">F453*H453</f>
        <v>122996384</v>
      </c>
      <c r="R453" s="13" t="n">
        <f aca="false">G453*H453</f>
        <v>104000000</v>
      </c>
      <c r="S453" s="13" t="n">
        <f aca="false">Q453-R453</f>
        <v>18996384</v>
      </c>
      <c r="T453" s="14" t="n">
        <f aca="false">IFERROR(S453/Q453,0)</f>
        <v>0.154446686822923</v>
      </c>
      <c r="U453" s="15" t="str">
        <f aca="false">TEXT(A453,"yyyy-mm")</f>
        <v>2022-05</v>
      </c>
    </row>
    <row r="454" customFormat="false" ht="15" hidden="false" customHeight="false" outlineLevel="0" collapsed="false">
      <c r="A454" s="10" t="n">
        <v>44711</v>
      </c>
      <c r="B454" s="11" t="s">
        <v>586</v>
      </c>
      <c r="C454" s="11" t="s">
        <v>125</v>
      </c>
      <c r="D454" s="11" t="s">
        <v>118</v>
      </c>
      <c r="E454" s="11" t="s">
        <v>126</v>
      </c>
      <c r="F454" s="12" t="n">
        <v>5684211</v>
      </c>
      <c r="G454" s="12" t="n">
        <v>4300000</v>
      </c>
      <c r="H454" s="11" t="n">
        <v>10</v>
      </c>
      <c r="I454" s="11" t="s">
        <v>69</v>
      </c>
      <c r="J454" s="11" t="s">
        <v>70</v>
      </c>
      <c r="K454" s="11" t="s">
        <v>71</v>
      </c>
      <c r="L454" s="11" t="s">
        <v>72</v>
      </c>
      <c r="M454" s="11" t="s">
        <v>73</v>
      </c>
      <c r="N454" s="11" t="s">
        <v>104</v>
      </c>
      <c r="O454" s="11" t="s">
        <v>105</v>
      </c>
      <c r="P454" s="11" t="s">
        <v>106</v>
      </c>
      <c r="Q454" s="13" t="n">
        <f aca="false">F454*H454</f>
        <v>56842110</v>
      </c>
      <c r="R454" s="13" t="n">
        <f aca="false">G454*H454</f>
        <v>43000000</v>
      </c>
      <c r="S454" s="13" t="n">
        <f aca="false">Q454-R454</f>
        <v>13842110</v>
      </c>
      <c r="T454" s="14" t="n">
        <f aca="false">IFERROR(S454/Q454,0)</f>
        <v>0.243518581558637</v>
      </c>
      <c r="U454" s="15" t="str">
        <f aca="false">TEXT(A454,"yyyy-mm")</f>
        <v>2022-05</v>
      </c>
    </row>
    <row r="455" customFormat="false" ht="15" hidden="false" customHeight="false" outlineLevel="0" collapsed="false">
      <c r="A455" s="10" t="n">
        <v>44712</v>
      </c>
      <c r="B455" s="11" t="s">
        <v>587</v>
      </c>
      <c r="C455" s="11" t="s">
        <v>128</v>
      </c>
      <c r="D455" s="11" t="s">
        <v>118</v>
      </c>
      <c r="E455" s="11" t="s">
        <v>119</v>
      </c>
      <c r="F455" s="12" t="n">
        <v>3370302</v>
      </c>
      <c r="G455" s="12" t="n">
        <v>2100000</v>
      </c>
      <c r="H455" s="11" t="n">
        <v>25</v>
      </c>
      <c r="I455" s="11" t="s">
        <v>86</v>
      </c>
      <c r="J455" s="11" t="s">
        <v>87</v>
      </c>
      <c r="K455" s="11" t="s">
        <v>88</v>
      </c>
      <c r="L455" s="11" t="s">
        <v>89</v>
      </c>
      <c r="M455" s="11" t="s">
        <v>90</v>
      </c>
      <c r="N455" s="11" t="s">
        <v>149</v>
      </c>
      <c r="O455" s="11" t="s">
        <v>150</v>
      </c>
      <c r="P455" s="11" t="s">
        <v>151</v>
      </c>
      <c r="Q455" s="13" t="n">
        <f aca="false">F455*H455</f>
        <v>84257550</v>
      </c>
      <c r="R455" s="13" t="n">
        <f aca="false">G455*H455</f>
        <v>52500000</v>
      </c>
      <c r="S455" s="13" t="n">
        <f aca="false">Q455-R455</f>
        <v>31757550</v>
      </c>
      <c r="T455" s="14" t="n">
        <f aca="false">IFERROR(S455/Q455,0)</f>
        <v>0.37691043710623</v>
      </c>
      <c r="U455" s="15" t="str">
        <f aca="false">TEXT(A455,"yyyy-mm")</f>
        <v>2022-05</v>
      </c>
    </row>
    <row r="456" customFormat="false" ht="15" hidden="false" customHeight="false" outlineLevel="0" collapsed="false">
      <c r="A456" s="10" t="n">
        <v>44712</v>
      </c>
      <c r="B456" s="11" t="s">
        <v>588</v>
      </c>
      <c r="C456" s="11" t="s">
        <v>130</v>
      </c>
      <c r="D456" s="11" t="s">
        <v>118</v>
      </c>
      <c r="E456" s="11" t="s">
        <v>68</v>
      </c>
      <c r="F456" s="12" t="n">
        <v>2852897</v>
      </c>
      <c r="G456" s="12" t="n">
        <v>2450000</v>
      </c>
      <c r="H456" s="11" t="n">
        <v>6</v>
      </c>
      <c r="I456" s="11" t="s">
        <v>69</v>
      </c>
      <c r="J456" s="11" t="s">
        <v>80</v>
      </c>
      <c r="K456" s="11" t="s">
        <v>81</v>
      </c>
      <c r="L456" s="11" t="s">
        <v>82</v>
      </c>
      <c r="M456" s="11" t="s">
        <v>73</v>
      </c>
      <c r="N456" s="11" t="s">
        <v>123</v>
      </c>
      <c r="O456" s="11" t="s">
        <v>60</v>
      </c>
      <c r="P456" s="11" t="s">
        <v>106</v>
      </c>
      <c r="Q456" s="13" t="n">
        <f aca="false">F456*H456</f>
        <v>17117382</v>
      </c>
      <c r="R456" s="13" t="n">
        <f aca="false">G456*H456</f>
        <v>14700000</v>
      </c>
      <c r="S456" s="13" t="n">
        <f aca="false">Q456-R456</f>
        <v>2417382</v>
      </c>
      <c r="T456" s="14" t="n">
        <f aca="false">IFERROR(S456/Q456,0)</f>
        <v>0.141223815651249</v>
      </c>
      <c r="U456" s="15" t="str">
        <f aca="false">TEXT(A456,"yyyy-mm")</f>
        <v>2022-05</v>
      </c>
    </row>
    <row r="457" customFormat="false" ht="15" hidden="false" customHeight="false" outlineLevel="0" collapsed="false">
      <c r="A457" s="10" t="n">
        <v>44712</v>
      </c>
      <c r="B457" s="11" t="s">
        <v>589</v>
      </c>
      <c r="C457" s="11" t="s">
        <v>132</v>
      </c>
      <c r="D457" s="11" t="s">
        <v>118</v>
      </c>
      <c r="E457" s="11" t="s">
        <v>68</v>
      </c>
      <c r="F457" s="12" t="n">
        <v>4803603</v>
      </c>
      <c r="G457" s="12" t="n">
        <v>4121000</v>
      </c>
      <c r="H457" s="11" t="n">
        <v>23</v>
      </c>
      <c r="I457" s="11" t="s">
        <v>69</v>
      </c>
      <c r="J457" s="11" t="s">
        <v>80</v>
      </c>
      <c r="K457" s="11" t="s">
        <v>81</v>
      </c>
      <c r="L457" s="11" t="s">
        <v>82</v>
      </c>
      <c r="M457" s="11" t="s">
        <v>73</v>
      </c>
      <c r="N457" s="11" t="s">
        <v>93</v>
      </c>
      <c r="O457" s="11" t="s">
        <v>94</v>
      </c>
      <c r="P457" s="11" t="s">
        <v>95</v>
      </c>
      <c r="Q457" s="13" t="n">
        <f aca="false">F457*H457</f>
        <v>110482869</v>
      </c>
      <c r="R457" s="13" t="n">
        <f aca="false">G457*H457</f>
        <v>94783000</v>
      </c>
      <c r="S457" s="13" t="n">
        <f aca="false">Q457-R457</f>
        <v>15699869</v>
      </c>
      <c r="T457" s="14" t="n">
        <f aca="false">IFERROR(S457/Q457,0)</f>
        <v>0.142102292799801</v>
      </c>
      <c r="U457" s="15" t="str">
        <f aca="false">TEXT(A457,"yyyy-mm")</f>
        <v>2022-05</v>
      </c>
    </row>
    <row r="458" customFormat="false" ht="15" hidden="false" customHeight="false" outlineLevel="0" collapsed="false">
      <c r="A458" s="10" t="n">
        <v>44713</v>
      </c>
      <c r="B458" s="11" t="s">
        <v>590</v>
      </c>
      <c r="C458" s="11" t="s">
        <v>135</v>
      </c>
      <c r="D458" s="11" t="s">
        <v>118</v>
      </c>
      <c r="E458" s="11" t="s">
        <v>68</v>
      </c>
      <c r="F458" s="12" t="n">
        <v>5689947</v>
      </c>
      <c r="G458" s="12" t="n">
        <v>5235000</v>
      </c>
      <c r="H458" s="11" t="n">
        <v>16</v>
      </c>
      <c r="I458" s="11" t="s">
        <v>69</v>
      </c>
      <c r="J458" s="11" t="s">
        <v>80</v>
      </c>
      <c r="K458" s="11" t="s">
        <v>81</v>
      </c>
      <c r="L458" s="11" t="s">
        <v>82</v>
      </c>
      <c r="M458" s="11" t="s">
        <v>73</v>
      </c>
      <c r="N458" s="11" t="s">
        <v>93</v>
      </c>
      <c r="O458" s="11" t="s">
        <v>94</v>
      </c>
      <c r="P458" s="11" t="s">
        <v>95</v>
      </c>
      <c r="Q458" s="13" t="n">
        <f aca="false">F458*H458</f>
        <v>91039152</v>
      </c>
      <c r="R458" s="13" t="n">
        <f aca="false">G458*H458</f>
        <v>83760000</v>
      </c>
      <c r="S458" s="13" t="n">
        <f aca="false">Q458-R458</f>
        <v>7279152</v>
      </c>
      <c r="T458" s="14" t="n">
        <f aca="false">IFERROR(S458/Q458,0)</f>
        <v>0.0799562807878527</v>
      </c>
      <c r="U458" s="15" t="str">
        <f aca="false">TEXT(A458,"yyyy-mm")</f>
        <v>2022-06</v>
      </c>
    </row>
    <row r="459" customFormat="false" ht="15" hidden="false" customHeight="false" outlineLevel="0" collapsed="false">
      <c r="A459" s="10" t="n">
        <v>44713</v>
      </c>
      <c r="B459" s="11" t="s">
        <v>591</v>
      </c>
      <c r="C459" s="11" t="s">
        <v>137</v>
      </c>
      <c r="D459" s="11" t="s">
        <v>138</v>
      </c>
      <c r="E459" s="11" t="s">
        <v>139</v>
      </c>
      <c r="F459" s="12" t="n">
        <v>5171827</v>
      </c>
      <c r="G459" s="12" t="n">
        <v>4890000</v>
      </c>
      <c r="H459" s="11" t="n">
        <v>18</v>
      </c>
      <c r="I459" s="11" t="s">
        <v>86</v>
      </c>
      <c r="J459" s="11" t="s">
        <v>87</v>
      </c>
      <c r="K459" s="11" t="s">
        <v>88</v>
      </c>
      <c r="L459" s="11" t="s">
        <v>89</v>
      </c>
      <c r="M459" s="11" t="s">
        <v>90</v>
      </c>
      <c r="N459" s="11" t="s">
        <v>93</v>
      </c>
      <c r="O459" s="11" t="s">
        <v>94</v>
      </c>
      <c r="P459" s="11" t="s">
        <v>95</v>
      </c>
      <c r="Q459" s="13" t="n">
        <f aca="false">F459*H459</f>
        <v>93092886</v>
      </c>
      <c r="R459" s="13" t="n">
        <f aca="false">G459*H459</f>
        <v>88020000</v>
      </c>
      <c r="S459" s="13" t="n">
        <f aca="false">Q459-R459</f>
        <v>5072886</v>
      </c>
      <c r="T459" s="14" t="n">
        <f aca="false">IFERROR(S459/Q459,0)</f>
        <v>0.0544927353525166</v>
      </c>
      <c r="U459" s="15" t="str">
        <f aca="false">TEXT(A459,"yyyy-mm")</f>
        <v>2022-06</v>
      </c>
    </row>
    <row r="460" customFormat="false" ht="15" hidden="false" customHeight="false" outlineLevel="0" collapsed="false">
      <c r="A460" s="10" t="n">
        <v>44713</v>
      </c>
      <c r="B460" s="11" t="s">
        <v>592</v>
      </c>
      <c r="C460" s="11" t="s">
        <v>141</v>
      </c>
      <c r="D460" s="11" t="s">
        <v>138</v>
      </c>
      <c r="E460" s="11" t="s">
        <v>142</v>
      </c>
      <c r="F460" s="12" t="n">
        <v>2805124</v>
      </c>
      <c r="G460" s="12" t="n">
        <v>2178000</v>
      </c>
      <c r="H460" s="11" t="n">
        <v>28</v>
      </c>
      <c r="I460" s="11" t="s">
        <v>86</v>
      </c>
      <c r="J460" s="11" t="s">
        <v>87</v>
      </c>
      <c r="K460" s="11" t="s">
        <v>88</v>
      </c>
      <c r="L460" s="11" t="s">
        <v>89</v>
      </c>
      <c r="M460" s="11" t="s">
        <v>90</v>
      </c>
      <c r="N460" s="11" t="s">
        <v>99</v>
      </c>
      <c r="O460" s="11" t="s">
        <v>100</v>
      </c>
      <c r="P460" s="11" t="s">
        <v>101</v>
      </c>
      <c r="Q460" s="13" t="n">
        <f aca="false">F460*H460</f>
        <v>78543472</v>
      </c>
      <c r="R460" s="13" t="n">
        <f aca="false">G460*H460</f>
        <v>60984000</v>
      </c>
      <c r="S460" s="13" t="n">
        <f aca="false">Q460-R460</f>
        <v>17559472</v>
      </c>
      <c r="T460" s="14" t="n">
        <f aca="false">IFERROR(S460/Q460,0)</f>
        <v>0.22356373550688</v>
      </c>
      <c r="U460" s="15" t="str">
        <f aca="false">TEXT(A460,"yyyy-mm")</f>
        <v>2022-06</v>
      </c>
    </row>
    <row r="461" customFormat="false" ht="15" hidden="false" customHeight="false" outlineLevel="0" collapsed="false">
      <c r="A461" s="10" t="n">
        <v>44713</v>
      </c>
      <c r="B461" s="11" t="s">
        <v>593</v>
      </c>
      <c r="C461" s="11" t="s">
        <v>146</v>
      </c>
      <c r="D461" s="11" t="s">
        <v>138</v>
      </c>
      <c r="E461" s="11" t="s">
        <v>139</v>
      </c>
      <c r="F461" s="12" t="n">
        <v>2728100</v>
      </c>
      <c r="G461" s="12" t="n">
        <v>2321000</v>
      </c>
      <c r="H461" s="11" t="n">
        <v>16</v>
      </c>
      <c r="I461" s="11" t="s">
        <v>69</v>
      </c>
      <c r="J461" s="11" t="s">
        <v>80</v>
      </c>
      <c r="K461" s="11" t="s">
        <v>81</v>
      </c>
      <c r="L461" s="11" t="s">
        <v>82</v>
      </c>
      <c r="M461" s="11" t="s">
        <v>73</v>
      </c>
      <c r="N461" s="11" t="s">
        <v>104</v>
      </c>
      <c r="O461" s="11" t="s">
        <v>105</v>
      </c>
      <c r="P461" s="11" t="s">
        <v>106</v>
      </c>
      <c r="Q461" s="13" t="n">
        <f aca="false">F461*H461</f>
        <v>43649600</v>
      </c>
      <c r="R461" s="13" t="n">
        <f aca="false">G461*H461</f>
        <v>37136000</v>
      </c>
      <c r="S461" s="13" t="n">
        <f aca="false">Q461-R461</f>
        <v>6513600</v>
      </c>
      <c r="T461" s="14" t="n">
        <f aca="false">IFERROR(S461/Q461,0)</f>
        <v>0.149224735163667</v>
      </c>
      <c r="U461" s="15" t="str">
        <f aca="false">TEXT(A461,"yyyy-mm")</f>
        <v>2022-06</v>
      </c>
    </row>
    <row r="462" customFormat="false" ht="15" hidden="false" customHeight="false" outlineLevel="0" collapsed="false">
      <c r="A462" s="10" t="n">
        <v>44714</v>
      </c>
      <c r="B462" s="11" t="s">
        <v>594</v>
      </c>
      <c r="C462" s="11" t="s">
        <v>148</v>
      </c>
      <c r="D462" s="11" t="s">
        <v>138</v>
      </c>
      <c r="E462" s="11" t="s">
        <v>122</v>
      </c>
      <c r="F462" s="12" t="n">
        <v>4941716</v>
      </c>
      <c r="G462" s="12" t="n">
        <v>4456000</v>
      </c>
      <c r="H462" s="11" t="n">
        <v>20</v>
      </c>
      <c r="I462" s="11" t="s">
        <v>69</v>
      </c>
      <c r="J462" s="11" t="s">
        <v>112</v>
      </c>
      <c r="K462" s="11" t="s">
        <v>113</v>
      </c>
      <c r="L462" s="11" t="s">
        <v>82</v>
      </c>
      <c r="M462" s="11" t="s">
        <v>157</v>
      </c>
      <c r="N462" s="11" t="s">
        <v>109</v>
      </c>
      <c r="O462" s="11" t="s">
        <v>75</v>
      </c>
      <c r="P462" s="11" t="s">
        <v>95</v>
      </c>
      <c r="Q462" s="13" t="n">
        <f aca="false">F462*H462</f>
        <v>98834320</v>
      </c>
      <c r="R462" s="13" t="n">
        <f aca="false">G462*H462</f>
        <v>89120000</v>
      </c>
      <c r="S462" s="13" t="n">
        <f aca="false">Q462-R462</f>
        <v>9714320</v>
      </c>
      <c r="T462" s="14" t="n">
        <f aca="false">IFERROR(S462/Q462,0)</f>
        <v>0.0982889344511097</v>
      </c>
      <c r="U462" s="15" t="str">
        <f aca="false">TEXT(A462,"yyyy-mm")</f>
        <v>2022-06</v>
      </c>
    </row>
    <row r="463" customFormat="false" ht="15" hidden="false" customHeight="false" outlineLevel="0" collapsed="false">
      <c r="A463" s="10" t="n">
        <v>44714</v>
      </c>
      <c r="B463" s="11" t="s">
        <v>595</v>
      </c>
      <c r="C463" s="11" t="s">
        <v>66</v>
      </c>
      <c r="D463" s="11" t="s">
        <v>67</v>
      </c>
      <c r="E463" s="11" t="s">
        <v>68</v>
      </c>
      <c r="F463" s="12" t="n">
        <v>3048952</v>
      </c>
      <c r="G463" s="12" t="n">
        <v>2560000</v>
      </c>
      <c r="H463" s="11" t="n">
        <v>20</v>
      </c>
      <c r="I463" s="11" t="s">
        <v>69</v>
      </c>
      <c r="J463" s="11" t="s">
        <v>70</v>
      </c>
      <c r="K463" s="11" t="s">
        <v>71</v>
      </c>
      <c r="L463" s="11" t="s">
        <v>72</v>
      </c>
      <c r="M463" s="11" t="s">
        <v>73</v>
      </c>
      <c r="N463" s="11" t="s">
        <v>173</v>
      </c>
      <c r="O463" s="11" t="s">
        <v>174</v>
      </c>
      <c r="P463" s="11" t="s">
        <v>95</v>
      </c>
      <c r="Q463" s="13" t="n">
        <f aca="false">F463*H463</f>
        <v>60979040</v>
      </c>
      <c r="R463" s="13" t="n">
        <f aca="false">G463*H463</f>
        <v>51200000</v>
      </c>
      <c r="S463" s="13" t="n">
        <f aca="false">Q463-R463</f>
        <v>9779040</v>
      </c>
      <c r="T463" s="14" t="n">
        <f aca="false">IFERROR(S463/Q463,0)</f>
        <v>0.160367234380863</v>
      </c>
      <c r="U463" s="15" t="str">
        <f aca="false">TEXT(A463,"yyyy-mm")</f>
        <v>2022-06</v>
      </c>
    </row>
    <row r="464" customFormat="false" ht="15" hidden="false" customHeight="false" outlineLevel="0" collapsed="false">
      <c r="A464" s="10" t="n">
        <v>44714</v>
      </c>
      <c r="B464" s="11" t="s">
        <v>596</v>
      </c>
      <c r="C464" s="11" t="s">
        <v>78</v>
      </c>
      <c r="D464" s="11" t="s">
        <v>67</v>
      </c>
      <c r="E464" s="11" t="s">
        <v>79</v>
      </c>
      <c r="F464" s="12" t="n">
        <v>1870000</v>
      </c>
      <c r="G464" s="12" t="n">
        <v>1650000</v>
      </c>
      <c r="H464" s="11" t="n">
        <v>22</v>
      </c>
      <c r="I464" s="11" t="s">
        <v>69</v>
      </c>
      <c r="J464" s="11" t="s">
        <v>80</v>
      </c>
      <c r="K464" s="11" t="s">
        <v>81</v>
      </c>
      <c r="L464" s="11" t="s">
        <v>82</v>
      </c>
      <c r="M464" s="11" t="s">
        <v>73</v>
      </c>
      <c r="N464" s="11" t="s">
        <v>143</v>
      </c>
      <c r="O464" s="11" t="s">
        <v>144</v>
      </c>
      <c r="P464" s="11" t="s">
        <v>101</v>
      </c>
      <c r="Q464" s="13" t="n">
        <f aca="false">F464*H464</f>
        <v>41140000</v>
      </c>
      <c r="R464" s="13" t="n">
        <f aca="false">G464*H464</f>
        <v>36300000</v>
      </c>
      <c r="S464" s="13" t="n">
        <f aca="false">Q464-R464</f>
        <v>4840000</v>
      </c>
      <c r="T464" s="14" t="n">
        <f aca="false">IFERROR(S464/Q464,0)</f>
        <v>0.117647058823529</v>
      </c>
      <c r="U464" s="15" t="str">
        <f aca="false">TEXT(A464,"yyyy-mm")</f>
        <v>2022-06</v>
      </c>
    </row>
    <row r="465" customFormat="false" ht="15" hidden="false" customHeight="false" outlineLevel="0" collapsed="false">
      <c r="A465" s="10" t="n">
        <v>44714</v>
      </c>
      <c r="B465" s="11" t="s">
        <v>597</v>
      </c>
      <c r="C465" s="11" t="s">
        <v>84</v>
      </c>
      <c r="D465" s="11" t="s">
        <v>67</v>
      </c>
      <c r="E465" s="11" t="s">
        <v>85</v>
      </c>
      <c r="F465" s="12" t="n">
        <v>2600000</v>
      </c>
      <c r="G465" s="12" t="n">
        <v>2300000</v>
      </c>
      <c r="H465" s="11" t="n">
        <v>9</v>
      </c>
      <c r="I465" s="11" t="s">
        <v>69</v>
      </c>
      <c r="J465" s="11" t="s">
        <v>80</v>
      </c>
      <c r="K465" s="11" t="s">
        <v>81</v>
      </c>
      <c r="L465" s="11" t="s">
        <v>82</v>
      </c>
      <c r="M465" s="11" t="s">
        <v>73</v>
      </c>
      <c r="N465" s="11" t="s">
        <v>104</v>
      </c>
      <c r="O465" s="11" t="s">
        <v>105</v>
      </c>
      <c r="P465" s="11" t="s">
        <v>106</v>
      </c>
      <c r="Q465" s="13" t="n">
        <f aca="false">F465*H465</f>
        <v>23400000</v>
      </c>
      <c r="R465" s="13" t="n">
        <f aca="false">G465*H465</f>
        <v>20700000</v>
      </c>
      <c r="S465" s="13" t="n">
        <f aca="false">Q465-R465</f>
        <v>2700000</v>
      </c>
      <c r="T465" s="14" t="n">
        <f aca="false">IFERROR(S465/Q465,0)</f>
        <v>0.115384615384615</v>
      </c>
      <c r="U465" s="15" t="str">
        <f aca="false">TEXT(A465,"yyyy-mm")</f>
        <v>2022-06</v>
      </c>
    </row>
    <row r="466" customFormat="false" ht="15" hidden="false" customHeight="false" outlineLevel="0" collapsed="false">
      <c r="A466" s="10" t="n">
        <v>44714</v>
      </c>
      <c r="B466" s="11" t="s">
        <v>598</v>
      </c>
      <c r="C466" s="11" t="s">
        <v>92</v>
      </c>
      <c r="D466" s="11" t="s">
        <v>67</v>
      </c>
      <c r="E466" s="11" t="s">
        <v>79</v>
      </c>
      <c r="F466" s="12" t="n">
        <v>3577480</v>
      </c>
      <c r="G466" s="12" t="n">
        <v>3100000</v>
      </c>
      <c r="H466" s="11" t="n">
        <v>22</v>
      </c>
      <c r="I466" s="11" t="s">
        <v>69</v>
      </c>
      <c r="J466" s="11" t="s">
        <v>70</v>
      </c>
      <c r="K466" s="11" t="s">
        <v>71</v>
      </c>
      <c r="L466" s="11" t="s">
        <v>72</v>
      </c>
      <c r="M466" s="11" t="s">
        <v>73</v>
      </c>
      <c r="N466" s="11" t="s">
        <v>99</v>
      </c>
      <c r="O466" s="11" t="s">
        <v>100</v>
      </c>
      <c r="P466" s="11" t="s">
        <v>101</v>
      </c>
      <c r="Q466" s="13" t="n">
        <f aca="false">F466*H466</f>
        <v>78704560</v>
      </c>
      <c r="R466" s="13" t="n">
        <f aca="false">G466*H466</f>
        <v>68200000</v>
      </c>
      <c r="S466" s="13" t="n">
        <f aca="false">Q466-R466</f>
        <v>10504560</v>
      </c>
      <c r="T466" s="14" t="n">
        <f aca="false">IFERROR(S466/Q466,0)</f>
        <v>0.133468251394837</v>
      </c>
      <c r="U466" s="15" t="str">
        <f aca="false">TEXT(A466,"yyyy-mm")</f>
        <v>2022-06</v>
      </c>
    </row>
    <row r="467" customFormat="false" ht="15" hidden="false" customHeight="false" outlineLevel="0" collapsed="false">
      <c r="A467" s="10" t="n">
        <v>44714</v>
      </c>
      <c r="B467" s="11" t="s">
        <v>599</v>
      </c>
      <c r="C467" s="11" t="s">
        <v>97</v>
      </c>
      <c r="D467" s="11" t="s">
        <v>67</v>
      </c>
      <c r="E467" s="11" t="s">
        <v>98</v>
      </c>
      <c r="F467" s="12" t="n">
        <v>4969724</v>
      </c>
      <c r="G467" s="12" t="n">
        <v>4121560</v>
      </c>
      <c r="H467" s="11" t="n">
        <v>12</v>
      </c>
      <c r="I467" s="11" t="s">
        <v>69</v>
      </c>
      <c r="J467" s="11" t="s">
        <v>80</v>
      </c>
      <c r="K467" s="11" t="s">
        <v>81</v>
      </c>
      <c r="L467" s="11" t="s">
        <v>82</v>
      </c>
      <c r="M467" s="11" t="s">
        <v>73</v>
      </c>
      <c r="N467" s="11" t="s">
        <v>99</v>
      </c>
      <c r="O467" s="11" t="s">
        <v>100</v>
      </c>
      <c r="P467" s="11" t="s">
        <v>101</v>
      </c>
      <c r="Q467" s="13" t="n">
        <f aca="false">F467*H467</f>
        <v>59636688</v>
      </c>
      <c r="R467" s="13" t="n">
        <f aca="false">G467*H467</f>
        <v>49458720</v>
      </c>
      <c r="S467" s="13" t="n">
        <f aca="false">Q467-R467</f>
        <v>10177968</v>
      </c>
      <c r="T467" s="14" t="n">
        <f aca="false">IFERROR(S467/Q467,0)</f>
        <v>0.170666218083741</v>
      </c>
      <c r="U467" s="15" t="str">
        <f aca="false">TEXT(A467,"yyyy-mm")</f>
        <v>2022-06</v>
      </c>
    </row>
    <row r="468" customFormat="false" ht="15" hidden="false" customHeight="false" outlineLevel="0" collapsed="false">
      <c r="A468" s="10" t="n">
        <v>44714</v>
      </c>
      <c r="B468" s="11" t="s">
        <v>600</v>
      </c>
      <c r="C468" s="11" t="s">
        <v>103</v>
      </c>
      <c r="D468" s="11" t="s">
        <v>67</v>
      </c>
      <c r="E468" s="11" t="s">
        <v>68</v>
      </c>
      <c r="F468" s="12" t="n">
        <v>3319925</v>
      </c>
      <c r="G468" s="12" t="n">
        <v>2800000</v>
      </c>
      <c r="H468" s="11" t="n">
        <v>19</v>
      </c>
      <c r="I468" s="11" t="s">
        <v>69</v>
      </c>
      <c r="J468" s="11" t="s">
        <v>70</v>
      </c>
      <c r="K468" s="11" t="s">
        <v>71</v>
      </c>
      <c r="L468" s="11" t="s">
        <v>72</v>
      </c>
      <c r="M468" s="11" t="s">
        <v>73</v>
      </c>
      <c r="N468" s="11" t="s">
        <v>99</v>
      </c>
      <c r="O468" s="11" t="s">
        <v>100</v>
      </c>
      <c r="P468" s="11" t="s">
        <v>101</v>
      </c>
      <c r="Q468" s="13" t="n">
        <f aca="false">F468*H468</f>
        <v>63078575</v>
      </c>
      <c r="R468" s="13" t="n">
        <f aca="false">G468*H468</f>
        <v>53200000</v>
      </c>
      <c r="S468" s="13" t="n">
        <f aca="false">Q468-R468</f>
        <v>9878575</v>
      </c>
      <c r="T468" s="14" t="n">
        <f aca="false">IFERROR(S468/Q468,0)</f>
        <v>0.15660745348163</v>
      </c>
      <c r="U468" s="15" t="str">
        <f aca="false">TEXT(A468,"yyyy-mm")</f>
        <v>2022-06</v>
      </c>
    </row>
    <row r="469" customFormat="false" ht="15" hidden="false" customHeight="false" outlineLevel="0" collapsed="false">
      <c r="A469" s="10" t="n">
        <v>44714</v>
      </c>
      <c r="B469" s="11" t="s">
        <v>601</v>
      </c>
      <c r="C469" s="11" t="s">
        <v>108</v>
      </c>
      <c r="D469" s="11" t="s">
        <v>67</v>
      </c>
      <c r="E469" s="11" t="s">
        <v>68</v>
      </c>
      <c r="F469" s="12" t="n">
        <v>4757880</v>
      </c>
      <c r="G469" s="12" t="n">
        <v>3450000</v>
      </c>
      <c r="H469" s="11" t="n">
        <v>7</v>
      </c>
      <c r="I469" s="11" t="s">
        <v>69</v>
      </c>
      <c r="J469" s="11" t="s">
        <v>70</v>
      </c>
      <c r="K469" s="11" t="s">
        <v>71</v>
      </c>
      <c r="L469" s="11" t="s">
        <v>72</v>
      </c>
      <c r="M469" s="11" t="s">
        <v>73</v>
      </c>
      <c r="N469" s="11" t="s">
        <v>93</v>
      </c>
      <c r="O469" s="11" t="s">
        <v>94</v>
      </c>
      <c r="P469" s="11" t="s">
        <v>95</v>
      </c>
      <c r="Q469" s="13" t="n">
        <f aca="false">F469*H469</f>
        <v>33305160</v>
      </c>
      <c r="R469" s="13" t="n">
        <f aca="false">G469*H469</f>
        <v>24150000</v>
      </c>
      <c r="S469" s="13" t="n">
        <f aca="false">Q469-R469</f>
        <v>9155160</v>
      </c>
      <c r="T469" s="14" t="n">
        <f aca="false">IFERROR(S469/Q469,0)</f>
        <v>0.274887134606169</v>
      </c>
      <c r="U469" s="15" t="str">
        <f aca="false">TEXT(A469,"yyyy-mm")</f>
        <v>2022-06</v>
      </c>
    </row>
    <row r="470" customFormat="false" ht="15" hidden="false" customHeight="false" outlineLevel="0" collapsed="false">
      <c r="A470" s="10" t="n">
        <v>44715</v>
      </c>
      <c r="B470" s="11" t="s">
        <v>602</v>
      </c>
      <c r="C470" s="11" t="s">
        <v>111</v>
      </c>
      <c r="D470" s="11" t="s">
        <v>67</v>
      </c>
      <c r="E470" s="11" t="s">
        <v>79</v>
      </c>
      <c r="F470" s="12" t="n">
        <v>3545808</v>
      </c>
      <c r="G470" s="12" t="n">
        <v>3350000</v>
      </c>
      <c r="H470" s="11" t="n">
        <v>11</v>
      </c>
      <c r="I470" s="11" t="s">
        <v>69</v>
      </c>
      <c r="J470" s="11" t="s">
        <v>80</v>
      </c>
      <c r="K470" s="11" t="s">
        <v>81</v>
      </c>
      <c r="L470" s="11" t="s">
        <v>82</v>
      </c>
      <c r="M470" s="11" t="s">
        <v>73</v>
      </c>
      <c r="N470" s="11" t="s">
        <v>104</v>
      </c>
      <c r="O470" s="11" t="s">
        <v>105</v>
      </c>
      <c r="P470" s="11" t="s">
        <v>106</v>
      </c>
      <c r="Q470" s="13" t="n">
        <f aca="false">F470*H470</f>
        <v>39003888</v>
      </c>
      <c r="R470" s="13" t="n">
        <f aca="false">G470*H470</f>
        <v>36850000</v>
      </c>
      <c r="S470" s="13" t="n">
        <f aca="false">Q470-R470</f>
        <v>2153888</v>
      </c>
      <c r="T470" s="14" t="n">
        <f aca="false">IFERROR(S470/Q470,0)</f>
        <v>0.0552223921881839</v>
      </c>
      <c r="U470" s="15" t="str">
        <f aca="false">TEXT(A470,"yyyy-mm")</f>
        <v>2022-06</v>
      </c>
    </row>
    <row r="471" customFormat="false" ht="15" hidden="false" customHeight="false" outlineLevel="0" collapsed="false">
      <c r="A471" s="10" t="n">
        <v>44715</v>
      </c>
      <c r="B471" s="11" t="s">
        <v>603</v>
      </c>
      <c r="C471" s="11" t="s">
        <v>115</v>
      </c>
      <c r="D471" s="11" t="s">
        <v>67</v>
      </c>
      <c r="E471" s="11" t="s">
        <v>98</v>
      </c>
      <c r="F471" s="12" t="n">
        <v>4200743</v>
      </c>
      <c r="G471" s="12" t="n">
        <v>4101000</v>
      </c>
      <c r="H471" s="11" t="n">
        <v>6</v>
      </c>
      <c r="I471" s="11" t="s">
        <v>69</v>
      </c>
      <c r="J471" s="11" t="s">
        <v>80</v>
      </c>
      <c r="K471" s="11" t="s">
        <v>81</v>
      </c>
      <c r="L471" s="11" t="s">
        <v>82</v>
      </c>
      <c r="M471" s="11" t="s">
        <v>73</v>
      </c>
      <c r="N471" s="11" t="s">
        <v>74</v>
      </c>
      <c r="O471" s="11" t="s">
        <v>75</v>
      </c>
      <c r="P471" s="11" t="s">
        <v>76</v>
      </c>
      <c r="Q471" s="13" t="n">
        <f aca="false">F471*H471</f>
        <v>25204458</v>
      </c>
      <c r="R471" s="13" t="n">
        <f aca="false">G471*H471</f>
        <v>24606000</v>
      </c>
      <c r="S471" s="13" t="n">
        <f aca="false">Q471-R471</f>
        <v>598458</v>
      </c>
      <c r="T471" s="14" t="n">
        <f aca="false">IFERROR(S471/Q471,0)</f>
        <v>0.023744132883159</v>
      </c>
      <c r="U471" s="15" t="str">
        <f aca="false">TEXT(A471,"yyyy-mm")</f>
        <v>2022-06</v>
      </c>
    </row>
    <row r="472" customFormat="false" ht="15" hidden="false" customHeight="false" outlineLevel="0" collapsed="false">
      <c r="A472" s="10" t="n">
        <v>44715</v>
      </c>
      <c r="B472" s="11" t="s">
        <v>604</v>
      </c>
      <c r="C472" s="11" t="s">
        <v>117</v>
      </c>
      <c r="D472" s="11" t="s">
        <v>118</v>
      </c>
      <c r="E472" s="11" t="s">
        <v>119</v>
      </c>
      <c r="F472" s="12" t="n">
        <v>8220549</v>
      </c>
      <c r="G472" s="12" t="n">
        <v>6500000</v>
      </c>
      <c r="H472" s="11" t="n">
        <v>10</v>
      </c>
      <c r="I472" s="11" t="s">
        <v>69</v>
      </c>
      <c r="J472" s="11" t="s">
        <v>80</v>
      </c>
      <c r="K472" s="11" t="s">
        <v>81</v>
      </c>
      <c r="L472" s="11" t="s">
        <v>82</v>
      </c>
      <c r="M472" s="11" t="s">
        <v>73</v>
      </c>
      <c r="N472" s="11" t="s">
        <v>133</v>
      </c>
      <c r="O472" s="11" t="s">
        <v>60</v>
      </c>
      <c r="P472" s="11" t="s">
        <v>76</v>
      </c>
      <c r="Q472" s="13" t="n">
        <f aca="false">F472*H472</f>
        <v>82205490</v>
      </c>
      <c r="R472" s="13" t="n">
        <f aca="false">G472*H472</f>
        <v>65000000</v>
      </c>
      <c r="S472" s="13" t="n">
        <f aca="false">Q472-R472</f>
        <v>17205490</v>
      </c>
      <c r="T472" s="14" t="n">
        <f aca="false">IFERROR(S472/Q472,0)</f>
        <v>0.209298551714733</v>
      </c>
      <c r="U472" s="15" t="str">
        <f aca="false">TEXT(A472,"yyyy-mm")</f>
        <v>2022-06</v>
      </c>
    </row>
    <row r="473" customFormat="false" ht="15" hidden="false" customHeight="false" outlineLevel="0" collapsed="false">
      <c r="A473" s="10" t="n">
        <v>44715</v>
      </c>
      <c r="B473" s="11" t="s">
        <v>605</v>
      </c>
      <c r="C473" s="11" t="s">
        <v>121</v>
      </c>
      <c r="D473" s="11" t="s">
        <v>118</v>
      </c>
      <c r="E473" s="11" t="s">
        <v>122</v>
      </c>
      <c r="F473" s="12" t="n">
        <v>7687274</v>
      </c>
      <c r="G473" s="12" t="n">
        <v>6500000</v>
      </c>
      <c r="H473" s="11" t="n">
        <v>14</v>
      </c>
      <c r="I473" s="11" t="s">
        <v>69</v>
      </c>
      <c r="J473" s="11" t="s">
        <v>80</v>
      </c>
      <c r="K473" s="11" t="s">
        <v>81</v>
      </c>
      <c r="L473" s="11" t="s">
        <v>82</v>
      </c>
      <c r="M473" s="11" t="s">
        <v>73</v>
      </c>
      <c r="N473" s="11" t="s">
        <v>133</v>
      </c>
      <c r="O473" s="11" t="s">
        <v>60</v>
      </c>
      <c r="P473" s="11" t="s">
        <v>76</v>
      </c>
      <c r="Q473" s="13" t="n">
        <f aca="false">F473*H473</f>
        <v>107621836</v>
      </c>
      <c r="R473" s="13" t="n">
        <f aca="false">G473*H473</f>
        <v>91000000</v>
      </c>
      <c r="S473" s="13" t="n">
        <f aca="false">Q473-R473</f>
        <v>16621836</v>
      </c>
      <c r="T473" s="14" t="n">
        <f aca="false">IFERROR(S473/Q473,0)</f>
        <v>0.154446686822923</v>
      </c>
      <c r="U473" s="15" t="str">
        <f aca="false">TEXT(A473,"yyyy-mm")</f>
        <v>2022-06</v>
      </c>
    </row>
    <row r="474" customFormat="false" ht="15" hidden="false" customHeight="false" outlineLevel="0" collapsed="false">
      <c r="A474" s="10" t="n">
        <v>44715</v>
      </c>
      <c r="B474" s="11" t="s">
        <v>606</v>
      </c>
      <c r="C474" s="11" t="s">
        <v>125</v>
      </c>
      <c r="D474" s="11" t="s">
        <v>118</v>
      </c>
      <c r="E474" s="11" t="s">
        <v>126</v>
      </c>
      <c r="F474" s="12" t="n">
        <v>5684211</v>
      </c>
      <c r="G474" s="12" t="n">
        <v>4300000</v>
      </c>
      <c r="H474" s="11" t="n">
        <v>15</v>
      </c>
      <c r="I474" s="11" t="s">
        <v>69</v>
      </c>
      <c r="J474" s="11" t="s">
        <v>80</v>
      </c>
      <c r="K474" s="11" t="s">
        <v>81</v>
      </c>
      <c r="L474" s="11" t="s">
        <v>82</v>
      </c>
      <c r="M474" s="11" t="s">
        <v>73</v>
      </c>
      <c r="N474" s="11" t="s">
        <v>143</v>
      </c>
      <c r="O474" s="11" t="s">
        <v>144</v>
      </c>
      <c r="P474" s="11" t="s">
        <v>101</v>
      </c>
      <c r="Q474" s="13" t="n">
        <f aca="false">F474*H474</f>
        <v>85263165</v>
      </c>
      <c r="R474" s="13" t="n">
        <f aca="false">G474*H474</f>
        <v>64500000</v>
      </c>
      <c r="S474" s="13" t="n">
        <f aca="false">Q474-R474</f>
        <v>20763165</v>
      </c>
      <c r="T474" s="14" t="n">
        <f aca="false">IFERROR(S474/Q474,0)</f>
        <v>0.243518581558637</v>
      </c>
      <c r="U474" s="15" t="str">
        <f aca="false">TEXT(A474,"yyyy-mm")</f>
        <v>2022-06</v>
      </c>
    </row>
    <row r="475" customFormat="false" ht="15" hidden="false" customHeight="false" outlineLevel="0" collapsed="false">
      <c r="A475" s="10" t="n">
        <v>44715</v>
      </c>
      <c r="B475" s="11" t="s">
        <v>607</v>
      </c>
      <c r="C475" s="11" t="s">
        <v>128</v>
      </c>
      <c r="D475" s="11" t="s">
        <v>118</v>
      </c>
      <c r="E475" s="11" t="s">
        <v>119</v>
      </c>
      <c r="F475" s="12" t="n">
        <v>3370302</v>
      </c>
      <c r="G475" s="12" t="n">
        <v>2100000</v>
      </c>
      <c r="H475" s="11" t="n">
        <v>22</v>
      </c>
      <c r="I475" s="11" t="s">
        <v>86</v>
      </c>
      <c r="J475" s="11" t="s">
        <v>87</v>
      </c>
      <c r="K475" s="11" t="s">
        <v>88</v>
      </c>
      <c r="L475" s="11" t="s">
        <v>89</v>
      </c>
      <c r="M475" s="11" t="s">
        <v>90</v>
      </c>
      <c r="N475" s="11" t="s">
        <v>93</v>
      </c>
      <c r="O475" s="11" t="s">
        <v>94</v>
      </c>
      <c r="P475" s="11" t="s">
        <v>95</v>
      </c>
      <c r="Q475" s="13" t="n">
        <f aca="false">F475*H475</f>
        <v>74146644</v>
      </c>
      <c r="R475" s="13" t="n">
        <f aca="false">G475*H475</f>
        <v>46200000</v>
      </c>
      <c r="S475" s="13" t="n">
        <f aca="false">Q475-R475</f>
        <v>27946644</v>
      </c>
      <c r="T475" s="14" t="n">
        <f aca="false">IFERROR(S475/Q475,0)</f>
        <v>0.37691043710623</v>
      </c>
      <c r="U475" s="15" t="str">
        <f aca="false">TEXT(A475,"yyyy-mm")</f>
        <v>2022-06</v>
      </c>
    </row>
    <row r="476" customFormat="false" ht="15" hidden="false" customHeight="false" outlineLevel="0" collapsed="false">
      <c r="A476" s="10" t="n">
        <v>44716</v>
      </c>
      <c r="B476" s="11" t="s">
        <v>608</v>
      </c>
      <c r="C476" s="11" t="s">
        <v>130</v>
      </c>
      <c r="D476" s="11" t="s">
        <v>118</v>
      </c>
      <c r="E476" s="11" t="s">
        <v>68</v>
      </c>
      <c r="F476" s="12" t="n">
        <v>2852897</v>
      </c>
      <c r="G476" s="12" t="n">
        <v>2450000</v>
      </c>
      <c r="H476" s="11" t="n">
        <v>8</v>
      </c>
      <c r="I476" s="11" t="s">
        <v>69</v>
      </c>
      <c r="J476" s="11" t="s">
        <v>80</v>
      </c>
      <c r="K476" s="11" t="s">
        <v>81</v>
      </c>
      <c r="L476" s="11" t="s">
        <v>82</v>
      </c>
      <c r="M476" s="11" t="s">
        <v>73</v>
      </c>
      <c r="N476" s="11" t="s">
        <v>93</v>
      </c>
      <c r="O476" s="11" t="s">
        <v>94</v>
      </c>
      <c r="P476" s="11" t="s">
        <v>95</v>
      </c>
      <c r="Q476" s="13" t="n">
        <f aca="false">F476*H476</f>
        <v>22823176</v>
      </c>
      <c r="R476" s="13" t="n">
        <f aca="false">G476*H476</f>
        <v>19600000</v>
      </c>
      <c r="S476" s="13" t="n">
        <f aca="false">Q476-R476</f>
        <v>3223176</v>
      </c>
      <c r="T476" s="14" t="n">
        <f aca="false">IFERROR(S476/Q476,0)</f>
        <v>0.141223815651249</v>
      </c>
      <c r="U476" s="15" t="str">
        <f aca="false">TEXT(A476,"yyyy-mm")</f>
        <v>2022-06</v>
      </c>
    </row>
    <row r="477" customFormat="false" ht="15" hidden="false" customHeight="false" outlineLevel="0" collapsed="false">
      <c r="A477" s="10" t="n">
        <v>44717</v>
      </c>
      <c r="B477" s="11" t="s">
        <v>609</v>
      </c>
      <c r="C477" s="11" t="s">
        <v>132</v>
      </c>
      <c r="D477" s="11" t="s">
        <v>118</v>
      </c>
      <c r="E477" s="11" t="s">
        <v>68</v>
      </c>
      <c r="F477" s="12" t="n">
        <v>4803603</v>
      </c>
      <c r="G477" s="12" t="n">
        <v>4121000</v>
      </c>
      <c r="H477" s="11" t="n">
        <v>14</v>
      </c>
      <c r="I477" s="11" t="s">
        <v>69</v>
      </c>
      <c r="J477" s="11" t="s">
        <v>80</v>
      </c>
      <c r="K477" s="11" t="s">
        <v>81</v>
      </c>
      <c r="L477" s="11" t="s">
        <v>82</v>
      </c>
      <c r="M477" s="11" t="s">
        <v>73</v>
      </c>
      <c r="N477" s="11" t="s">
        <v>74</v>
      </c>
      <c r="O477" s="11" t="s">
        <v>75</v>
      </c>
      <c r="P477" s="11" t="s">
        <v>76</v>
      </c>
      <c r="Q477" s="13" t="n">
        <f aca="false">F477*H477</f>
        <v>67250442</v>
      </c>
      <c r="R477" s="13" t="n">
        <f aca="false">G477*H477</f>
        <v>57694000</v>
      </c>
      <c r="S477" s="13" t="n">
        <f aca="false">Q477-R477</f>
        <v>9556442</v>
      </c>
      <c r="T477" s="14" t="n">
        <f aca="false">IFERROR(S477/Q477,0)</f>
        <v>0.142102292799801</v>
      </c>
      <c r="U477" s="15" t="str">
        <f aca="false">TEXT(A477,"yyyy-mm")</f>
        <v>2022-06</v>
      </c>
    </row>
    <row r="478" customFormat="false" ht="15" hidden="false" customHeight="false" outlineLevel="0" collapsed="false">
      <c r="A478" s="10" t="n">
        <v>44717</v>
      </c>
      <c r="B478" s="11" t="s">
        <v>610</v>
      </c>
      <c r="C478" s="11" t="s">
        <v>135</v>
      </c>
      <c r="D478" s="11" t="s">
        <v>118</v>
      </c>
      <c r="E478" s="11" t="s">
        <v>68</v>
      </c>
      <c r="F478" s="12" t="n">
        <v>5689947</v>
      </c>
      <c r="G478" s="12" t="n">
        <v>5235000</v>
      </c>
      <c r="H478" s="11" t="n">
        <v>26</v>
      </c>
      <c r="I478" s="11" t="s">
        <v>86</v>
      </c>
      <c r="J478" s="11" t="s">
        <v>87</v>
      </c>
      <c r="K478" s="11" t="s">
        <v>88</v>
      </c>
      <c r="L478" s="11" t="s">
        <v>89</v>
      </c>
      <c r="M478" s="11" t="s">
        <v>90</v>
      </c>
      <c r="N478" s="11" t="s">
        <v>109</v>
      </c>
      <c r="O478" s="11" t="s">
        <v>75</v>
      </c>
      <c r="P478" s="11" t="s">
        <v>95</v>
      </c>
      <c r="Q478" s="13" t="n">
        <f aca="false">F478*H478</f>
        <v>147938622</v>
      </c>
      <c r="R478" s="13" t="n">
        <f aca="false">G478*H478</f>
        <v>136110000</v>
      </c>
      <c r="S478" s="13" t="n">
        <f aca="false">Q478-R478</f>
        <v>11828622</v>
      </c>
      <c r="T478" s="14" t="n">
        <f aca="false">IFERROR(S478/Q478,0)</f>
        <v>0.0799562807878527</v>
      </c>
      <c r="U478" s="15" t="str">
        <f aca="false">TEXT(A478,"yyyy-mm")</f>
        <v>2022-06</v>
      </c>
    </row>
    <row r="479" customFormat="false" ht="15" hidden="false" customHeight="false" outlineLevel="0" collapsed="false">
      <c r="A479" s="10" t="n">
        <v>44718</v>
      </c>
      <c r="B479" s="11" t="s">
        <v>611</v>
      </c>
      <c r="C479" s="11" t="s">
        <v>137</v>
      </c>
      <c r="D479" s="11" t="s">
        <v>138</v>
      </c>
      <c r="E479" s="11" t="s">
        <v>139</v>
      </c>
      <c r="F479" s="12" t="n">
        <v>5171827</v>
      </c>
      <c r="G479" s="12" t="n">
        <v>4890000</v>
      </c>
      <c r="H479" s="11" t="n">
        <v>14</v>
      </c>
      <c r="I479" s="11" t="s">
        <v>69</v>
      </c>
      <c r="J479" s="11" t="s">
        <v>112</v>
      </c>
      <c r="K479" s="11" t="s">
        <v>113</v>
      </c>
      <c r="L479" s="11" t="s">
        <v>82</v>
      </c>
      <c r="M479" s="11" t="s">
        <v>157</v>
      </c>
      <c r="N479" s="11" t="s">
        <v>173</v>
      </c>
      <c r="O479" s="11" t="s">
        <v>174</v>
      </c>
      <c r="P479" s="11" t="s">
        <v>95</v>
      </c>
      <c r="Q479" s="13" t="n">
        <f aca="false">F479*H479</f>
        <v>72405578</v>
      </c>
      <c r="R479" s="13" t="n">
        <f aca="false">G479*H479</f>
        <v>68460000</v>
      </c>
      <c r="S479" s="13" t="n">
        <f aca="false">Q479-R479</f>
        <v>3945578</v>
      </c>
      <c r="T479" s="14" t="n">
        <f aca="false">IFERROR(S479/Q479,0)</f>
        <v>0.0544927353525166</v>
      </c>
      <c r="U479" s="15" t="str">
        <f aca="false">TEXT(A479,"yyyy-mm")</f>
        <v>2022-06</v>
      </c>
    </row>
    <row r="480" customFormat="false" ht="15" hidden="false" customHeight="false" outlineLevel="0" collapsed="false">
      <c r="A480" s="10" t="n">
        <v>44719</v>
      </c>
      <c r="B480" s="11" t="s">
        <v>612</v>
      </c>
      <c r="C480" s="11" t="s">
        <v>141</v>
      </c>
      <c r="D480" s="11" t="s">
        <v>138</v>
      </c>
      <c r="E480" s="11" t="s">
        <v>142</v>
      </c>
      <c r="F480" s="12" t="n">
        <v>2805124</v>
      </c>
      <c r="G480" s="12" t="n">
        <v>2178000</v>
      </c>
      <c r="H480" s="11" t="n">
        <v>26</v>
      </c>
      <c r="I480" s="11" t="s">
        <v>69</v>
      </c>
      <c r="J480" s="11" t="s">
        <v>80</v>
      </c>
      <c r="K480" s="11" t="s">
        <v>81</v>
      </c>
      <c r="L480" s="11" t="s">
        <v>82</v>
      </c>
      <c r="M480" s="11" t="s">
        <v>73</v>
      </c>
      <c r="N480" s="11" t="s">
        <v>99</v>
      </c>
      <c r="O480" s="11" t="s">
        <v>100</v>
      </c>
      <c r="P480" s="11" t="s">
        <v>101</v>
      </c>
      <c r="Q480" s="13" t="n">
        <f aca="false">F480*H480</f>
        <v>72933224</v>
      </c>
      <c r="R480" s="13" t="n">
        <f aca="false">G480*H480</f>
        <v>56628000</v>
      </c>
      <c r="S480" s="13" t="n">
        <f aca="false">Q480-R480</f>
        <v>16305224</v>
      </c>
      <c r="T480" s="14" t="n">
        <f aca="false">IFERROR(S480/Q480,0)</f>
        <v>0.22356373550688</v>
      </c>
      <c r="U480" s="15" t="str">
        <f aca="false">TEXT(A480,"yyyy-mm")</f>
        <v>2022-06</v>
      </c>
    </row>
    <row r="481" customFormat="false" ht="15" hidden="false" customHeight="false" outlineLevel="0" collapsed="false">
      <c r="A481" s="10" t="n">
        <v>44721</v>
      </c>
      <c r="B481" s="11" t="s">
        <v>613</v>
      </c>
      <c r="C481" s="11" t="s">
        <v>146</v>
      </c>
      <c r="D481" s="11" t="s">
        <v>138</v>
      </c>
      <c r="E481" s="11" t="s">
        <v>139</v>
      </c>
      <c r="F481" s="12" t="n">
        <v>2728100</v>
      </c>
      <c r="G481" s="12" t="n">
        <v>2321000</v>
      </c>
      <c r="H481" s="11" t="n">
        <v>23</v>
      </c>
      <c r="I481" s="11" t="s">
        <v>69</v>
      </c>
      <c r="J481" s="11" t="s">
        <v>70</v>
      </c>
      <c r="K481" s="11" t="s">
        <v>71</v>
      </c>
      <c r="L481" s="11" t="s">
        <v>72</v>
      </c>
      <c r="M481" s="11" t="s">
        <v>73</v>
      </c>
      <c r="N481" s="11" t="s">
        <v>99</v>
      </c>
      <c r="O481" s="11" t="s">
        <v>100</v>
      </c>
      <c r="P481" s="11" t="s">
        <v>101</v>
      </c>
      <c r="Q481" s="13" t="n">
        <f aca="false">F481*H481</f>
        <v>62746300</v>
      </c>
      <c r="R481" s="13" t="n">
        <f aca="false">G481*H481</f>
        <v>53383000</v>
      </c>
      <c r="S481" s="13" t="n">
        <f aca="false">Q481-R481</f>
        <v>9363300</v>
      </c>
      <c r="T481" s="14" t="n">
        <f aca="false">IFERROR(S481/Q481,0)</f>
        <v>0.149224735163667</v>
      </c>
      <c r="U481" s="15" t="str">
        <f aca="false">TEXT(A481,"yyyy-mm")</f>
        <v>2022-06</v>
      </c>
    </row>
    <row r="482" customFormat="false" ht="15" hidden="false" customHeight="false" outlineLevel="0" collapsed="false">
      <c r="A482" s="10" t="n">
        <v>44721</v>
      </c>
      <c r="B482" s="11" t="s">
        <v>614</v>
      </c>
      <c r="C482" s="11" t="s">
        <v>148</v>
      </c>
      <c r="D482" s="11" t="s">
        <v>138</v>
      </c>
      <c r="E482" s="11" t="s">
        <v>122</v>
      </c>
      <c r="F482" s="12" t="n">
        <v>4941716</v>
      </c>
      <c r="G482" s="12" t="n">
        <v>4456000</v>
      </c>
      <c r="H482" s="11" t="n">
        <v>13</v>
      </c>
      <c r="I482" s="11" t="s">
        <v>86</v>
      </c>
      <c r="J482" s="11" t="s">
        <v>87</v>
      </c>
      <c r="K482" s="11" t="s">
        <v>88</v>
      </c>
      <c r="L482" s="11" t="s">
        <v>89</v>
      </c>
      <c r="M482" s="11" t="s">
        <v>90</v>
      </c>
      <c r="N482" s="11" t="s">
        <v>123</v>
      </c>
      <c r="O482" s="11" t="s">
        <v>60</v>
      </c>
      <c r="P482" s="11" t="s">
        <v>106</v>
      </c>
      <c r="Q482" s="13" t="n">
        <f aca="false">F482*H482</f>
        <v>64242308</v>
      </c>
      <c r="R482" s="13" t="n">
        <f aca="false">G482*H482</f>
        <v>57928000</v>
      </c>
      <c r="S482" s="13" t="n">
        <f aca="false">Q482-R482</f>
        <v>6314308</v>
      </c>
      <c r="T482" s="14" t="n">
        <f aca="false">IFERROR(S482/Q482,0)</f>
        <v>0.0982889344511097</v>
      </c>
      <c r="U482" s="15" t="str">
        <f aca="false">TEXT(A482,"yyyy-mm")</f>
        <v>2022-06</v>
      </c>
    </row>
    <row r="483" customFormat="false" ht="15" hidden="false" customHeight="false" outlineLevel="0" collapsed="false">
      <c r="A483" s="10" t="n">
        <v>44721</v>
      </c>
      <c r="B483" s="11" t="s">
        <v>615</v>
      </c>
      <c r="C483" s="11" t="s">
        <v>66</v>
      </c>
      <c r="D483" s="11" t="s">
        <v>67</v>
      </c>
      <c r="E483" s="11" t="s">
        <v>68</v>
      </c>
      <c r="F483" s="12" t="n">
        <v>3048952</v>
      </c>
      <c r="G483" s="12" t="n">
        <v>2560000</v>
      </c>
      <c r="H483" s="11" t="n">
        <v>12</v>
      </c>
      <c r="I483" s="11" t="s">
        <v>69</v>
      </c>
      <c r="J483" s="11" t="s">
        <v>70</v>
      </c>
      <c r="K483" s="11" t="s">
        <v>71</v>
      </c>
      <c r="L483" s="11" t="s">
        <v>72</v>
      </c>
      <c r="M483" s="11" t="s">
        <v>73</v>
      </c>
      <c r="N483" s="11" t="s">
        <v>123</v>
      </c>
      <c r="O483" s="11" t="s">
        <v>60</v>
      </c>
      <c r="P483" s="11" t="s">
        <v>106</v>
      </c>
      <c r="Q483" s="13" t="n">
        <f aca="false">F483*H483</f>
        <v>36587424</v>
      </c>
      <c r="R483" s="13" t="n">
        <f aca="false">G483*H483</f>
        <v>30720000</v>
      </c>
      <c r="S483" s="13" t="n">
        <f aca="false">Q483-R483</f>
        <v>5867424</v>
      </c>
      <c r="T483" s="14" t="n">
        <f aca="false">IFERROR(S483/Q483,0)</f>
        <v>0.160367234380863</v>
      </c>
      <c r="U483" s="15" t="str">
        <f aca="false">TEXT(A483,"yyyy-mm")</f>
        <v>2022-06</v>
      </c>
    </row>
    <row r="484" customFormat="false" ht="15" hidden="false" customHeight="false" outlineLevel="0" collapsed="false">
      <c r="A484" s="10" t="n">
        <v>44722</v>
      </c>
      <c r="B484" s="11" t="s">
        <v>616</v>
      </c>
      <c r="C484" s="11" t="s">
        <v>78</v>
      </c>
      <c r="D484" s="11" t="s">
        <v>67</v>
      </c>
      <c r="E484" s="11" t="s">
        <v>79</v>
      </c>
      <c r="F484" s="12" t="n">
        <v>1870000</v>
      </c>
      <c r="G484" s="12" t="n">
        <v>1650000</v>
      </c>
      <c r="H484" s="11" t="n">
        <v>24</v>
      </c>
      <c r="I484" s="11" t="s">
        <v>69</v>
      </c>
      <c r="J484" s="11" t="s">
        <v>80</v>
      </c>
      <c r="K484" s="11" t="s">
        <v>81</v>
      </c>
      <c r="L484" s="11" t="s">
        <v>82</v>
      </c>
      <c r="M484" s="11" t="s">
        <v>73</v>
      </c>
      <c r="N484" s="11" t="s">
        <v>104</v>
      </c>
      <c r="O484" s="11" t="s">
        <v>105</v>
      </c>
      <c r="P484" s="11" t="s">
        <v>106</v>
      </c>
      <c r="Q484" s="13" t="n">
        <f aca="false">F484*H484</f>
        <v>44880000</v>
      </c>
      <c r="R484" s="13" t="n">
        <f aca="false">G484*H484</f>
        <v>39600000</v>
      </c>
      <c r="S484" s="13" t="n">
        <f aca="false">Q484-R484</f>
        <v>5280000</v>
      </c>
      <c r="T484" s="14" t="n">
        <f aca="false">IFERROR(S484/Q484,0)</f>
        <v>0.117647058823529</v>
      </c>
      <c r="U484" s="15" t="str">
        <f aca="false">TEXT(A484,"yyyy-mm")</f>
        <v>2022-06</v>
      </c>
    </row>
    <row r="485" customFormat="false" ht="15" hidden="false" customHeight="false" outlineLevel="0" collapsed="false">
      <c r="A485" s="10" t="n">
        <v>44722</v>
      </c>
      <c r="B485" s="11" t="s">
        <v>617</v>
      </c>
      <c r="C485" s="11" t="s">
        <v>84</v>
      </c>
      <c r="D485" s="11" t="s">
        <v>67</v>
      </c>
      <c r="E485" s="11" t="s">
        <v>85</v>
      </c>
      <c r="F485" s="12" t="n">
        <v>2600000</v>
      </c>
      <c r="G485" s="12" t="n">
        <v>2300000</v>
      </c>
      <c r="H485" s="11" t="n">
        <v>19</v>
      </c>
      <c r="I485" s="11" t="s">
        <v>69</v>
      </c>
      <c r="J485" s="11" t="s">
        <v>70</v>
      </c>
      <c r="K485" s="11" t="s">
        <v>71</v>
      </c>
      <c r="L485" s="11" t="s">
        <v>72</v>
      </c>
      <c r="M485" s="11" t="s">
        <v>73</v>
      </c>
      <c r="N485" s="11" t="s">
        <v>149</v>
      </c>
      <c r="O485" s="11" t="s">
        <v>150</v>
      </c>
      <c r="P485" s="11" t="s">
        <v>151</v>
      </c>
      <c r="Q485" s="13" t="n">
        <f aca="false">F485*H485</f>
        <v>49400000</v>
      </c>
      <c r="R485" s="13" t="n">
        <f aca="false">G485*H485</f>
        <v>43700000</v>
      </c>
      <c r="S485" s="13" t="n">
        <f aca="false">Q485-R485</f>
        <v>5700000</v>
      </c>
      <c r="T485" s="14" t="n">
        <f aca="false">IFERROR(S485/Q485,0)</f>
        <v>0.115384615384615</v>
      </c>
      <c r="U485" s="15" t="str">
        <f aca="false">TEXT(A485,"yyyy-mm")</f>
        <v>2022-06</v>
      </c>
    </row>
    <row r="486" customFormat="false" ht="15" hidden="false" customHeight="false" outlineLevel="0" collapsed="false">
      <c r="A486" s="10" t="n">
        <v>44722</v>
      </c>
      <c r="B486" s="11" t="s">
        <v>618</v>
      </c>
      <c r="C486" s="11" t="s">
        <v>92</v>
      </c>
      <c r="D486" s="11" t="s">
        <v>67</v>
      </c>
      <c r="E486" s="11" t="s">
        <v>79</v>
      </c>
      <c r="F486" s="12" t="n">
        <v>3577480</v>
      </c>
      <c r="G486" s="12" t="n">
        <v>3100000</v>
      </c>
      <c r="H486" s="11" t="n">
        <v>29</v>
      </c>
      <c r="I486" s="11" t="s">
        <v>69</v>
      </c>
      <c r="J486" s="11" t="s">
        <v>112</v>
      </c>
      <c r="K486" s="11" t="s">
        <v>113</v>
      </c>
      <c r="L486" s="11" t="s">
        <v>82</v>
      </c>
      <c r="M486" s="11" t="s">
        <v>157</v>
      </c>
      <c r="N486" s="11" t="s">
        <v>143</v>
      </c>
      <c r="O486" s="11" t="s">
        <v>144</v>
      </c>
      <c r="P486" s="11" t="s">
        <v>101</v>
      </c>
      <c r="Q486" s="13" t="n">
        <f aca="false">F486*H486</f>
        <v>103746920</v>
      </c>
      <c r="R486" s="13" t="n">
        <f aca="false">G486*H486</f>
        <v>89900000</v>
      </c>
      <c r="S486" s="13" t="n">
        <f aca="false">Q486-R486</f>
        <v>13846920</v>
      </c>
      <c r="T486" s="14" t="n">
        <f aca="false">IFERROR(S486/Q486,0)</f>
        <v>0.133468251394837</v>
      </c>
      <c r="U486" s="15" t="str">
        <f aca="false">TEXT(A486,"yyyy-mm")</f>
        <v>2022-06</v>
      </c>
    </row>
    <row r="487" customFormat="false" ht="15" hidden="false" customHeight="false" outlineLevel="0" collapsed="false">
      <c r="A487" s="10" t="n">
        <v>44723</v>
      </c>
      <c r="B487" s="11" t="s">
        <v>619</v>
      </c>
      <c r="C487" s="11" t="s">
        <v>97</v>
      </c>
      <c r="D487" s="11" t="s">
        <v>67</v>
      </c>
      <c r="E487" s="11" t="s">
        <v>98</v>
      </c>
      <c r="F487" s="12" t="n">
        <v>4969724</v>
      </c>
      <c r="G487" s="12" t="n">
        <v>4121560</v>
      </c>
      <c r="H487" s="11" t="n">
        <v>3</v>
      </c>
      <c r="I487" s="11" t="s">
        <v>69</v>
      </c>
      <c r="J487" s="11" t="s">
        <v>80</v>
      </c>
      <c r="K487" s="11" t="s">
        <v>81</v>
      </c>
      <c r="L487" s="11" t="s">
        <v>82</v>
      </c>
      <c r="M487" s="11" t="s">
        <v>73</v>
      </c>
      <c r="N487" s="11" t="s">
        <v>109</v>
      </c>
      <c r="O487" s="11" t="s">
        <v>75</v>
      </c>
      <c r="P487" s="11" t="s">
        <v>95</v>
      </c>
      <c r="Q487" s="13" t="n">
        <f aca="false">F487*H487</f>
        <v>14909172</v>
      </c>
      <c r="R487" s="13" t="n">
        <f aca="false">G487*H487</f>
        <v>12364680</v>
      </c>
      <c r="S487" s="13" t="n">
        <f aca="false">Q487-R487</f>
        <v>2544492</v>
      </c>
      <c r="T487" s="14" t="n">
        <f aca="false">IFERROR(S487/Q487,0)</f>
        <v>0.170666218083741</v>
      </c>
      <c r="U487" s="15" t="str">
        <f aca="false">TEXT(A487,"yyyy-mm")</f>
        <v>2022-06</v>
      </c>
    </row>
    <row r="488" customFormat="false" ht="15" hidden="false" customHeight="false" outlineLevel="0" collapsed="false">
      <c r="A488" s="10" t="n">
        <v>44723</v>
      </c>
      <c r="B488" s="11" t="s">
        <v>620</v>
      </c>
      <c r="C488" s="11" t="s">
        <v>103</v>
      </c>
      <c r="D488" s="11" t="s">
        <v>67</v>
      </c>
      <c r="E488" s="11" t="s">
        <v>68</v>
      </c>
      <c r="F488" s="12" t="n">
        <v>3319925</v>
      </c>
      <c r="G488" s="12" t="n">
        <v>2800000</v>
      </c>
      <c r="H488" s="11" t="n">
        <v>11</v>
      </c>
      <c r="I488" s="11" t="s">
        <v>69</v>
      </c>
      <c r="J488" s="11" t="s">
        <v>112</v>
      </c>
      <c r="K488" s="11" t="s">
        <v>113</v>
      </c>
      <c r="L488" s="11" t="s">
        <v>82</v>
      </c>
      <c r="M488" s="11" t="s">
        <v>157</v>
      </c>
      <c r="N488" s="11" t="s">
        <v>109</v>
      </c>
      <c r="O488" s="11" t="s">
        <v>75</v>
      </c>
      <c r="P488" s="11" t="s">
        <v>95</v>
      </c>
      <c r="Q488" s="13" t="n">
        <f aca="false">F488*H488</f>
        <v>36519175</v>
      </c>
      <c r="R488" s="13" t="n">
        <f aca="false">G488*H488</f>
        <v>30800000</v>
      </c>
      <c r="S488" s="13" t="n">
        <f aca="false">Q488-R488</f>
        <v>5719175</v>
      </c>
      <c r="T488" s="14" t="n">
        <f aca="false">IFERROR(S488/Q488,0)</f>
        <v>0.15660745348163</v>
      </c>
      <c r="U488" s="15" t="str">
        <f aca="false">TEXT(A488,"yyyy-mm")</f>
        <v>2022-06</v>
      </c>
    </row>
    <row r="489" customFormat="false" ht="15" hidden="false" customHeight="false" outlineLevel="0" collapsed="false">
      <c r="A489" s="10" t="n">
        <v>44723</v>
      </c>
      <c r="B489" s="11" t="s">
        <v>621</v>
      </c>
      <c r="C489" s="11" t="s">
        <v>108</v>
      </c>
      <c r="D489" s="11" t="s">
        <v>67</v>
      </c>
      <c r="E489" s="11" t="s">
        <v>68</v>
      </c>
      <c r="F489" s="12" t="n">
        <v>4757880</v>
      </c>
      <c r="G489" s="12" t="n">
        <v>3450000</v>
      </c>
      <c r="H489" s="11" t="n">
        <v>1</v>
      </c>
      <c r="I489" s="11" t="s">
        <v>69</v>
      </c>
      <c r="J489" s="11" t="s">
        <v>80</v>
      </c>
      <c r="K489" s="11" t="s">
        <v>81</v>
      </c>
      <c r="L489" s="11" t="s">
        <v>82</v>
      </c>
      <c r="M489" s="11" t="s">
        <v>73</v>
      </c>
      <c r="N489" s="11" t="s">
        <v>173</v>
      </c>
      <c r="O489" s="11" t="s">
        <v>174</v>
      </c>
      <c r="P489" s="11" t="s">
        <v>95</v>
      </c>
      <c r="Q489" s="13" t="n">
        <f aca="false">F489*H489</f>
        <v>4757880</v>
      </c>
      <c r="R489" s="13" t="n">
        <f aca="false">G489*H489</f>
        <v>3450000</v>
      </c>
      <c r="S489" s="13" t="n">
        <f aca="false">Q489-R489</f>
        <v>1307880</v>
      </c>
      <c r="T489" s="14" t="n">
        <f aca="false">IFERROR(S489/Q489,0)</f>
        <v>0.274887134606169</v>
      </c>
      <c r="U489" s="15" t="str">
        <f aca="false">TEXT(A489,"yyyy-mm")</f>
        <v>2022-06</v>
      </c>
    </row>
    <row r="490" customFormat="false" ht="15" hidden="false" customHeight="false" outlineLevel="0" collapsed="false">
      <c r="A490" s="10" t="n">
        <v>44723</v>
      </c>
      <c r="B490" s="11" t="s">
        <v>622</v>
      </c>
      <c r="C490" s="11" t="s">
        <v>111</v>
      </c>
      <c r="D490" s="11" t="s">
        <v>67</v>
      </c>
      <c r="E490" s="11" t="s">
        <v>79</v>
      </c>
      <c r="F490" s="12" t="n">
        <v>3545808</v>
      </c>
      <c r="G490" s="12" t="n">
        <v>3350000</v>
      </c>
      <c r="H490" s="11" t="n">
        <v>6</v>
      </c>
      <c r="I490" s="11" t="s">
        <v>69</v>
      </c>
      <c r="J490" s="11" t="s">
        <v>80</v>
      </c>
      <c r="K490" s="11" t="s">
        <v>81</v>
      </c>
      <c r="L490" s="11" t="s">
        <v>82</v>
      </c>
      <c r="M490" s="11" t="s">
        <v>73</v>
      </c>
      <c r="N490" s="11" t="s">
        <v>133</v>
      </c>
      <c r="O490" s="11" t="s">
        <v>60</v>
      </c>
      <c r="P490" s="11" t="s">
        <v>76</v>
      </c>
      <c r="Q490" s="13" t="n">
        <f aca="false">F490*H490</f>
        <v>21274848</v>
      </c>
      <c r="R490" s="13" t="n">
        <f aca="false">G490*H490</f>
        <v>20100000</v>
      </c>
      <c r="S490" s="13" t="n">
        <f aca="false">Q490-R490</f>
        <v>1174848</v>
      </c>
      <c r="T490" s="14" t="n">
        <f aca="false">IFERROR(S490/Q490,0)</f>
        <v>0.0552223921881839</v>
      </c>
      <c r="U490" s="15" t="str">
        <f aca="false">TEXT(A490,"yyyy-mm")</f>
        <v>2022-06</v>
      </c>
    </row>
    <row r="491" customFormat="false" ht="15" hidden="false" customHeight="false" outlineLevel="0" collapsed="false">
      <c r="A491" s="10" t="n">
        <v>44724</v>
      </c>
      <c r="B491" s="11" t="s">
        <v>623</v>
      </c>
      <c r="C491" s="11" t="s">
        <v>115</v>
      </c>
      <c r="D491" s="11" t="s">
        <v>67</v>
      </c>
      <c r="E491" s="11" t="s">
        <v>98</v>
      </c>
      <c r="F491" s="12" t="n">
        <v>4200743</v>
      </c>
      <c r="G491" s="12" t="n">
        <v>4101000</v>
      </c>
      <c r="H491" s="11" t="n">
        <v>4</v>
      </c>
      <c r="I491" s="11" t="s">
        <v>69</v>
      </c>
      <c r="J491" s="11" t="s">
        <v>80</v>
      </c>
      <c r="K491" s="11" t="s">
        <v>81</v>
      </c>
      <c r="L491" s="11" t="s">
        <v>82</v>
      </c>
      <c r="M491" s="11" t="s">
        <v>73</v>
      </c>
      <c r="N491" s="11" t="s">
        <v>74</v>
      </c>
      <c r="O491" s="11" t="s">
        <v>75</v>
      </c>
      <c r="P491" s="11" t="s">
        <v>76</v>
      </c>
      <c r="Q491" s="13" t="n">
        <f aca="false">F491*H491</f>
        <v>16802972</v>
      </c>
      <c r="R491" s="13" t="n">
        <f aca="false">G491*H491</f>
        <v>16404000</v>
      </c>
      <c r="S491" s="13" t="n">
        <f aca="false">Q491-R491</f>
        <v>398972</v>
      </c>
      <c r="T491" s="14" t="n">
        <f aca="false">IFERROR(S491/Q491,0)</f>
        <v>0.023744132883159</v>
      </c>
      <c r="U491" s="15" t="str">
        <f aca="false">TEXT(A491,"yyyy-mm")</f>
        <v>2022-06</v>
      </c>
    </row>
    <row r="492" customFormat="false" ht="15" hidden="false" customHeight="false" outlineLevel="0" collapsed="false">
      <c r="A492" s="10" t="n">
        <v>44725</v>
      </c>
      <c r="B492" s="11" t="s">
        <v>624</v>
      </c>
      <c r="C492" s="11" t="s">
        <v>117</v>
      </c>
      <c r="D492" s="11" t="s">
        <v>118</v>
      </c>
      <c r="E492" s="11" t="s">
        <v>119</v>
      </c>
      <c r="F492" s="12" t="n">
        <v>8220549</v>
      </c>
      <c r="G492" s="12" t="n">
        <v>6500000</v>
      </c>
      <c r="H492" s="11" t="n">
        <v>2</v>
      </c>
      <c r="I492" s="11" t="s">
        <v>69</v>
      </c>
      <c r="J492" s="11" t="s">
        <v>80</v>
      </c>
      <c r="K492" s="11" t="s">
        <v>81</v>
      </c>
      <c r="L492" s="11" t="s">
        <v>82</v>
      </c>
      <c r="M492" s="11" t="s">
        <v>73</v>
      </c>
      <c r="N492" s="11" t="s">
        <v>143</v>
      </c>
      <c r="O492" s="11" t="s">
        <v>144</v>
      </c>
      <c r="P492" s="11" t="s">
        <v>101</v>
      </c>
      <c r="Q492" s="13" t="n">
        <f aca="false">F492*H492</f>
        <v>16441098</v>
      </c>
      <c r="R492" s="13" t="n">
        <f aca="false">G492*H492</f>
        <v>13000000</v>
      </c>
      <c r="S492" s="13" t="n">
        <f aca="false">Q492-R492</f>
        <v>3441098</v>
      </c>
      <c r="T492" s="14" t="n">
        <f aca="false">IFERROR(S492/Q492,0)</f>
        <v>0.209298551714733</v>
      </c>
      <c r="U492" s="15" t="str">
        <f aca="false">TEXT(A492,"yyyy-mm")</f>
        <v>2022-06</v>
      </c>
    </row>
    <row r="493" customFormat="false" ht="15" hidden="false" customHeight="false" outlineLevel="0" collapsed="false">
      <c r="A493" s="10" t="n">
        <v>44725</v>
      </c>
      <c r="B493" s="11" t="s">
        <v>625</v>
      </c>
      <c r="C493" s="11" t="s">
        <v>121</v>
      </c>
      <c r="D493" s="11" t="s">
        <v>118</v>
      </c>
      <c r="E493" s="11" t="s">
        <v>122</v>
      </c>
      <c r="F493" s="12" t="n">
        <v>7687274</v>
      </c>
      <c r="G493" s="12" t="n">
        <v>6500000</v>
      </c>
      <c r="H493" s="11" t="n">
        <v>1</v>
      </c>
      <c r="I493" s="11" t="s">
        <v>69</v>
      </c>
      <c r="J493" s="11" t="s">
        <v>80</v>
      </c>
      <c r="K493" s="11" t="s">
        <v>81</v>
      </c>
      <c r="L493" s="11" t="s">
        <v>82</v>
      </c>
      <c r="M493" s="11" t="s">
        <v>73</v>
      </c>
      <c r="N493" s="11" t="s">
        <v>123</v>
      </c>
      <c r="O493" s="11" t="s">
        <v>60</v>
      </c>
      <c r="P493" s="11" t="s">
        <v>106</v>
      </c>
      <c r="Q493" s="13" t="n">
        <f aca="false">F493*H493</f>
        <v>7687274</v>
      </c>
      <c r="R493" s="13" t="n">
        <f aca="false">G493*H493</f>
        <v>6500000</v>
      </c>
      <c r="S493" s="13" t="n">
        <f aca="false">Q493-R493</f>
        <v>1187274</v>
      </c>
      <c r="T493" s="14" t="n">
        <f aca="false">IFERROR(S493/Q493,0)</f>
        <v>0.154446686822923</v>
      </c>
      <c r="U493" s="15" t="str">
        <f aca="false">TEXT(A493,"yyyy-mm")</f>
        <v>2022-06</v>
      </c>
    </row>
    <row r="494" customFormat="false" ht="15" hidden="false" customHeight="false" outlineLevel="0" collapsed="false">
      <c r="A494" s="10" t="n">
        <v>44726</v>
      </c>
      <c r="B494" s="11" t="s">
        <v>626</v>
      </c>
      <c r="C494" s="11" t="s">
        <v>125</v>
      </c>
      <c r="D494" s="11" t="s">
        <v>118</v>
      </c>
      <c r="E494" s="11" t="s">
        <v>126</v>
      </c>
      <c r="F494" s="12" t="n">
        <v>5684211</v>
      </c>
      <c r="G494" s="12" t="n">
        <v>4300000</v>
      </c>
      <c r="H494" s="11" t="n">
        <v>8</v>
      </c>
      <c r="I494" s="11" t="s">
        <v>69</v>
      </c>
      <c r="J494" s="11" t="s">
        <v>80</v>
      </c>
      <c r="K494" s="11" t="s">
        <v>81</v>
      </c>
      <c r="L494" s="11" t="s">
        <v>82</v>
      </c>
      <c r="M494" s="11" t="s">
        <v>73</v>
      </c>
      <c r="N494" s="11" t="s">
        <v>109</v>
      </c>
      <c r="O494" s="11" t="s">
        <v>75</v>
      </c>
      <c r="P494" s="11" t="s">
        <v>95</v>
      </c>
      <c r="Q494" s="13" t="n">
        <f aca="false">F494*H494</f>
        <v>45473688</v>
      </c>
      <c r="R494" s="13" t="n">
        <f aca="false">G494*H494</f>
        <v>34400000</v>
      </c>
      <c r="S494" s="13" t="n">
        <f aca="false">Q494-R494</f>
        <v>11073688</v>
      </c>
      <c r="T494" s="14" t="n">
        <f aca="false">IFERROR(S494/Q494,0)</f>
        <v>0.243518581558637</v>
      </c>
      <c r="U494" s="15" t="str">
        <f aca="false">TEXT(A494,"yyyy-mm")</f>
        <v>2022-06</v>
      </c>
    </row>
    <row r="495" customFormat="false" ht="15" hidden="false" customHeight="false" outlineLevel="0" collapsed="false">
      <c r="A495" s="10" t="n">
        <v>44727</v>
      </c>
      <c r="B495" s="11" t="s">
        <v>627</v>
      </c>
      <c r="C495" s="11" t="s">
        <v>128</v>
      </c>
      <c r="D495" s="11" t="s">
        <v>118</v>
      </c>
      <c r="E495" s="11" t="s">
        <v>119</v>
      </c>
      <c r="F495" s="12" t="n">
        <v>3370302</v>
      </c>
      <c r="G495" s="12" t="n">
        <v>2100000</v>
      </c>
      <c r="H495" s="11" t="n">
        <v>5</v>
      </c>
      <c r="I495" s="11" t="s">
        <v>86</v>
      </c>
      <c r="J495" s="11" t="s">
        <v>87</v>
      </c>
      <c r="K495" s="11" t="s">
        <v>88</v>
      </c>
      <c r="L495" s="11" t="s">
        <v>89</v>
      </c>
      <c r="M495" s="11" t="s">
        <v>90</v>
      </c>
      <c r="N495" s="11" t="s">
        <v>99</v>
      </c>
      <c r="O495" s="11" t="s">
        <v>100</v>
      </c>
      <c r="P495" s="11" t="s">
        <v>101</v>
      </c>
      <c r="Q495" s="13" t="n">
        <f aca="false">F495*H495</f>
        <v>16851510</v>
      </c>
      <c r="R495" s="13" t="n">
        <f aca="false">G495*H495</f>
        <v>10500000</v>
      </c>
      <c r="S495" s="13" t="n">
        <f aca="false">Q495-R495</f>
        <v>6351510</v>
      </c>
      <c r="T495" s="14" t="n">
        <f aca="false">IFERROR(S495/Q495,0)</f>
        <v>0.37691043710623</v>
      </c>
      <c r="U495" s="15" t="str">
        <f aca="false">TEXT(A495,"yyyy-mm")</f>
        <v>2022-06</v>
      </c>
    </row>
    <row r="496" customFormat="false" ht="15" hidden="false" customHeight="false" outlineLevel="0" collapsed="false">
      <c r="A496" s="10" t="n">
        <v>44727</v>
      </c>
      <c r="B496" s="11" t="s">
        <v>628</v>
      </c>
      <c r="C496" s="11" t="s">
        <v>130</v>
      </c>
      <c r="D496" s="11" t="s">
        <v>118</v>
      </c>
      <c r="E496" s="11" t="s">
        <v>68</v>
      </c>
      <c r="F496" s="12" t="n">
        <v>2852897</v>
      </c>
      <c r="G496" s="12" t="n">
        <v>2450000</v>
      </c>
      <c r="H496" s="11" t="n">
        <v>15</v>
      </c>
      <c r="I496" s="11" t="s">
        <v>69</v>
      </c>
      <c r="J496" s="11" t="s">
        <v>70</v>
      </c>
      <c r="K496" s="11" t="s">
        <v>71</v>
      </c>
      <c r="L496" s="11" t="s">
        <v>72</v>
      </c>
      <c r="M496" s="11" t="s">
        <v>73</v>
      </c>
      <c r="N496" s="11" t="s">
        <v>143</v>
      </c>
      <c r="O496" s="11" t="s">
        <v>144</v>
      </c>
      <c r="P496" s="11" t="s">
        <v>101</v>
      </c>
      <c r="Q496" s="13" t="n">
        <f aca="false">F496*H496</f>
        <v>42793455</v>
      </c>
      <c r="R496" s="13" t="n">
        <f aca="false">G496*H496</f>
        <v>36750000</v>
      </c>
      <c r="S496" s="13" t="n">
        <f aca="false">Q496-R496</f>
        <v>6043455</v>
      </c>
      <c r="T496" s="14" t="n">
        <f aca="false">IFERROR(S496/Q496,0)</f>
        <v>0.141223815651249</v>
      </c>
      <c r="U496" s="15" t="str">
        <f aca="false">TEXT(A496,"yyyy-mm")</f>
        <v>2022-06</v>
      </c>
    </row>
    <row r="497" customFormat="false" ht="15" hidden="false" customHeight="false" outlineLevel="0" collapsed="false">
      <c r="A497" s="10" t="n">
        <v>44728</v>
      </c>
      <c r="B497" s="11" t="s">
        <v>629</v>
      </c>
      <c r="C497" s="11" t="s">
        <v>132</v>
      </c>
      <c r="D497" s="11" t="s">
        <v>118</v>
      </c>
      <c r="E497" s="11" t="s">
        <v>68</v>
      </c>
      <c r="F497" s="12" t="n">
        <v>4803603</v>
      </c>
      <c r="G497" s="12" t="n">
        <v>4121000</v>
      </c>
      <c r="H497" s="11" t="n">
        <v>20</v>
      </c>
      <c r="I497" s="11" t="s">
        <v>69</v>
      </c>
      <c r="J497" s="11" t="s">
        <v>80</v>
      </c>
      <c r="K497" s="11" t="s">
        <v>81</v>
      </c>
      <c r="L497" s="11" t="s">
        <v>82</v>
      </c>
      <c r="M497" s="11" t="s">
        <v>73</v>
      </c>
      <c r="N497" s="11" t="s">
        <v>123</v>
      </c>
      <c r="O497" s="11" t="s">
        <v>60</v>
      </c>
      <c r="P497" s="11" t="s">
        <v>106</v>
      </c>
      <c r="Q497" s="13" t="n">
        <f aca="false">F497*H497</f>
        <v>96072060</v>
      </c>
      <c r="R497" s="13" t="n">
        <f aca="false">G497*H497</f>
        <v>82420000</v>
      </c>
      <c r="S497" s="13" t="n">
        <f aca="false">Q497-R497</f>
        <v>13652060</v>
      </c>
      <c r="T497" s="14" t="n">
        <f aca="false">IFERROR(S497/Q497,0)</f>
        <v>0.142102292799801</v>
      </c>
      <c r="U497" s="15" t="str">
        <f aca="false">TEXT(A497,"yyyy-mm")</f>
        <v>2022-06</v>
      </c>
    </row>
    <row r="498" customFormat="false" ht="15" hidden="false" customHeight="false" outlineLevel="0" collapsed="false">
      <c r="A498" s="10" t="n">
        <v>44728</v>
      </c>
      <c r="B498" s="11" t="s">
        <v>630</v>
      </c>
      <c r="C498" s="11" t="s">
        <v>135</v>
      </c>
      <c r="D498" s="11" t="s">
        <v>118</v>
      </c>
      <c r="E498" s="11" t="s">
        <v>68</v>
      </c>
      <c r="F498" s="12" t="n">
        <v>5689947</v>
      </c>
      <c r="G498" s="12" t="n">
        <v>5235000</v>
      </c>
      <c r="H498" s="11" t="n">
        <v>5</v>
      </c>
      <c r="I498" s="11" t="s">
        <v>86</v>
      </c>
      <c r="J498" s="11" t="s">
        <v>87</v>
      </c>
      <c r="K498" s="11" t="s">
        <v>88</v>
      </c>
      <c r="L498" s="11" t="s">
        <v>89</v>
      </c>
      <c r="M498" s="11" t="s">
        <v>90</v>
      </c>
      <c r="N498" s="11" t="s">
        <v>109</v>
      </c>
      <c r="O498" s="11" t="s">
        <v>75</v>
      </c>
      <c r="P498" s="11" t="s">
        <v>95</v>
      </c>
      <c r="Q498" s="13" t="n">
        <f aca="false">F498*H498</f>
        <v>28449735</v>
      </c>
      <c r="R498" s="13" t="n">
        <f aca="false">G498*H498</f>
        <v>26175000</v>
      </c>
      <c r="S498" s="13" t="n">
        <f aca="false">Q498-R498</f>
        <v>2274735</v>
      </c>
      <c r="T498" s="14" t="n">
        <f aca="false">IFERROR(S498/Q498,0)</f>
        <v>0.0799562807878527</v>
      </c>
      <c r="U498" s="15" t="str">
        <f aca="false">TEXT(A498,"yyyy-mm")</f>
        <v>2022-06</v>
      </c>
    </row>
    <row r="499" customFormat="false" ht="15" hidden="false" customHeight="false" outlineLevel="0" collapsed="false">
      <c r="A499" s="10" t="n">
        <v>44729</v>
      </c>
      <c r="B499" s="11" t="s">
        <v>631</v>
      </c>
      <c r="C499" s="11" t="s">
        <v>137</v>
      </c>
      <c r="D499" s="11" t="s">
        <v>138</v>
      </c>
      <c r="E499" s="11" t="s">
        <v>139</v>
      </c>
      <c r="F499" s="12" t="n">
        <v>5171827</v>
      </c>
      <c r="G499" s="12" t="n">
        <v>4890000</v>
      </c>
      <c r="H499" s="11" t="n">
        <v>15</v>
      </c>
      <c r="I499" s="11" t="s">
        <v>69</v>
      </c>
      <c r="J499" s="11" t="s">
        <v>70</v>
      </c>
      <c r="K499" s="11" t="s">
        <v>71</v>
      </c>
      <c r="L499" s="11" t="s">
        <v>72</v>
      </c>
      <c r="M499" s="11" t="s">
        <v>73</v>
      </c>
      <c r="N499" s="11" t="s">
        <v>143</v>
      </c>
      <c r="O499" s="11" t="s">
        <v>144</v>
      </c>
      <c r="P499" s="11" t="s">
        <v>101</v>
      </c>
      <c r="Q499" s="13" t="n">
        <f aca="false">F499*H499</f>
        <v>77577405</v>
      </c>
      <c r="R499" s="13" t="n">
        <f aca="false">G499*H499</f>
        <v>73350000</v>
      </c>
      <c r="S499" s="13" t="n">
        <f aca="false">Q499-R499</f>
        <v>4227405</v>
      </c>
      <c r="T499" s="14" t="n">
        <f aca="false">IFERROR(S499/Q499,0)</f>
        <v>0.0544927353525166</v>
      </c>
      <c r="U499" s="15" t="str">
        <f aca="false">TEXT(A499,"yyyy-mm")</f>
        <v>2022-06</v>
      </c>
    </row>
    <row r="500" customFormat="false" ht="15" hidden="false" customHeight="false" outlineLevel="0" collapsed="false">
      <c r="A500" s="10" t="n">
        <v>44729</v>
      </c>
      <c r="B500" s="11" t="s">
        <v>632</v>
      </c>
      <c r="C500" s="11" t="s">
        <v>141</v>
      </c>
      <c r="D500" s="11" t="s">
        <v>138</v>
      </c>
      <c r="E500" s="11" t="s">
        <v>142</v>
      </c>
      <c r="F500" s="12" t="n">
        <v>2805124</v>
      </c>
      <c r="G500" s="12" t="n">
        <v>2178000</v>
      </c>
      <c r="H500" s="11" t="n">
        <v>5</v>
      </c>
      <c r="I500" s="11" t="s">
        <v>69</v>
      </c>
      <c r="J500" s="11" t="s">
        <v>70</v>
      </c>
      <c r="K500" s="11" t="s">
        <v>71</v>
      </c>
      <c r="L500" s="11" t="s">
        <v>72</v>
      </c>
      <c r="M500" s="11" t="s">
        <v>73</v>
      </c>
      <c r="N500" s="11" t="s">
        <v>133</v>
      </c>
      <c r="O500" s="11" t="s">
        <v>60</v>
      </c>
      <c r="P500" s="11" t="s">
        <v>76</v>
      </c>
      <c r="Q500" s="13" t="n">
        <f aca="false">F500*H500</f>
        <v>14025620</v>
      </c>
      <c r="R500" s="13" t="n">
        <f aca="false">G500*H500</f>
        <v>10890000</v>
      </c>
      <c r="S500" s="13" t="n">
        <f aca="false">Q500-R500</f>
        <v>3135620</v>
      </c>
      <c r="T500" s="14" t="n">
        <f aca="false">IFERROR(S500/Q500,0)</f>
        <v>0.22356373550688</v>
      </c>
      <c r="U500" s="15" t="str">
        <f aca="false">TEXT(A500,"yyyy-mm")</f>
        <v>2022-06</v>
      </c>
    </row>
    <row r="501" customFormat="false" ht="15" hidden="false" customHeight="false" outlineLevel="0" collapsed="false">
      <c r="A501" s="10" t="n">
        <v>44729</v>
      </c>
      <c r="B501" s="11" t="s">
        <v>633</v>
      </c>
      <c r="C501" s="11" t="s">
        <v>146</v>
      </c>
      <c r="D501" s="11" t="s">
        <v>138</v>
      </c>
      <c r="E501" s="11" t="s">
        <v>139</v>
      </c>
      <c r="F501" s="12" t="n">
        <v>2728100</v>
      </c>
      <c r="G501" s="12" t="n">
        <v>2321000</v>
      </c>
      <c r="H501" s="11" t="n">
        <v>24</v>
      </c>
      <c r="I501" s="11" t="s">
        <v>69</v>
      </c>
      <c r="J501" s="11" t="s">
        <v>80</v>
      </c>
      <c r="K501" s="11" t="s">
        <v>81</v>
      </c>
      <c r="L501" s="11" t="s">
        <v>82</v>
      </c>
      <c r="M501" s="11" t="s">
        <v>73</v>
      </c>
      <c r="N501" s="11" t="s">
        <v>99</v>
      </c>
      <c r="O501" s="11" t="s">
        <v>100</v>
      </c>
      <c r="P501" s="11" t="s">
        <v>101</v>
      </c>
      <c r="Q501" s="13" t="n">
        <f aca="false">F501*H501</f>
        <v>65474400</v>
      </c>
      <c r="R501" s="13" t="n">
        <f aca="false">G501*H501</f>
        <v>55704000</v>
      </c>
      <c r="S501" s="13" t="n">
        <f aca="false">Q501-R501</f>
        <v>9770400</v>
      </c>
      <c r="T501" s="14" t="n">
        <f aca="false">IFERROR(S501/Q501,0)</f>
        <v>0.149224735163667</v>
      </c>
      <c r="U501" s="15" t="str">
        <f aca="false">TEXT(A501,"yyyy-mm")</f>
        <v>2022-06</v>
      </c>
    </row>
    <row r="502" customFormat="false" ht="15" hidden="false" customHeight="false" outlineLevel="0" collapsed="false">
      <c r="A502" s="10" t="n">
        <v>44729</v>
      </c>
      <c r="B502" s="11" t="s">
        <v>634</v>
      </c>
      <c r="C502" s="11" t="s">
        <v>148</v>
      </c>
      <c r="D502" s="11" t="s">
        <v>138</v>
      </c>
      <c r="E502" s="11" t="s">
        <v>122</v>
      </c>
      <c r="F502" s="12" t="n">
        <v>4941716</v>
      </c>
      <c r="G502" s="12" t="n">
        <v>4456000</v>
      </c>
      <c r="H502" s="11" t="n">
        <v>20</v>
      </c>
      <c r="I502" s="11" t="s">
        <v>86</v>
      </c>
      <c r="J502" s="11" t="s">
        <v>87</v>
      </c>
      <c r="K502" s="11" t="s">
        <v>88</v>
      </c>
      <c r="L502" s="11" t="s">
        <v>89</v>
      </c>
      <c r="M502" s="11" t="s">
        <v>90</v>
      </c>
      <c r="N502" s="11" t="s">
        <v>143</v>
      </c>
      <c r="O502" s="11" t="s">
        <v>144</v>
      </c>
      <c r="P502" s="11" t="s">
        <v>101</v>
      </c>
      <c r="Q502" s="13" t="n">
        <f aca="false">F502*H502</f>
        <v>98834320</v>
      </c>
      <c r="R502" s="13" t="n">
        <f aca="false">G502*H502</f>
        <v>89120000</v>
      </c>
      <c r="S502" s="13" t="n">
        <f aca="false">Q502-R502</f>
        <v>9714320</v>
      </c>
      <c r="T502" s="14" t="n">
        <f aca="false">IFERROR(S502/Q502,0)</f>
        <v>0.0982889344511097</v>
      </c>
      <c r="U502" s="15" t="str">
        <f aca="false">TEXT(A502,"yyyy-mm")</f>
        <v>2022-06</v>
      </c>
    </row>
    <row r="503" customFormat="false" ht="15" hidden="false" customHeight="false" outlineLevel="0" collapsed="false">
      <c r="A503" s="10" t="n">
        <v>44729</v>
      </c>
      <c r="B503" s="11" t="s">
        <v>635</v>
      </c>
      <c r="C503" s="11" t="s">
        <v>66</v>
      </c>
      <c r="D503" s="11" t="s">
        <v>67</v>
      </c>
      <c r="E503" s="11" t="s">
        <v>68</v>
      </c>
      <c r="F503" s="12" t="n">
        <v>3048952</v>
      </c>
      <c r="G503" s="12" t="n">
        <v>2560000</v>
      </c>
      <c r="H503" s="11" t="n">
        <v>6</v>
      </c>
      <c r="I503" s="11" t="s">
        <v>69</v>
      </c>
      <c r="J503" s="11" t="s">
        <v>112</v>
      </c>
      <c r="K503" s="11" t="s">
        <v>113</v>
      </c>
      <c r="L503" s="11" t="s">
        <v>82</v>
      </c>
      <c r="M503" s="11" t="s">
        <v>157</v>
      </c>
      <c r="N503" s="11" t="s">
        <v>123</v>
      </c>
      <c r="O503" s="11" t="s">
        <v>60</v>
      </c>
      <c r="P503" s="11" t="s">
        <v>106</v>
      </c>
      <c r="Q503" s="13" t="n">
        <f aca="false">F503*H503</f>
        <v>18293712</v>
      </c>
      <c r="R503" s="13" t="n">
        <f aca="false">G503*H503</f>
        <v>15360000</v>
      </c>
      <c r="S503" s="13" t="n">
        <f aca="false">Q503-R503</f>
        <v>2933712</v>
      </c>
      <c r="T503" s="14" t="n">
        <f aca="false">IFERROR(S503/Q503,0)</f>
        <v>0.160367234380863</v>
      </c>
      <c r="U503" s="15" t="str">
        <f aca="false">TEXT(A503,"yyyy-mm")</f>
        <v>2022-06</v>
      </c>
    </row>
    <row r="504" customFormat="false" ht="15" hidden="false" customHeight="false" outlineLevel="0" collapsed="false">
      <c r="A504" s="10" t="n">
        <v>44729</v>
      </c>
      <c r="B504" s="11" t="s">
        <v>636</v>
      </c>
      <c r="C504" s="11" t="s">
        <v>78</v>
      </c>
      <c r="D504" s="11" t="s">
        <v>67</v>
      </c>
      <c r="E504" s="11" t="s">
        <v>79</v>
      </c>
      <c r="F504" s="12" t="n">
        <v>1870000</v>
      </c>
      <c r="G504" s="12" t="n">
        <v>1650000</v>
      </c>
      <c r="H504" s="11" t="n">
        <v>21</v>
      </c>
      <c r="I504" s="11" t="s">
        <v>69</v>
      </c>
      <c r="J504" s="11" t="s">
        <v>80</v>
      </c>
      <c r="K504" s="11" t="s">
        <v>81</v>
      </c>
      <c r="L504" s="11" t="s">
        <v>82</v>
      </c>
      <c r="M504" s="11" t="s">
        <v>73</v>
      </c>
      <c r="N504" s="11" t="s">
        <v>93</v>
      </c>
      <c r="O504" s="11" t="s">
        <v>94</v>
      </c>
      <c r="P504" s="11" t="s">
        <v>95</v>
      </c>
      <c r="Q504" s="13" t="n">
        <f aca="false">F504*H504</f>
        <v>39270000</v>
      </c>
      <c r="R504" s="13" t="n">
        <f aca="false">G504*H504</f>
        <v>34650000</v>
      </c>
      <c r="S504" s="13" t="n">
        <f aca="false">Q504-R504</f>
        <v>4620000</v>
      </c>
      <c r="T504" s="14" t="n">
        <f aca="false">IFERROR(S504/Q504,0)</f>
        <v>0.117647058823529</v>
      </c>
      <c r="U504" s="15" t="str">
        <f aca="false">TEXT(A504,"yyyy-mm")</f>
        <v>2022-06</v>
      </c>
    </row>
    <row r="505" customFormat="false" ht="15" hidden="false" customHeight="false" outlineLevel="0" collapsed="false">
      <c r="A505" s="10" t="n">
        <v>44730</v>
      </c>
      <c r="B505" s="11" t="s">
        <v>637</v>
      </c>
      <c r="C505" s="11" t="s">
        <v>84</v>
      </c>
      <c r="D505" s="11" t="s">
        <v>67</v>
      </c>
      <c r="E505" s="11" t="s">
        <v>85</v>
      </c>
      <c r="F505" s="12" t="n">
        <v>2600000</v>
      </c>
      <c r="G505" s="12" t="n">
        <v>2300000</v>
      </c>
      <c r="H505" s="11" t="n">
        <v>1</v>
      </c>
      <c r="I505" s="11" t="s">
        <v>86</v>
      </c>
      <c r="J505" s="11" t="s">
        <v>87</v>
      </c>
      <c r="K505" s="11" t="s">
        <v>88</v>
      </c>
      <c r="L505" s="11" t="s">
        <v>89</v>
      </c>
      <c r="M505" s="11" t="s">
        <v>90</v>
      </c>
      <c r="N505" s="11" t="s">
        <v>93</v>
      </c>
      <c r="O505" s="11" t="s">
        <v>94</v>
      </c>
      <c r="P505" s="11" t="s">
        <v>95</v>
      </c>
      <c r="Q505" s="13" t="n">
        <f aca="false">F505*H505</f>
        <v>2600000</v>
      </c>
      <c r="R505" s="13" t="n">
        <f aca="false">G505*H505</f>
        <v>2300000</v>
      </c>
      <c r="S505" s="13" t="n">
        <f aca="false">Q505-R505</f>
        <v>300000</v>
      </c>
      <c r="T505" s="14" t="n">
        <f aca="false">IFERROR(S505/Q505,0)</f>
        <v>0.115384615384615</v>
      </c>
      <c r="U505" s="15" t="str">
        <f aca="false">TEXT(A505,"yyyy-mm")</f>
        <v>2022-06</v>
      </c>
    </row>
    <row r="506" customFormat="false" ht="15" hidden="false" customHeight="false" outlineLevel="0" collapsed="false">
      <c r="A506" s="10" t="n">
        <v>44731</v>
      </c>
      <c r="B506" s="11" t="s">
        <v>638</v>
      </c>
      <c r="C506" s="11" t="s">
        <v>92</v>
      </c>
      <c r="D506" s="11" t="s">
        <v>67</v>
      </c>
      <c r="E506" s="11" t="s">
        <v>79</v>
      </c>
      <c r="F506" s="12" t="n">
        <v>3577480</v>
      </c>
      <c r="G506" s="12" t="n">
        <v>3100000</v>
      </c>
      <c r="H506" s="11" t="n">
        <v>17</v>
      </c>
      <c r="I506" s="11" t="s">
        <v>69</v>
      </c>
      <c r="J506" s="11" t="s">
        <v>70</v>
      </c>
      <c r="K506" s="11" t="s">
        <v>71</v>
      </c>
      <c r="L506" s="11" t="s">
        <v>72</v>
      </c>
      <c r="M506" s="11" t="s">
        <v>73</v>
      </c>
      <c r="N506" s="11" t="s">
        <v>173</v>
      </c>
      <c r="O506" s="11" t="s">
        <v>174</v>
      </c>
      <c r="P506" s="11" t="s">
        <v>95</v>
      </c>
      <c r="Q506" s="13" t="n">
        <f aca="false">F506*H506</f>
        <v>60817160</v>
      </c>
      <c r="R506" s="13" t="n">
        <f aca="false">G506*H506</f>
        <v>52700000</v>
      </c>
      <c r="S506" s="13" t="n">
        <f aca="false">Q506-R506</f>
        <v>8117160</v>
      </c>
      <c r="T506" s="14" t="n">
        <f aca="false">IFERROR(S506/Q506,0)</f>
        <v>0.133468251394837</v>
      </c>
      <c r="U506" s="15" t="str">
        <f aca="false">TEXT(A506,"yyyy-mm")</f>
        <v>2022-06</v>
      </c>
    </row>
    <row r="507" customFormat="false" ht="15" hidden="false" customHeight="false" outlineLevel="0" collapsed="false">
      <c r="A507" s="10" t="n">
        <v>44731</v>
      </c>
      <c r="B507" s="11" t="s">
        <v>639</v>
      </c>
      <c r="C507" s="11" t="s">
        <v>97</v>
      </c>
      <c r="D507" s="11" t="s">
        <v>67</v>
      </c>
      <c r="E507" s="11" t="s">
        <v>98</v>
      </c>
      <c r="F507" s="12" t="n">
        <v>4969724</v>
      </c>
      <c r="G507" s="12" t="n">
        <v>4121560</v>
      </c>
      <c r="H507" s="11" t="n">
        <v>1</v>
      </c>
      <c r="I507" s="11" t="s">
        <v>69</v>
      </c>
      <c r="J507" s="11" t="s">
        <v>80</v>
      </c>
      <c r="K507" s="11" t="s">
        <v>81</v>
      </c>
      <c r="L507" s="11" t="s">
        <v>82</v>
      </c>
      <c r="M507" s="11" t="s">
        <v>73</v>
      </c>
      <c r="N507" s="11" t="s">
        <v>149</v>
      </c>
      <c r="O507" s="11" t="s">
        <v>150</v>
      </c>
      <c r="P507" s="11" t="s">
        <v>151</v>
      </c>
      <c r="Q507" s="13" t="n">
        <f aca="false">F507*H507</f>
        <v>4969724</v>
      </c>
      <c r="R507" s="13" t="n">
        <f aca="false">G507*H507</f>
        <v>4121560</v>
      </c>
      <c r="S507" s="13" t="n">
        <f aca="false">Q507-R507</f>
        <v>848164</v>
      </c>
      <c r="T507" s="14" t="n">
        <f aca="false">IFERROR(S507/Q507,0)</f>
        <v>0.170666218083741</v>
      </c>
      <c r="U507" s="15" t="str">
        <f aca="false">TEXT(A507,"yyyy-mm")</f>
        <v>2022-06</v>
      </c>
    </row>
    <row r="508" customFormat="false" ht="15" hidden="false" customHeight="false" outlineLevel="0" collapsed="false">
      <c r="A508" s="10" t="n">
        <v>44731</v>
      </c>
      <c r="B508" s="11" t="s">
        <v>640</v>
      </c>
      <c r="C508" s="11" t="s">
        <v>103</v>
      </c>
      <c r="D508" s="11" t="s">
        <v>67</v>
      </c>
      <c r="E508" s="11" t="s">
        <v>68</v>
      </c>
      <c r="F508" s="12" t="n">
        <v>3319925</v>
      </c>
      <c r="G508" s="12" t="n">
        <v>2800000</v>
      </c>
      <c r="H508" s="11" t="n">
        <v>3</v>
      </c>
      <c r="I508" s="11" t="s">
        <v>69</v>
      </c>
      <c r="J508" s="11" t="s">
        <v>80</v>
      </c>
      <c r="K508" s="11" t="s">
        <v>81</v>
      </c>
      <c r="L508" s="11" t="s">
        <v>82</v>
      </c>
      <c r="M508" s="11" t="s">
        <v>73</v>
      </c>
      <c r="N508" s="11" t="s">
        <v>123</v>
      </c>
      <c r="O508" s="11" t="s">
        <v>60</v>
      </c>
      <c r="P508" s="11" t="s">
        <v>106</v>
      </c>
      <c r="Q508" s="13" t="n">
        <f aca="false">F508*H508</f>
        <v>9959775</v>
      </c>
      <c r="R508" s="13" t="n">
        <f aca="false">G508*H508</f>
        <v>8400000</v>
      </c>
      <c r="S508" s="13" t="n">
        <f aca="false">Q508-R508</f>
        <v>1559775</v>
      </c>
      <c r="T508" s="14" t="n">
        <f aca="false">IFERROR(S508/Q508,0)</f>
        <v>0.15660745348163</v>
      </c>
      <c r="U508" s="15" t="str">
        <f aca="false">TEXT(A508,"yyyy-mm")</f>
        <v>2022-06</v>
      </c>
    </row>
    <row r="509" customFormat="false" ht="15" hidden="false" customHeight="false" outlineLevel="0" collapsed="false">
      <c r="A509" s="10" t="n">
        <v>44731</v>
      </c>
      <c r="B509" s="11" t="s">
        <v>641</v>
      </c>
      <c r="C509" s="11" t="s">
        <v>108</v>
      </c>
      <c r="D509" s="11" t="s">
        <v>67</v>
      </c>
      <c r="E509" s="11" t="s">
        <v>68</v>
      </c>
      <c r="F509" s="12" t="n">
        <v>4757880</v>
      </c>
      <c r="G509" s="12" t="n">
        <v>3450000</v>
      </c>
      <c r="H509" s="11" t="n">
        <v>1</v>
      </c>
      <c r="I509" s="11" t="s">
        <v>69</v>
      </c>
      <c r="J509" s="11" t="s">
        <v>112</v>
      </c>
      <c r="K509" s="11" t="s">
        <v>113</v>
      </c>
      <c r="L509" s="11" t="s">
        <v>82</v>
      </c>
      <c r="M509" s="11" t="s">
        <v>157</v>
      </c>
      <c r="N509" s="11" t="s">
        <v>149</v>
      </c>
      <c r="O509" s="11" t="s">
        <v>150</v>
      </c>
      <c r="P509" s="11" t="s">
        <v>151</v>
      </c>
      <c r="Q509" s="13" t="n">
        <f aca="false">F509*H509</f>
        <v>4757880</v>
      </c>
      <c r="R509" s="13" t="n">
        <f aca="false">G509*H509</f>
        <v>3450000</v>
      </c>
      <c r="S509" s="13" t="n">
        <f aca="false">Q509-R509</f>
        <v>1307880</v>
      </c>
      <c r="T509" s="14" t="n">
        <f aca="false">IFERROR(S509/Q509,0)</f>
        <v>0.274887134606169</v>
      </c>
      <c r="U509" s="15" t="str">
        <f aca="false">TEXT(A509,"yyyy-mm")</f>
        <v>2022-06</v>
      </c>
    </row>
    <row r="510" customFormat="false" ht="15" hidden="false" customHeight="false" outlineLevel="0" collapsed="false">
      <c r="A510" s="10" t="n">
        <v>44731</v>
      </c>
      <c r="B510" s="11" t="s">
        <v>642</v>
      </c>
      <c r="C510" s="11" t="s">
        <v>111</v>
      </c>
      <c r="D510" s="11" t="s">
        <v>67</v>
      </c>
      <c r="E510" s="11" t="s">
        <v>79</v>
      </c>
      <c r="F510" s="12" t="n">
        <v>3545808</v>
      </c>
      <c r="G510" s="12" t="n">
        <v>3350000</v>
      </c>
      <c r="H510" s="11" t="n">
        <v>7</v>
      </c>
      <c r="I510" s="11" t="s">
        <v>69</v>
      </c>
      <c r="J510" s="11" t="s">
        <v>80</v>
      </c>
      <c r="K510" s="11" t="s">
        <v>81</v>
      </c>
      <c r="L510" s="11" t="s">
        <v>82</v>
      </c>
      <c r="M510" s="11" t="s">
        <v>73</v>
      </c>
      <c r="N510" s="11" t="s">
        <v>109</v>
      </c>
      <c r="O510" s="11" t="s">
        <v>75</v>
      </c>
      <c r="P510" s="11" t="s">
        <v>95</v>
      </c>
      <c r="Q510" s="13" t="n">
        <f aca="false">F510*H510</f>
        <v>24820656</v>
      </c>
      <c r="R510" s="13" t="n">
        <f aca="false">G510*H510</f>
        <v>23450000</v>
      </c>
      <c r="S510" s="13" t="n">
        <f aca="false">Q510-R510</f>
        <v>1370656</v>
      </c>
      <c r="T510" s="14" t="n">
        <f aca="false">IFERROR(S510/Q510,0)</f>
        <v>0.0552223921881839</v>
      </c>
      <c r="U510" s="15" t="str">
        <f aca="false">TEXT(A510,"yyyy-mm")</f>
        <v>2022-06</v>
      </c>
    </row>
    <row r="511" customFormat="false" ht="15" hidden="false" customHeight="false" outlineLevel="0" collapsed="false">
      <c r="A511" s="10" t="n">
        <v>44732</v>
      </c>
      <c r="B511" s="11" t="s">
        <v>643</v>
      </c>
      <c r="C511" s="11" t="s">
        <v>115</v>
      </c>
      <c r="D511" s="11" t="s">
        <v>67</v>
      </c>
      <c r="E511" s="11" t="s">
        <v>98</v>
      </c>
      <c r="F511" s="12" t="n">
        <v>4200743</v>
      </c>
      <c r="G511" s="12" t="n">
        <v>4101000</v>
      </c>
      <c r="H511" s="11" t="n">
        <v>7</v>
      </c>
      <c r="I511" s="11" t="s">
        <v>69</v>
      </c>
      <c r="J511" s="11" t="s">
        <v>80</v>
      </c>
      <c r="K511" s="11" t="s">
        <v>81</v>
      </c>
      <c r="L511" s="11" t="s">
        <v>82</v>
      </c>
      <c r="M511" s="11" t="s">
        <v>73</v>
      </c>
      <c r="N511" s="11" t="s">
        <v>133</v>
      </c>
      <c r="O511" s="11" t="s">
        <v>60</v>
      </c>
      <c r="P511" s="11" t="s">
        <v>76</v>
      </c>
      <c r="Q511" s="13" t="n">
        <f aca="false">F511*H511</f>
        <v>29405201</v>
      </c>
      <c r="R511" s="13" t="n">
        <f aca="false">G511*H511</f>
        <v>28707000</v>
      </c>
      <c r="S511" s="13" t="n">
        <f aca="false">Q511-R511</f>
        <v>698201</v>
      </c>
      <c r="T511" s="14" t="n">
        <f aca="false">IFERROR(S511/Q511,0)</f>
        <v>0.023744132883159</v>
      </c>
      <c r="U511" s="15" t="str">
        <f aca="false">TEXT(A511,"yyyy-mm")</f>
        <v>2022-06</v>
      </c>
    </row>
    <row r="512" customFormat="false" ht="15" hidden="false" customHeight="false" outlineLevel="0" collapsed="false">
      <c r="A512" s="10" t="n">
        <v>44732</v>
      </c>
      <c r="B512" s="11" t="s">
        <v>644</v>
      </c>
      <c r="C512" s="11" t="s">
        <v>117</v>
      </c>
      <c r="D512" s="11" t="s">
        <v>118</v>
      </c>
      <c r="E512" s="11" t="s">
        <v>119</v>
      </c>
      <c r="F512" s="12" t="n">
        <v>8220549</v>
      </c>
      <c r="G512" s="12" t="n">
        <v>6500000</v>
      </c>
      <c r="H512" s="11" t="n">
        <v>5</v>
      </c>
      <c r="I512" s="11" t="s">
        <v>69</v>
      </c>
      <c r="J512" s="11" t="s">
        <v>80</v>
      </c>
      <c r="K512" s="11" t="s">
        <v>81</v>
      </c>
      <c r="L512" s="11" t="s">
        <v>82</v>
      </c>
      <c r="M512" s="11" t="s">
        <v>73</v>
      </c>
      <c r="N512" s="11" t="s">
        <v>133</v>
      </c>
      <c r="O512" s="11" t="s">
        <v>60</v>
      </c>
      <c r="P512" s="11" t="s">
        <v>76</v>
      </c>
      <c r="Q512" s="13" t="n">
        <f aca="false">F512*H512</f>
        <v>41102745</v>
      </c>
      <c r="R512" s="13" t="n">
        <f aca="false">G512*H512</f>
        <v>32500000</v>
      </c>
      <c r="S512" s="13" t="n">
        <f aca="false">Q512-R512</f>
        <v>8602745</v>
      </c>
      <c r="T512" s="14" t="n">
        <f aca="false">IFERROR(S512/Q512,0)</f>
        <v>0.209298551714733</v>
      </c>
      <c r="U512" s="15" t="str">
        <f aca="false">TEXT(A512,"yyyy-mm")</f>
        <v>2022-06</v>
      </c>
    </row>
    <row r="513" customFormat="false" ht="15" hidden="false" customHeight="false" outlineLevel="0" collapsed="false">
      <c r="A513" s="10" t="n">
        <v>44732</v>
      </c>
      <c r="B513" s="11" t="s">
        <v>645</v>
      </c>
      <c r="C513" s="11" t="s">
        <v>121</v>
      </c>
      <c r="D513" s="11" t="s">
        <v>118</v>
      </c>
      <c r="E513" s="11" t="s">
        <v>122</v>
      </c>
      <c r="F513" s="12" t="n">
        <v>7687274</v>
      </c>
      <c r="G513" s="12" t="n">
        <v>6500000</v>
      </c>
      <c r="H513" s="11" t="n">
        <v>18</v>
      </c>
      <c r="I513" s="11" t="s">
        <v>69</v>
      </c>
      <c r="J513" s="11" t="s">
        <v>112</v>
      </c>
      <c r="K513" s="11" t="s">
        <v>113</v>
      </c>
      <c r="L513" s="11" t="s">
        <v>82</v>
      </c>
      <c r="M513" s="11" t="s">
        <v>157</v>
      </c>
      <c r="N513" s="11" t="s">
        <v>133</v>
      </c>
      <c r="O513" s="11" t="s">
        <v>60</v>
      </c>
      <c r="P513" s="11" t="s">
        <v>76</v>
      </c>
      <c r="Q513" s="13" t="n">
        <f aca="false">F513*H513</f>
        <v>138370932</v>
      </c>
      <c r="R513" s="13" t="n">
        <f aca="false">G513*H513</f>
        <v>117000000</v>
      </c>
      <c r="S513" s="13" t="n">
        <f aca="false">Q513-R513</f>
        <v>21370932</v>
      </c>
      <c r="T513" s="14" t="n">
        <f aca="false">IFERROR(S513/Q513,0)</f>
        <v>0.154446686822923</v>
      </c>
      <c r="U513" s="15" t="str">
        <f aca="false">TEXT(A513,"yyyy-mm")</f>
        <v>2022-06</v>
      </c>
    </row>
    <row r="514" customFormat="false" ht="15" hidden="false" customHeight="false" outlineLevel="0" collapsed="false">
      <c r="A514" s="10" t="n">
        <v>44732</v>
      </c>
      <c r="B514" s="11" t="s">
        <v>646</v>
      </c>
      <c r="C514" s="11" t="s">
        <v>125</v>
      </c>
      <c r="D514" s="11" t="s">
        <v>118</v>
      </c>
      <c r="E514" s="11" t="s">
        <v>126</v>
      </c>
      <c r="F514" s="12" t="n">
        <v>5684211</v>
      </c>
      <c r="G514" s="12" t="n">
        <v>4300000</v>
      </c>
      <c r="H514" s="11" t="n">
        <v>3</v>
      </c>
      <c r="I514" s="11" t="s">
        <v>69</v>
      </c>
      <c r="J514" s="11" t="s">
        <v>112</v>
      </c>
      <c r="K514" s="11" t="s">
        <v>113</v>
      </c>
      <c r="L514" s="11" t="s">
        <v>82</v>
      </c>
      <c r="M514" s="11" t="s">
        <v>157</v>
      </c>
      <c r="N514" s="11" t="s">
        <v>173</v>
      </c>
      <c r="O514" s="11" t="s">
        <v>174</v>
      </c>
      <c r="P514" s="11" t="s">
        <v>95</v>
      </c>
      <c r="Q514" s="13" t="n">
        <f aca="false">F514*H514</f>
        <v>17052633</v>
      </c>
      <c r="R514" s="13" t="n">
        <f aca="false">G514*H514</f>
        <v>12900000</v>
      </c>
      <c r="S514" s="13" t="n">
        <f aca="false">Q514-R514</f>
        <v>4152633</v>
      </c>
      <c r="T514" s="14" t="n">
        <f aca="false">IFERROR(S514/Q514,0)</f>
        <v>0.243518581558637</v>
      </c>
      <c r="U514" s="15" t="str">
        <f aca="false">TEXT(A514,"yyyy-mm")</f>
        <v>2022-06</v>
      </c>
    </row>
    <row r="515" customFormat="false" ht="15" hidden="false" customHeight="false" outlineLevel="0" collapsed="false">
      <c r="A515" s="10" t="n">
        <v>44733</v>
      </c>
      <c r="B515" s="11" t="s">
        <v>647</v>
      </c>
      <c r="C515" s="11" t="s">
        <v>128</v>
      </c>
      <c r="D515" s="11" t="s">
        <v>118</v>
      </c>
      <c r="E515" s="11" t="s">
        <v>119</v>
      </c>
      <c r="F515" s="12" t="n">
        <v>3370302</v>
      </c>
      <c r="G515" s="12" t="n">
        <v>2100000</v>
      </c>
      <c r="H515" s="11" t="n">
        <v>33</v>
      </c>
      <c r="I515" s="11" t="s">
        <v>69</v>
      </c>
      <c r="J515" s="11" t="s">
        <v>112</v>
      </c>
      <c r="K515" s="11" t="s">
        <v>113</v>
      </c>
      <c r="L515" s="11" t="s">
        <v>82</v>
      </c>
      <c r="M515" s="11" t="s">
        <v>157</v>
      </c>
      <c r="N515" s="11" t="s">
        <v>123</v>
      </c>
      <c r="O515" s="11" t="s">
        <v>60</v>
      </c>
      <c r="P515" s="11" t="s">
        <v>106</v>
      </c>
      <c r="Q515" s="13" t="n">
        <f aca="false">F515*H515</f>
        <v>111219966</v>
      </c>
      <c r="R515" s="13" t="n">
        <f aca="false">G515*H515</f>
        <v>69300000</v>
      </c>
      <c r="S515" s="13" t="n">
        <f aca="false">Q515-R515</f>
        <v>41919966</v>
      </c>
      <c r="T515" s="14" t="n">
        <f aca="false">IFERROR(S515/Q515,0)</f>
        <v>0.37691043710623</v>
      </c>
      <c r="U515" s="15" t="str">
        <f aca="false">TEXT(A515,"yyyy-mm")</f>
        <v>2022-06</v>
      </c>
    </row>
    <row r="516" customFormat="false" ht="15" hidden="false" customHeight="false" outlineLevel="0" collapsed="false">
      <c r="A516" s="10" t="n">
        <v>44733</v>
      </c>
      <c r="B516" s="11" t="s">
        <v>648</v>
      </c>
      <c r="C516" s="11" t="s">
        <v>130</v>
      </c>
      <c r="D516" s="11" t="s">
        <v>118</v>
      </c>
      <c r="E516" s="11" t="s">
        <v>68</v>
      </c>
      <c r="F516" s="12" t="n">
        <v>2852897</v>
      </c>
      <c r="G516" s="12" t="n">
        <v>2450000</v>
      </c>
      <c r="H516" s="11" t="n">
        <v>2</v>
      </c>
      <c r="I516" s="11" t="s">
        <v>69</v>
      </c>
      <c r="J516" s="11" t="s">
        <v>80</v>
      </c>
      <c r="K516" s="11" t="s">
        <v>81</v>
      </c>
      <c r="L516" s="11" t="s">
        <v>82</v>
      </c>
      <c r="M516" s="11" t="s">
        <v>73</v>
      </c>
      <c r="N516" s="11" t="s">
        <v>74</v>
      </c>
      <c r="O516" s="11" t="s">
        <v>75</v>
      </c>
      <c r="P516" s="11" t="s">
        <v>76</v>
      </c>
      <c r="Q516" s="13" t="n">
        <f aca="false">F516*H516</f>
        <v>5705794</v>
      </c>
      <c r="R516" s="13" t="n">
        <f aca="false">G516*H516</f>
        <v>4900000</v>
      </c>
      <c r="S516" s="13" t="n">
        <f aca="false">Q516-R516</f>
        <v>805794</v>
      </c>
      <c r="T516" s="14" t="n">
        <f aca="false">IFERROR(S516/Q516,0)</f>
        <v>0.141223815651249</v>
      </c>
      <c r="U516" s="15" t="str">
        <f aca="false">TEXT(A516,"yyyy-mm")</f>
        <v>2022-06</v>
      </c>
    </row>
    <row r="517" customFormat="false" ht="15" hidden="false" customHeight="false" outlineLevel="0" collapsed="false">
      <c r="A517" s="10" t="n">
        <v>44733</v>
      </c>
      <c r="B517" s="11" t="s">
        <v>649</v>
      </c>
      <c r="C517" s="11" t="s">
        <v>132</v>
      </c>
      <c r="D517" s="11" t="s">
        <v>118</v>
      </c>
      <c r="E517" s="11" t="s">
        <v>68</v>
      </c>
      <c r="F517" s="12" t="n">
        <v>4803603</v>
      </c>
      <c r="G517" s="12" t="n">
        <v>4121000</v>
      </c>
      <c r="H517" s="11" t="n">
        <v>5</v>
      </c>
      <c r="I517" s="11" t="s">
        <v>69</v>
      </c>
      <c r="J517" s="11" t="s">
        <v>112</v>
      </c>
      <c r="K517" s="11" t="s">
        <v>113</v>
      </c>
      <c r="L517" s="11" t="s">
        <v>82</v>
      </c>
      <c r="M517" s="11" t="s">
        <v>157</v>
      </c>
      <c r="N517" s="11" t="s">
        <v>104</v>
      </c>
      <c r="O517" s="11" t="s">
        <v>105</v>
      </c>
      <c r="P517" s="11" t="s">
        <v>106</v>
      </c>
      <c r="Q517" s="13" t="n">
        <f aca="false">F517*H517</f>
        <v>24018015</v>
      </c>
      <c r="R517" s="13" t="n">
        <f aca="false">G517*H517</f>
        <v>20605000</v>
      </c>
      <c r="S517" s="13" t="n">
        <f aca="false">Q517-R517</f>
        <v>3413015</v>
      </c>
      <c r="T517" s="14" t="n">
        <f aca="false">IFERROR(S517/Q517,0)</f>
        <v>0.142102292799801</v>
      </c>
      <c r="U517" s="15" t="str">
        <f aca="false">TEXT(A517,"yyyy-mm")</f>
        <v>2022-06</v>
      </c>
    </row>
    <row r="518" customFormat="false" ht="15" hidden="false" customHeight="false" outlineLevel="0" collapsed="false">
      <c r="A518" s="10" t="n">
        <v>44734</v>
      </c>
      <c r="B518" s="11" t="s">
        <v>650</v>
      </c>
      <c r="C518" s="11" t="s">
        <v>135</v>
      </c>
      <c r="D518" s="11" t="s">
        <v>118</v>
      </c>
      <c r="E518" s="11" t="s">
        <v>68</v>
      </c>
      <c r="F518" s="12" t="n">
        <v>5689947</v>
      </c>
      <c r="G518" s="12" t="n">
        <v>5235000</v>
      </c>
      <c r="H518" s="11" t="n">
        <v>11</v>
      </c>
      <c r="I518" s="11" t="s">
        <v>69</v>
      </c>
      <c r="J518" s="11" t="s">
        <v>80</v>
      </c>
      <c r="K518" s="11" t="s">
        <v>81</v>
      </c>
      <c r="L518" s="11" t="s">
        <v>82</v>
      </c>
      <c r="M518" s="11" t="s">
        <v>73</v>
      </c>
      <c r="N518" s="11" t="s">
        <v>93</v>
      </c>
      <c r="O518" s="11" t="s">
        <v>94</v>
      </c>
      <c r="P518" s="11" t="s">
        <v>95</v>
      </c>
      <c r="Q518" s="13" t="n">
        <f aca="false">F518*H518</f>
        <v>62589417</v>
      </c>
      <c r="R518" s="13" t="n">
        <f aca="false">G518*H518</f>
        <v>57585000</v>
      </c>
      <c r="S518" s="13" t="n">
        <f aca="false">Q518-R518</f>
        <v>5004417</v>
      </c>
      <c r="T518" s="14" t="n">
        <f aca="false">IFERROR(S518/Q518,0)</f>
        <v>0.0799562807878527</v>
      </c>
      <c r="U518" s="15" t="str">
        <f aca="false">TEXT(A518,"yyyy-mm")</f>
        <v>2022-06</v>
      </c>
    </row>
    <row r="519" customFormat="false" ht="15" hidden="false" customHeight="false" outlineLevel="0" collapsed="false">
      <c r="A519" s="10" t="n">
        <v>44734</v>
      </c>
      <c r="B519" s="11" t="s">
        <v>651</v>
      </c>
      <c r="C519" s="11" t="s">
        <v>137</v>
      </c>
      <c r="D519" s="11" t="s">
        <v>138</v>
      </c>
      <c r="E519" s="11" t="s">
        <v>139</v>
      </c>
      <c r="F519" s="12" t="n">
        <v>5171827</v>
      </c>
      <c r="G519" s="12" t="n">
        <v>4890000</v>
      </c>
      <c r="H519" s="11" t="n">
        <v>3</v>
      </c>
      <c r="I519" s="11" t="s">
        <v>69</v>
      </c>
      <c r="J519" s="11" t="s">
        <v>70</v>
      </c>
      <c r="K519" s="11" t="s">
        <v>71</v>
      </c>
      <c r="L519" s="11" t="s">
        <v>72</v>
      </c>
      <c r="M519" s="11" t="s">
        <v>73</v>
      </c>
      <c r="N519" s="11" t="s">
        <v>173</v>
      </c>
      <c r="O519" s="11" t="s">
        <v>174</v>
      </c>
      <c r="P519" s="11" t="s">
        <v>95</v>
      </c>
      <c r="Q519" s="13" t="n">
        <f aca="false">F519*H519</f>
        <v>15515481</v>
      </c>
      <c r="R519" s="13" t="n">
        <f aca="false">G519*H519</f>
        <v>14670000</v>
      </c>
      <c r="S519" s="13" t="n">
        <f aca="false">Q519-R519</f>
        <v>845481</v>
      </c>
      <c r="T519" s="14" t="n">
        <f aca="false">IFERROR(S519/Q519,0)</f>
        <v>0.0544927353525166</v>
      </c>
      <c r="U519" s="15" t="str">
        <f aca="false">TEXT(A519,"yyyy-mm")</f>
        <v>2022-06</v>
      </c>
    </row>
    <row r="520" customFormat="false" ht="15" hidden="false" customHeight="false" outlineLevel="0" collapsed="false">
      <c r="A520" s="10" t="n">
        <v>44734</v>
      </c>
      <c r="B520" s="11" t="s">
        <v>652</v>
      </c>
      <c r="C520" s="11" t="s">
        <v>141</v>
      </c>
      <c r="D520" s="11" t="s">
        <v>138</v>
      </c>
      <c r="E520" s="11" t="s">
        <v>142</v>
      </c>
      <c r="F520" s="12" t="n">
        <v>2805124</v>
      </c>
      <c r="G520" s="12" t="n">
        <v>2178000</v>
      </c>
      <c r="H520" s="11" t="n">
        <v>13</v>
      </c>
      <c r="I520" s="11" t="s">
        <v>69</v>
      </c>
      <c r="J520" s="11" t="s">
        <v>80</v>
      </c>
      <c r="K520" s="11" t="s">
        <v>81</v>
      </c>
      <c r="L520" s="11" t="s">
        <v>82</v>
      </c>
      <c r="M520" s="11" t="s">
        <v>73</v>
      </c>
      <c r="N520" s="11" t="s">
        <v>109</v>
      </c>
      <c r="O520" s="11" t="s">
        <v>75</v>
      </c>
      <c r="P520" s="11" t="s">
        <v>95</v>
      </c>
      <c r="Q520" s="13" t="n">
        <f aca="false">F520*H520</f>
        <v>36466612</v>
      </c>
      <c r="R520" s="13" t="n">
        <f aca="false">G520*H520</f>
        <v>28314000</v>
      </c>
      <c r="S520" s="13" t="n">
        <f aca="false">Q520-R520</f>
        <v>8152612</v>
      </c>
      <c r="T520" s="14" t="n">
        <f aca="false">IFERROR(S520/Q520,0)</f>
        <v>0.22356373550688</v>
      </c>
      <c r="U520" s="15" t="str">
        <f aca="false">TEXT(A520,"yyyy-mm")</f>
        <v>2022-06</v>
      </c>
    </row>
    <row r="521" customFormat="false" ht="15" hidden="false" customHeight="false" outlineLevel="0" collapsed="false">
      <c r="A521" s="10" t="n">
        <v>44734</v>
      </c>
      <c r="B521" s="11" t="s">
        <v>653</v>
      </c>
      <c r="C521" s="11" t="s">
        <v>146</v>
      </c>
      <c r="D521" s="11" t="s">
        <v>138</v>
      </c>
      <c r="E521" s="11" t="s">
        <v>139</v>
      </c>
      <c r="F521" s="12" t="n">
        <v>2728100</v>
      </c>
      <c r="G521" s="12" t="n">
        <v>2321000</v>
      </c>
      <c r="H521" s="11" t="n">
        <v>23</v>
      </c>
      <c r="I521" s="11" t="s">
        <v>86</v>
      </c>
      <c r="J521" s="11" t="s">
        <v>87</v>
      </c>
      <c r="K521" s="11" t="s">
        <v>88</v>
      </c>
      <c r="L521" s="11" t="s">
        <v>89</v>
      </c>
      <c r="M521" s="11" t="s">
        <v>90</v>
      </c>
      <c r="N521" s="11" t="s">
        <v>93</v>
      </c>
      <c r="O521" s="11" t="s">
        <v>94</v>
      </c>
      <c r="P521" s="11" t="s">
        <v>95</v>
      </c>
      <c r="Q521" s="13" t="n">
        <f aca="false">F521*H521</f>
        <v>62746300</v>
      </c>
      <c r="R521" s="13" t="n">
        <f aca="false">G521*H521</f>
        <v>53383000</v>
      </c>
      <c r="S521" s="13" t="n">
        <f aca="false">Q521-R521</f>
        <v>9363300</v>
      </c>
      <c r="T521" s="14" t="n">
        <f aca="false">IFERROR(S521/Q521,0)</f>
        <v>0.149224735163667</v>
      </c>
      <c r="U521" s="15" t="str">
        <f aca="false">TEXT(A521,"yyyy-mm")</f>
        <v>2022-06</v>
      </c>
    </row>
    <row r="522" customFormat="false" ht="15" hidden="false" customHeight="false" outlineLevel="0" collapsed="false">
      <c r="A522" s="10" t="n">
        <v>44735</v>
      </c>
      <c r="B522" s="11" t="s">
        <v>654</v>
      </c>
      <c r="C522" s="11" t="s">
        <v>148</v>
      </c>
      <c r="D522" s="11" t="s">
        <v>138</v>
      </c>
      <c r="E522" s="11" t="s">
        <v>122</v>
      </c>
      <c r="F522" s="12" t="n">
        <v>4941716</v>
      </c>
      <c r="G522" s="12" t="n">
        <v>4456000</v>
      </c>
      <c r="H522" s="11" t="n">
        <v>6</v>
      </c>
      <c r="I522" s="11" t="s">
        <v>86</v>
      </c>
      <c r="J522" s="11" t="s">
        <v>87</v>
      </c>
      <c r="K522" s="11" t="s">
        <v>88</v>
      </c>
      <c r="L522" s="11" t="s">
        <v>89</v>
      </c>
      <c r="M522" s="11" t="s">
        <v>90</v>
      </c>
      <c r="N522" s="11" t="s">
        <v>99</v>
      </c>
      <c r="O522" s="11" t="s">
        <v>100</v>
      </c>
      <c r="P522" s="11" t="s">
        <v>101</v>
      </c>
      <c r="Q522" s="13" t="n">
        <f aca="false">F522*H522</f>
        <v>29650296</v>
      </c>
      <c r="R522" s="13" t="n">
        <f aca="false">G522*H522</f>
        <v>26736000</v>
      </c>
      <c r="S522" s="13" t="n">
        <f aca="false">Q522-R522</f>
        <v>2914296</v>
      </c>
      <c r="T522" s="14" t="n">
        <f aca="false">IFERROR(S522/Q522,0)</f>
        <v>0.0982889344511097</v>
      </c>
      <c r="U522" s="15" t="str">
        <f aca="false">TEXT(A522,"yyyy-mm")</f>
        <v>2022-06</v>
      </c>
    </row>
    <row r="523" customFormat="false" ht="15" hidden="false" customHeight="false" outlineLevel="0" collapsed="false">
      <c r="A523" s="10" t="n">
        <v>44735</v>
      </c>
      <c r="B523" s="11" t="s">
        <v>655</v>
      </c>
      <c r="C523" s="11" t="s">
        <v>66</v>
      </c>
      <c r="D523" s="11" t="s">
        <v>67</v>
      </c>
      <c r="E523" s="11" t="s">
        <v>68</v>
      </c>
      <c r="F523" s="12" t="n">
        <v>3048952</v>
      </c>
      <c r="G523" s="12" t="n">
        <v>2560000</v>
      </c>
      <c r="H523" s="11" t="n">
        <v>19</v>
      </c>
      <c r="I523" s="11" t="s">
        <v>69</v>
      </c>
      <c r="J523" s="11" t="s">
        <v>70</v>
      </c>
      <c r="K523" s="11" t="s">
        <v>71</v>
      </c>
      <c r="L523" s="11" t="s">
        <v>72</v>
      </c>
      <c r="M523" s="11" t="s">
        <v>73</v>
      </c>
      <c r="N523" s="11" t="s">
        <v>104</v>
      </c>
      <c r="O523" s="11" t="s">
        <v>105</v>
      </c>
      <c r="P523" s="11" t="s">
        <v>106</v>
      </c>
      <c r="Q523" s="13" t="n">
        <f aca="false">F523*H523</f>
        <v>57930088</v>
      </c>
      <c r="R523" s="13" t="n">
        <f aca="false">G523*H523</f>
        <v>48640000</v>
      </c>
      <c r="S523" s="13" t="n">
        <f aca="false">Q523-R523</f>
        <v>9290088</v>
      </c>
      <c r="T523" s="14" t="n">
        <f aca="false">IFERROR(S523/Q523,0)</f>
        <v>0.160367234380863</v>
      </c>
      <c r="U523" s="15" t="str">
        <f aca="false">TEXT(A523,"yyyy-mm")</f>
        <v>2022-06</v>
      </c>
    </row>
    <row r="524" customFormat="false" ht="15" hidden="false" customHeight="false" outlineLevel="0" collapsed="false">
      <c r="A524" s="10" t="n">
        <v>44736</v>
      </c>
      <c r="B524" s="11" t="s">
        <v>656</v>
      </c>
      <c r="C524" s="11" t="s">
        <v>78</v>
      </c>
      <c r="D524" s="11" t="s">
        <v>67</v>
      </c>
      <c r="E524" s="11" t="s">
        <v>79</v>
      </c>
      <c r="F524" s="12" t="n">
        <v>1870000</v>
      </c>
      <c r="G524" s="12" t="n">
        <v>1650000</v>
      </c>
      <c r="H524" s="11" t="n">
        <v>3</v>
      </c>
      <c r="I524" s="11" t="s">
        <v>69</v>
      </c>
      <c r="J524" s="11" t="s">
        <v>80</v>
      </c>
      <c r="K524" s="11" t="s">
        <v>81</v>
      </c>
      <c r="L524" s="11" t="s">
        <v>82</v>
      </c>
      <c r="M524" s="11" t="s">
        <v>73</v>
      </c>
      <c r="N524" s="11" t="s">
        <v>143</v>
      </c>
      <c r="O524" s="11" t="s">
        <v>144</v>
      </c>
      <c r="P524" s="11" t="s">
        <v>101</v>
      </c>
      <c r="Q524" s="13" t="n">
        <f aca="false">F524*H524</f>
        <v>5610000</v>
      </c>
      <c r="R524" s="13" t="n">
        <f aca="false">G524*H524</f>
        <v>4950000</v>
      </c>
      <c r="S524" s="13" t="n">
        <f aca="false">Q524-R524</f>
        <v>660000</v>
      </c>
      <c r="T524" s="14" t="n">
        <f aca="false">IFERROR(S524/Q524,0)</f>
        <v>0.117647058823529</v>
      </c>
      <c r="U524" s="15" t="str">
        <f aca="false">TEXT(A524,"yyyy-mm")</f>
        <v>2022-06</v>
      </c>
    </row>
    <row r="525" customFormat="false" ht="15" hidden="false" customHeight="false" outlineLevel="0" collapsed="false">
      <c r="A525" s="10" t="n">
        <v>44736</v>
      </c>
      <c r="B525" s="11" t="s">
        <v>657</v>
      </c>
      <c r="C525" s="11" t="s">
        <v>84</v>
      </c>
      <c r="D525" s="11" t="s">
        <v>67</v>
      </c>
      <c r="E525" s="11" t="s">
        <v>85</v>
      </c>
      <c r="F525" s="12" t="n">
        <v>2600000</v>
      </c>
      <c r="G525" s="12" t="n">
        <v>2300000</v>
      </c>
      <c r="H525" s="11" t="n">
        <v>9</v>
      </c>
      <c r="I525" s="11" t="s">
        <v>69</v>
      </c>
      <c r="J525" s="11" t="s">
        <v>112</v>
      </c>
      <c r="K525" s="11" t="s">
        <v>113</v>
      </c>
      <c r="L525" s="11" t="s">
        <v>82</v>
      </c>
      <c r="M525" s="11" t="s">
        <v>157</v>
      </c>
      <c r="N525" s="11" t="s">
        <v>123</v>
      </c>
      <c r="O525" s="11" t="s">
        <v>60</v>
      </c>
      <c r="P525" s="11" t="s">
        <v>106</v>
      </c>
      <c r="Q525" s="13" t="n">
        <f aca="false">F525*H525</f>
        <v>23400000</v>
      </c>
      <c r="R525" s="13" t="n">
        <f aca="false">G525*H525</f>
        <v>20700000</v>
      </c>
      <c r="S525" s="13" t="n">
        <f aca="false">Q525-R525</f>
        <v>2700000</v>
      </c>
      <c r="T525" s="14" t="n">
        <f aca="false">IFERROR(S525/Q525,0)</f>
        <v>0.115384615384615</v>
      </c>
      <c r="U525" s="15" t="str">
        <f aca="false">TEXT(A525,"yyyy-mm")</f>
        <v>2022-06</v>
      </c>
    </row>
    <row r="526" customFormat="false" ht="15" hidden="false" customHeight="false" outlineLevel="0" collapsed="false">
      <c r="A526" s="10" t="n">
        <v>44737</v>
      </c>
      <c r="B526" s="11" t="s">
        <v>658</v>
      </c>
      <c r="C526" s="11" t="s">
        <v>92</v>
      </c>
      <c r="D526" s="11" t="s">
        <v>67</v>
      </c>
      <c r="E526" s="11" t="s">
        <v>79</v>
      </c>
      <c r="F526" s="12" t="n">
        <v>3577480</v>
      </c>
      <c r="G526" s="12" t="n">
        <v>3100000</v>
      </c>
      <c r="H526" s="11" t="n">
        <v>15</v>
      </c>
      <c r="I526" s="11" t="s">
        <v>69</v>
      </c>
      <c r="J526" s="11" t="s">
        <v>80</v>
      </c>
      <c r="K526" s="11" t="s">
        <v>81</v>
      </c>
      <c r="L526" s="11" t="s">
        <v>82</v>
      </c>
      <c r="M526" s="11" t="s">
        <v>73</v>
      </c>
      <c r="N526" s="11" t="s">
        <v>99</v>
      </c>
      <c r="O526" s="11" t="s">
        <v>100</v>
      </c>
      <c r="P526" s="11" t="s">
        <v>101</v>
      </c>
      <c r="Q526" s="13" t="n">
        <f aca="false">F526*H526</f>
        <v>53662200</v>
      </c>
      <c r="R526" s="13" t="n">
        <f aca="false">G526*H526</f>
        <v>46500000</v>
      </c>
      <c r="S526" s="13" t="n">
        <f aca="false">Q526-R526</f>
        <v>7162200</v>
      </c>
      <c r="T526" s="14" t="n">
        <f aca="false">IFERROR(S526/Q526,0)</f>
        <v>0.133468251394837</v>
      </c>
      <c r="U526" s="15" t="str">
        <f aca="false">TEXT(A526,"yyyy-mm")</f>
        <v>2022-06</v>
      </c>
    </row>
    <row r="527" customFormat="false" ht="15" hidden="false" customHeight="false" outlineLevel="0" collapsed="false">
      <c r="A527" s="10" t="n">
        <v>44737</v>
      </c>
      <c r="B527" s="11" t="s">
        <v>659</v>
      </c>
      <c r="C527" s="11" t="s">
        <v>97</v>
      </c>
      <c r="D527" s="11" t="s">
        <v>67</v>
      </c>
      <c r="E527" s="11" t="s">
        <v>98</v>
      </c>
      <c r="F527" s="12" t="n">
        <v>4969724</v>
      </c>
      <c r="G527" s="12" t="n">
        <v>4121560</v>
      </c>
      <c r="H527" s="11" t="n">
        <v>14</v>
      </c>
      <c r="I527" s="11" t="s">
        <v>69</v>
      </c>
      <c r="J527" s="11" t="s">
        <v>80</v>
      </c>
      <c r="K527" s="11" t="s">
        <v>81</v>
      </c>
      <c r="L527" s="11" t="s">
        <v>82</v>
      </c>
      <c r="M527" s="11" t="s">
        <v>73</v>
      </c>
      <c r="N527" s="11" t="s">
        <v>109</v>
      </c>
      <c r="O527" s="11" t="s">
        <v>75</v>
      </c>
      <c r="P527" s="11" t="s">
        <v>95</v>
      </c>
      <c r="Q527" s="13" t="n">
        <f aca="false">F527*H527</f>
        <v>69576136</v>
      </c>
      <c r="R527" s="13" t="n">
        <f aca="false">G527*H527</f>
        <v>57701840</v>
      </c>
      <c r="S527" s="13" t="n">
        <f aca="false">Q527-R527</f>
        <v>11874296</v>
      </c>
      <c r="T527" s="14" t="n">
        <f aca="false">IFERROR(S527/Q527,0)</f>
        <v>0.170666218083741</v>
      </c>
      <c r="U527" s="15" t="str">
        <f aca="false">TEXT(A527,"yyyy-mm")</f>
        <v>2022-06</v>
      </c>
    </row>
    <row r="528" customFormat="false" ht="15" hidden="false" customHeight="false" outlineLevel="0" collapsed="false">
      <c r="A528" s="10" t="n">
        <v>44737</v>
      </c>
      <c r="B528" s="11" t="s">
        <v>660</v>
      </c>
      <c r="C528" s="11" t="s">
        <v>103</v>
      </c>
      <c r="D528" s="11" t="s">
        <v>67</v>
      </c>
      <c r="E528" s="11" t="s">
        <v>68</v>
      </c>
      <c r="F528" s="12" t="n">
        <v>3319925</v>
      </c>
      <c r="G528" s="12" t="n">
        <v>2800000</v>
      </c>
      <c r="H528" s="11" t="n">
        <v>7</v>
      </c>
      <c r="I528" s="11" t="s">
        <v>69</v>
      </c>
      <c r="J528" s="11" t="s">
        <v>80</v>
      </c>
      <c r="K528" s="11" t="s">
        <v>81</v>
      </c>
      <c r="L528" s="11" t="s">
        <v>82</v>
      </c>
      <c r="M528" s="11" t="s">
        <v>73</v>
      </c>
      <c r="N528" s="11" t="s">
        <v>123</v>
      </c>
      <c r="O528" s="11" t="s">
        <v>60</v>
      </c>
      <c r="P528" s="11" t="s">
        <v>106</v>
      </c>
      <c r="Q528" s="13" t="n">
        <f aca="false">F528*H528</f>
        <v>23239475</v>
      </c>
      <c r="R528" s="13" t="n">
        <f aca="false">G528*H528</f>
        <v>19600000</v>
      </c>
      <c r="S528" s="13" t="n">
        <f aca="false">Q528-R528</f>
        <v>3639475</v>
      </c>
      <c r="T528" s="14" t="n">
        <f aca="false">IFERROR(S528/Q528,0)</f>
        <v>0.15660745348163</v>
      </c>
      <c r="U528" s="15" t="str">
        <f aca="false">TEXT(A528,"yyyy-mm")</f>
        <v>2022-06</v>
      </c>
    </row>
    <row r="529" customFormat="false" ht="15" hidden="false" customHeight="false" outlineLevel="0" collapsed="false">
      <c r="A529" s="10" t="n">
        <v>44738</v>
      </c>
      <c r="B529" s="11" t="s">
        <v>661</v>
      </c>
      <c r="C529" s="11" t="s">
        <v>108</v>
      </c>
      <c r="D529" s="11" t="s">
        <v>67</v>
      </c>
      <c r="E529" s="11" t="s">
        <v>68</v>
      </c>
      <c r="F529" s="12" t="n">
        <v>4757880</v>
      </c>
      <c r="G529" s="12" t="n">
        <v>3450000</v>
      </c>
      <c r="H529" s="11" t="n">
        <v>2</v>
      </c>
      <c r="I529" s="11" t="s">
        <v>69</v>
      </c>
      <c r="J529" s="11" t="s">
        <v>112</v>
      </c>
      <c r="K529" s="11" t="s">
        <v>113</v>
      </c>
      <c r="L529" s="11" t="s">
        <v>82</v>
      </c>
      <c r="M529" s="11" t="s">
        <v>157</v>
      </c>
      <c r="N529" s="11" t="s">
        <v>99</v>
      </c>
      <c r="O529" s="11" t="s">
        <v>100</v>
      </c>
      <c r="P529" s="11" t="s">
        <v>101</v>
      </c>
      <c r="Q529" s="13" t="n">
        <f aca="false">F529*H529</f>
        <v>9515760</v>
      </c>
      <c r="R529" s="13" t="n">
        <f aca="false">G529*H529</f>
        <v>6900000</v>
      </c>
      <c r="S529" s="13" t="n">
        <f aca="false">Q529-R529</f>
        <v>2615760</v>
      </c>
      <c r="T529" s="14" t="n">
        <f aca="false">IFERROR(S529/Q529,0)</f>
        <v>0.274887134606169</v>
      </c>
      <c r="U529" s="15" t="str">
        <f aca="false">TEXT(A529,"yyyy-mm")</f>
        <v>2022-06</v>
      </c>
    </row>
    <row r="530" customFormat="false" ht="15" hidden="false" customHeight="false" outlineLevel="0" collapsed="false">
      <c r="A530" s="10" t="n">
        <v>44739</v>
      </c>
      <c r="B530" s="11" t="s">
        <v>662</v>
      </c>
      <c r="C530" s="11" t="s">
        <v>111</v>
      </c>
      <c r="D530" s="11" t="s">
        <v>67</v>
      </c>
      <c r="E530" s="11" t="s">
        <v>79</v>
      </c>
      <c r="F530" s="12" t="n">
        <v>3545808</v>
      </c>
      <c r="G530" s="12" t="n">
        <v>3350000</v>
      </c>
      <c r="H530" s="11" t="n">
        <v>11</v>
      </c>
      <c r="I530" s="11" t="s">
        <v>69</v>
      </c>
      <c r="J530" s="11" t="s">
        <v>80</v>
      </c>
      <c r="K530" s="11" t="s">
        <v>81</v>
      </c>
      <c r="L530" s="11" t="s">
        <v>82</v>
      </c>
      <c r="M530" s="11" t="s">
        <v>73</v>
      </c>
      <c r="N530" s="11" t="s">
        <v>173</v>
      </c>
      <c r="O530" s="11" t="s">
        <v>174</v>
      </c>
      <c r="P530" s="11" t="s">
        <v>95</v>
      </c>
      <c r="Q530" s="13" t="n">
        <f aca="false">F530*H530</f>
        <v>39003888</v>
      </c>
      <c r="R530" s="13" t="n">
        <f aca="false">G530*H530</f>
        <v>36850000</v>
      </c>
      <c r="S530" s="13" t="n">
        <f aca="false">Q530-R530</f>
        <v>2153888</v>
      </c>
      <c r="T530" s="14" t="n">
        <f aca="false">IFERROR(S530/Q530,0)</f>
        <v>0.0552223921881839</v>
      </c>
      <c r="U530" s="15" t="str">
        <f aca="false">TEXT(A530,"yyyy-mm")</f>
        <v>2022-06</v>
      </c>
    </row>
    <row r="531" customFormat="false" ht="15" hidden="false" customHeight="false" outlineLevel="0" collapsed="false">
      <c r="A531" s="10" t="n">
        <v>44739</v>
      </c>
      <c r="B531" s="11" t="s">
        <v>663</v>
      </c>
      <c r="C531" s="11" t="s">
        <v>115</v>
      </c>
      <c r="D531" s="11" t="s">
        <v>67</v>
      </c>
      <c r="E531" s="11" t="s">
        <v>98</v>
      </c>
      <c r="F531" s="12" t="n">
        <v>4200743</v>
      </c>
      <c r="G531" s="12" t="n">
        <v>4101000</v>
      </c>
      <c r="H531" s="11" t="n">
        <v>10</v>
      </c>
      <c r="I531" s="11" t="s">
        <v>69</v>
      </c>
      <c r="J531" s="11" t="s">
        <v>80</v>
      </c>
      <c r="K531" s="11" t="s">
        <v>81</v>
      </c>
      <c r="L531" s="11" t="s">
        <v>82</v>
      </c>
      <c r="M531" s="11" t="s">
        <v>73</v>
      </c>
      <c r="N531" s="11" t="s">
        <v>74</v>
      </c>
      <c r="O531" s="11" t="s">
        <v>75</v>
      </c>
      <c r="P531" s="11" t="s">
        <v>76</v>
      </c>
      <c r="Q531" s="13" t="n">
        <f aca="false">F531*H531</f>
        <v>42007430</v>
      </c>
      <c r="R531" s="13" t="n">
        <f aca="false">G531*H531</f>
        <v>41010000</v>
      </c>
      <c r="S531" s="13" t="n">
        <f aca="false">Q531-R531</f>
        <v>997430</v>
      </c>
      <c r="T531" s="14" t="n">
        <f aca="false">IFERROR(S531/Q531,0)</f>
        <v>0.023744132883159</v>
      </c>
      <c r="U531" s="15" t="str">
        <f aca="false">TEXT(A531,"yyyy-mm")</f>
        <v>2022-06</v>
      </c>
    </row>
    <row r="532" customFormat="false" ht="15" hidden="false" customHeight="false" outlineLevel="0" collapsed="false">
      <c r="A532" s="10" t="n">
        <v>44740</v>
      </c>
      <c r="B532" s="11" t="s">
        <v>664</v>
      </c>
      <c r="C532" s="11" t="s">
        <v>117</v>
      </c>
      <c r="D532" s="11" t="s">
        <v>118</v>
      </c>
      <c r="E532" s="11" t="s">
        <v>119</v>
      </c>
      <c r="F532" s="12" t="n">
        <v>8220549</v>
      </c>
      <c r="G532" s="12" t="n">
        <v>6500000</v>
      </c>
      <c r="H532" s="11" t="n">
        <v>2</v>
      </c>
      <c r="I532" s="11" t="s">
        <v>69</v>
      </c>
      <c r="J532" s="11" t="s">
        <v>80</v>
      </c>
      <c r="K532" s="11" t="s">
        <v>81</v>
      </c>
      <c r="L532" s="11" t="s">
        <v>82</v>
      </c>
      <c r="M532" s="11" t="s">
        <v>73</v>
      </c>
      <c r="N532" s="11" t="s">
        <v>104</v>
      </c>
      <c r="O532" s="11" t="s">
        <v>105</v>
      </c>
      <c r="P532" s="11" t="s">
        <v>106</v>
      </c>
      <c r="Q532" s="13" t="n">
        <f aca="false">F532*H532</f>
        <v>16441098</v>
      </c>
      <c r="R532" s="13" t="n">
        <f aca="false">G532*H532</f>
        <v>13000000</v>
      </c>
      <c r="S532" s="13" t="n">
        <f aca="false">Q532-R532</f>
        <v>3441098</v>
      </c>
      <c r="T532" s="14" t="n">
        <f aca="false">IFERROR(S532/Q532,0)</f>
        <v>0.209298551714733</v>
      </c>
      <c r="U532" s="15" t="str">
        <f aca="false">TEXT(A532,"yyyy-mm")</f>
        <v>2022-06</v>
      </c>
    </row>
    <row r="533" customFormat="false" ht="15" hidden="false" customHeight="false" outlineLevel="0" collapsed="false">
      <c r="A533" s="10" t="n">
        <v>44740</v>
      </c>
      <c r="B533" s="11" t="s">
        <v>665</v>
      </c>
      <c r="C533" s="11" t="s">
        <v>121</v>
      </c>
      <c r="D533" s="11" t="s">
        <v>118</v>
      </c>
      <c r="E533" s="11" t="s">
        <v>122</v>
      </c>
      <c r="F533" s="12" t="n">
        <v>7687274</v>
      </c>
      <c r="G533" s="12" t="n">
        <v>6500000</v>
      </c>
      <c r="H533" s="11" t="n">
        <v>8</v>
      </c>
      <c r="I533" s="11" t="s">
        <v>86</v>
      </c>
      <c r="J533" s="11" t="s">
        <v>87</v>
      </c>
      <c r="K533" s="11" t="s">
        <v>88</v>
      </c>
      <c r="L533" s="11" t="s">
        <v>89</v>
      </c>
      <c r="M533" s="11" t="s">
        <v>90</v>
      </c>
      <c r="N533" s="11" t="s">
        <v>74</v>
      </c>
      <c r="O533" s="11" t="s">
        <v>75</v>
      </c>
      <c r="P533" s="11" t="s">
        <v>76</v>
      </c>
      <c r="Q533" s="13" t="n">
        <f aca="false">F533*H533</f>
        <v>61498192</v>
      </c>
      <c r="R533" s="13" t="n">
        <f aca="false">G533*H533</f>
        <v>52000000</v>
      </c>
      <c r="S533" s="13" t="n">
        <f aca="false">Q533-R533</f>
        <v>9498192</v>
      </c>
      <c r="T533" s="14" t="n">
        <f aca="false">IFERROR(S533/Q533,0)</f>
        <v>0.154446686822923</v>
      </c>
      <c r="U533" s="15" t="str">
        <f aca="false">TEXT(A533,"yyyy-mm")</f>
        <v>2022-06</v>
      </c>
    </row>
    <row r="534" customFormat="false" ht="15" hidden="false" customHeight="false" outlineLevel="0" collapsed="false">
      <c r="A534" s="10" t="n">
        <v>44741</v>
      </c>
      <c r="B534" s="11" t="s">
        <v>666</v>
      </c>
      <c r="C534" s="11" t="s">
        <v>125</v>
      </c>
      <c r="D534" s="11" t="s">
        <v>118</v>
      </c>
      <c r="E534" s="11" t="s">
        <v>126</v>
      </c>
      <c r="F534" s="12" t="n">
        <v>5684211</v>
      </c>
      <c r="G534" s="12" t="n">
        <v>4300000</v>
      </c>
      <c r="H534" s="11" t="n">
        <v>8</v>
      </c>
      <c r="I534" s="11" t="s">
        <v>69</v>
      </c>
      <c r="J534" s="11" t="s">
        <v>80</v>
      </c>
      <c r="K534" s="11" t="s">
        <v>81</v>
      </c>
      <c r="L534" s="11" t="s">
        <v>82</v>
      </c>
      <c r="M534" s="11" t="s">
        <v>73</v>
      </c>
      <c r="N534" s="11" t="s">
        <v>143</v>
      </c>
      <c r="O534" s="11" t="s">
        <v>144</v>
      </c>
      <c r="P534" s="11" t="s">
        <v>101</v>
      </c>
      <c r="Q534" s="13" t="n">
        <f aca="false">F534*H534</f>
        <v>45473688</v>
      </c>
      <c r="R534" s="13" t="n">
        <f aca="false">G534*H534</f>
        <v>34400000</v>
      </c>
      <c r="S534" s="13" t="n">
        <f aca="false">Q534-R534</f>
        <v>11073688</v>
      </c>
      <c r="T534" s="14" t="n">
        <f aca="false">IFERROR(S534/Q534,0)</f>
        <v>0.243518581558637</v>
      </c>
      <c r="U534" s="15" t="str">
        <f aca="false">TEXT(A534,"yyyy-mm")</f>
        <v>2022-06</v>
      </c>
    </row>
    <row r="535" customFormat="false" ht="15" hidden="false" customHeight="false" outlineLevel="0" collapsed="false">
      <c r="A535" s="10" t="n">
        <v>44741</v>
      </c>
      <c r="B535" s="11" t="s">
        <v>667</v>
      </c>
      <c r="C535" s="11" t="s">
        <v>128</v>
      </c>
      <c r="D535" s="11" t="s">
        <v>118</v>
      </c>
      <c r="E535" s="11" t="s">
        <v>119</v>
      </c>
      <c r="F535" s="12" t="n">
        <v>3370302</v>
      </c>
      <c r="G535" s="12" t="n">
        <v>2100000</v>
      </c>
      <c r="H535" s="11" t="n">
        <v>21</v>
      </c>
      <c r="I535" s="11" t="s">
        <v>69</v>
      </c>
      <c r="J535" s="11" t="s">
        <v>70</v>
      </c>
      <c r="K535" s="11" t="s">
        <v>71</v>
      </c>
      <c r="L535" s="11" t="s">
        <v>72</v>
      </c>
      <c r="M535" s="11" t="s">
        <v>73</v>
      </c>
      <c r="N535" s="11" t="s">
        <v>93</v>
      </c>
      <c r="O535" s="11" t="s">
        <v>94</v>
      </c>
      <c r="P535" s="11" t="s">
        <v>95</v>
      </c>
      <c r="Q535" s="13" t="n">
        <f aca="false">F535*H535</f>
        <v>70776342</v>
      </c>
      <c r="R535" s="13" t="n">
        <f aca="false">G535*H535</f>
        <v>44100000</v>
      </c>
      <c r="S535" s="13" t="n">
        <f aca="false">Q535-R535</f>
        <v>26676342</v>
      </c>
      <c r="T535" s="14" t="n">
        <f aca="false">IFERROR(S535/Q535,0)</f>
        <v>0.37691043710623</v>
      </c>
      <c r="U535" s="15" t="str">
        <f aca="false">TEXT(A535,"yyyy-mm")</f>
        <v>2022-06</v>
      </c>
    </row>
    <row r="536" customFormat="false" ht="15" hidden="false" customHeight="false" outlineLevel="0" collapsed="false">
      <c r="A536" s="10" t="n">
        <v>44741</v>
      </c>
      <c r="B536" s="11" t="s">
        <v>668</v>
      </c>
      <c r="C536" s="11" t="s">
        <v>130</v>
      </c>
      <c r="D536" s="11" t="s">
        <v>118</v>
      </c>
      <c r="E536" s="11" t="s">
        <v>68</v>
      </c>
      <c r="F536" s="12" t="n">
        <v>2852897</v>
      </c>
      <c r="G536" s="12" t="n">
        <v>2450000</v>
      </c>
      <c r="H536" s="11" t="n">
        <v>14</v>
      </c>
      <c r="I536" s="11" t="s">
        <v>86</v>
      </c>
      <c r="J536" s="11" t="s">
        <v>87</v>
      </c>
      <c r="K536" s="11" t="s">
        <v>88</v>
      </c>
      <c r="L536" s="11" t="s">
        <v>89</v>
      </c>
      <c r="M536" s="11" t="s">
        <v>90</v>
      </c>
      <c r="N536" s="11" t="s">
        <v>149</v>
      </c>
      <c r="O536" s="11" t="s">
        <v>150</v>
      </c>
      <c r="P536" s="11" t="s">
        <v>151</v>
      </c>
      <c r="Q536" s="13" t="n">
        <f aca="false">F536*H536</f>
        <v>39940558</v>
      </c>
      <c r="R536" s="13" t="n">
        <f aca="false">G536*H536</f>
        <v>34300000</v>
      </c>
      <c r="S536" s="13" t="n">
        <f aca="false">Q536-R536</f>
        <v>5640558</v>
      </c>
      <c r="T536" s="14" t="n">
        <f aca="false">IFERROR(S536/Q536,0)</f>
        <v>0.141223815651249</v>
      </c>
      <c r="U536" s="15" t="str">
        <f aca="false">TEXT(A536,"yyyy-mm")</f>
        <v>2022-06</v>
      </c>
    </row>
    <row r="537" customFormat="false" ht="15" hidden="false" customHeight="false" outlineLevel="0" collapsed="false">
      <c r="A537" s="10" t="n">
        <v>44742</v>
      </c>
      <c r="B537" s="11" t="s">
        <v>669</v>
      </c>
      <c r="C537" s="11" t="s">
        <v>132</v>
      </c>
      <c r="D537" s="11" t="s">
        <v>118</v>
      </c>
      <c r="E537" s="11" t="s">
        <v>68</v>
      </c>
      <c r="F537" s="12" t="n">
        <v>4803603</v>
      </c>
      <c r="G537" s="12" t="n">
        <v>4121000</v>
      </c>
      <c r="H537" s="11" t="n">
        <v>1</v>
      </c>
      <c r="I537" s="11" t="s">
        <v>69</v>
      </c>
      <c r="J537" s="11" t="s">
        <v>80</v>
      </c>
      <c r="K537" s="11" t="s">
        <v>81</v>
      </c>
      <c r="L537" s="11" t="s">
        <v>82</v>
      </c>
      <c r="M537" s="11" t="s">
        <v>73</v>
      </c>
      <c r="N537" s="11" t="s">
        <v>99</v>
      </c>
      <c r="O537" s="11" t="s">
        <v>100</v>
      </c>
      <c r="P537" s="11" t="s">
        <v>101</v>
      </c>
      <c r="Q537" s="13" t="n">
        <f aca="false">F537*H537</f>
        <v>4803603</v>
      </c>
      <c r="R537" s="13" t="n">
        <f aca="false">G537*H537</f>
        <v>4121000</v>
      </c>
      <c r="S537" s="13" t="n">
        <f aca="false">Q537-R537</f>
        <v>682603</v>
      </c>
      <c r="T537" s="14" t="n">
        <f aca="false">IFERROR(S537/Q537,0)</f>
        <v>0.142102292799801</v>
      </c>
      <c r="U537" s="15" t="str">
        <f aca="false">TEXT(A537,"yyyy-mm")</f>
        <v>2022-06</v>
      </c>
    </row>
    <row r="538" customFormat="false" ht="15" hidden="false" customHeight="false" outlineLevel="0" collapsed="false">
      <c r="A538" s="10" t="n">
        <v>44742</v>
      </c>
      <c r="B538" s="11" t="s">
        <v>670</v>
      </c>
      <c r="C538" s="11" t="s">
        <v>135</v>
      </c>
      <c r="D538" s="11" t="s">
        <v>118</v>
      </c>
      <c r="E538" s="11" t="s">
        <v>68</v>
      </c>
      <c r="F538" s="12" t="n">
        <v>5689947</v>
      </c>
      <c r="G538" s="12" t="n">
        <v>5235000</v>
      </c>
      <c r="H538" s="11" t="n">
        <v>23</v>
      </c>
      <c r="I538" s="11" t="s">
        <v>69</v>
      </c>
      <c r="J538" s="11" t="s">
        <v>80</v>
      </c>
      <c r="K538" s="11" t="s">
        <v>81</v>
      </c>
      <c r="L538" s="11" t="s">
        <v>82</v>
      </c>
      <c r="M538" s="11" t="s">
        <v>73</v>
      </c>
      <c r="N538" s="11" t="s">
        <v>93</v>
      </c>
      <c r="O538" s="11" t="s">
        <v>94</v>
      </c>
      <c r="P538" s="11" t="s">
        <v>95</v>
      </c>
      <c r="Q538" s="13" t="n">
        <f aca="false">F538*H538</f>
        <v>130868781</v>
      </c>
      <c r="R538" s="13" t="n">
        <f aca="false">G538*H538</f>
        <v>120405000</v>
      </c>
      <c r="S538" s="13" t="n">
        <f aca="false">Q538-R538</f>
        <v>10463781</v>
      </c>
      <c r="T538" s="14" t="n">
        <f aca="false">IFERROR(S538/Q538,0)</f>
        <v>0.0799562807878527</v>
      </c>
      <c r="U538" s="15" t="str">
        <f aca="false">TEXT(A538,"yyyy-mm")</f>
        <v>2022-06</v>
      </c>
    </row>
    <row r="539" customFormat="false" ht="15" hidden="false" customHeight="false" outlineLevel="0" collapsed="false">
      <c r="A539" s="10" t="n">
        <v>44742</v>
      </c>
      <c r="B539" s="11" t="s">
        <v>671</v>
      </c>
      <c r="C539" s="11" t="s">
        <v>137</v>
      </c>
      <c r="D539" s="11" t="s">
        <v>138</v>
      </c>
      <c r="E539" s="11" t="s">
        <v>139</v>
      </c>
      <c r="F539" s="12" t="n">
        <v>5171827</v>
      </c>
      <c r="G539" s="12" t="n">
        <v>4890000</v>
      </c>
      <c r="H539" s="11" t="n">
        <v>15</v>
      </c>
      <c r="I539" s="11" t="s">
        <v>69</v>
      </c>
      <c r="J539" s="11" t="s">
        <v>112</v>
      </c>
      <c r="K539" s="11" t="s">
        <v>113</v>
      </c>
      <c r="L539" s="11" t="s">
        <v>82</v>
      </c>
      <c r="M539" s="11" t="s">
        <v>157</v>
      </c>
      <c r="N539" s="11" t="s">
        <v>104</v>
      </c>
      <c r="O539" s="11" t="s">
        <v>105</v>
      </c>
      <c r="P539" s="11" t="s">
        <v>106</v>
      </c>
      <c r="Q539" s="13" t="n">
        <f aca="false">F539*H539</f>
        <v>77577405</v>
      </c>
      <c r="R539" s="13" t="n">
        <f aca="false">G539*H539</f>
        <v>73350000</v>
      </c>
      <c r="S539" s="13" t="n">
        <f aca="false">Q539-R539</f>
        <v>4227405</v>
      </c>
      <c r="T539" s="14" t="n">
        <f aca="false">IFERROR(S539/Q539,0)</f>
        <v>0.0544927353525166</v>
      </c>
      <c r="U539" s="15" t="str">
        <f aca="false">TEXT(A539,"yyyy-mm")</f>
        <v>2022-06</v>
      </c>
    </row>
    <row r="540" customFormat="false" ht="15" hidden="false" customHeight="false" outlineLevel="0" collapsed="false">
      <c r="A540" s="10" t="n">
        <v>44743</v>
      </c>
      <c r="B540" s="11" t="s">
        <v>672</v>
      </c>
      <c r="C540" s="11" t="s">
        <v>141</v>
      </c>
      <c r="D540" s="11" t="s">
        <v>138</v>
      </c>
      <c r="E540" s="11" t="s">
        <v>142</v>
      </c>
      <c r="F540" s="12" t="n">
        <v>2805124</v>
      </c>
      <c r="G540" s="12" t="n">
        <v>2178000</v>
      </c>
      <c r="H540" s="11" t="n">
        <v>12</v>
      </c>
      <c r="I540" s="11" t="s">
        <v>69</v>
      </c>
      <c r="J540" s="11" t="s">
        <v>112</v>
      </c>
      <c r="K540" s="11" t="s">
        <v>113</v>
      </c>
      <c r="L540" s="11" t="s">
        <v>82</v>
      </c>
      <c r="M540" s="11" t="s">
        <v>157</v>
      </c>
      <c r="N540" s="11" t="s">
        <v>123</v>
      </c>
      <c r="O540" s="11" t="s">
        <v>60</v>
      </c>
      <c r="P540" s="11" t="s">
        <v>106</v>
      </c>
      <c r="Q540" s="13" t="n">
        <f aca="false">F540*H540</f>
        <v>33661488</v>
      </c>
      <c r="R540" s="13" t="n">
        <f aca="false">G540*H540</f>
        <v>26136000</v>
      </c>
      <c r="S540" s="13" t="n">
        <f aca="false">Q540-R540</f>
        <v>7525488</v>
      </c>
      <c r="T540" s="14" t="n">
        <f aca="false">IFERROR(S540/Q540,0)</f>
        <v>0.22356373550688</v>
      </c>
      <c r="U540" s="15" t="str">
        <f aca="false">TEXT(A540,"yyyy-mm")</f>
        <v>2022-07</v>
      </c>
    </row>
    <row r="541" customFormat="false" ht="15" hidden="false" customHeight="false" outlineLevel="0" collapsed="false">
      <c r="A541" s="10" t="n">
        <v>44744</v>
      </c>
      <c r="B541" s="11" t="s">
        <v>673</v>
      </c>
      <c r="C541" s="11" t="s">
        <v>146</v>
      </c>
      <c r="D541" s="11" t="s">
        <v>138</v>
      </c>
      <c r="E541" s="11" t="s">
        <v>139</v>
      </c>
      <c r="F541" s="12" t="n">
        <v>2728100</v>
      </c>
      <c r="G541" s="12" t="n">
        <v>2321000</v>
      </c>
      <c r="H541" s="11" t="n">
        <v>11</v>
      </c>
      <c r="I541" s="11" t="s">
        <v>69</v>
      </c>
      <c r="J541" s="11" t="s">
        <v>80</v>
      </c>
      <c r="K541" s="11" t="s">
        <v>81</v>
      </c>
      <c r="L541" s="11" t="s">
        <v>82</v>
      </c>
      <c r="M541" s="11" t="s">
        <v>73</v>
      </c>
      <c r="N541" s="11" t="s">
        <v>74</v>
      </c>
      <c r="O541" s="11" t="s">
        <v>75</v>
      </c>
      <c r="P541" s="11" t="s">
        <v>76</v>
      </c>
      <c r="Q541" s="13" t="n">
        <f aca="false">F541*H541</f>
        <v>30009100</v>
      </c>
      <c r="R541" s="13" t="n">
        <f aca="false">G541*H541</f>
        <v>25531000</v>
      </c>
      <c r="S541" s="13" t="n">
        <f aca="false">Q541-R541</f>
        <v>4478100</v>
      </c>
      <c r="T541" s="14" t="n">
        <f aca="false">IFERROR(S541/Q541,0)</f>
        <v>0.149224735163667</v>
      </c>
      <c r="U541" s="15" t="str">
        <f aca="false">TEXT(A541,"yyyy-mm")</f>
        <v>2022-07</v>
      </c>
    </row>
    <row r="542" customFormat="false" ht="15" hidden="false" customHeight="false" outlineLevel="0" collapsed="false">
      <c r="A542" s="10" t="n">
        <v>44745</v>
      </c>
      <c r="B542" s="11" t="s">
        <v>674</v>
      </c>
      <c r="C542" s="11" t="s">
        <v>148</v>
      </c>
      <c r="D542" s="11" t="s">
        <v>138</v>
      </c>
      <c r="E542" s="11" t="s">
        <v>122</v>
      </c>
      <c r="F542" s="12" t="n">
        <v>4941716</v>
      </c>
      <c r="G542" s="12" t="n">
        <v>4456000</v>
      </c>
      <c r="H542" s="11" t="n">
        <v>29</v>
      </c>
      <c r="I542" s="11" t="s">
        <v>69</v>
      </c>
      <c r="J542" s="11" t="s">
        <v>70</v>
      </c>
      <c r="K542" s="11" t="s">
        <v>71</v>
      </c>
      <c r="L542" s="11" t="s">
        <v>72</v>
      </c>
      <c r="M542" s="11" t="s">
        <v>73</v>
      </c>
      <c r="N542" s="11" t="s">
        <v>99</v>
      </c>
      <c r="O542" s="11" t="s">
        <v>100</v>
      </c>
      <c r="P542" s="11" t="s">
        <v>101</v>
      </c>
      <c r="Q542" s="13" t="n">
        <f aca="false">F542*H542</f>
        <v>143309764</v>
      </c>
      <c r="R542" s="13" t="n">
        <f aca="false">G542*H542</f>
        <v>129224000</v>
      </c>
      <c r="S542" s="13" t="n">
        <f aca="false">Q542-R542</f>
        <v>14085764</v>
      </c>
      <c r="T542" s="14" t="n">
        <f aca="false">IFERROR(S542/Q542,0)</f>
        <v>0.0982889344511097</v>
      </c>
      <c r="U542" s="15" t="str">
        <f aca="false">TEXT(A542,"yyyy-mm")</f>
        <v>2022-07</v>
      </c>
    </row>
    <row r="543" customFormat="false" ht="15" hidden="false" customHeight="false" outlineLevel="0" collapsed="false">
      <c r="A543" s="10" t="n">
        <v>44746</v>
      </c>
      <c r="B543" s="11" t="s">
        <v>675</v>
      </c>
      <c r="C543" s="11" t="s">
        <v>66</v>
      </c>
      <c r="D543" s="11" t="s">
        <v>67</v>
      </c>
      <c r="E543" s="11" t="s">
        <v>68</v>
      </c>
      <c r="F543" s="12" t="n">
        <v>3048952</v>
      </c>
      <c r="G543" s="12" t="n">
        <v>2560000</v>
      </c>
      <c r="H543" s="11" t="n">
        <v>19</v>
      </c>
      <c r="I543" s="11" t="s">
        <v>69</v>
      </c>
      <c r="J543" s="11" t="s">
        <v>70</v>
      </c>
      <c r="K543" s="11" t="s">
        <v>71</v>
      </c>
      <c r="L543" s="11" t="s">
        <v>72</v>
      </c>
      <c r="M543" s="11" t="s">
        <v>73</v>
      </c>
      <c r="N543" s="11" t="s">
        <v>93</v>
      </c>
      <c r="O543" s="11" t="s">
        <v>94</v>
      </c>
      <c r="P543" s="11" t="s">
        <v>95</v>
      </c>
      <c r="Q543" s="13" t="n">
        <f aca="false">F543*H543</f>
        <v>57930088</v>
      </c>
      <c r="R543" s="13" t="n">
        <f aca="false">G543*H543</f>
        <v>48640000</v>
      </c>
      <c r="S543" s="13" t="n">
        <f aca="false">Q543-R543</f>
        <v>9290088</v>
      </c>
      <c r="T543" s="14" t="n">
        <f aca="false">IFERROR(S543/Q543,0)</f>
        <v>0.160367234380863</v>
      </c>
      <c r="U543" s="15" t="str">
        <f aca="false">TEXT(A543,"yyyy-mm")</f>
        <v>2022-07</v>
      </c>
    </row>
    <row r="544" customFormat="false" ht="15" hidden="false" customHeight="false" outlineLevel="0" collapsed="false">
      <c r="A544" s="10" t="n">
        <v>44746</v>
      </c>
      <c r="B544" s="11" t="s">
        <v>676</v>
      </c>
      <c r="C544" s="11" t="s">
        <v>78</v>
      </c>
      <c r="D544" s="11" t="s">
        <v>67</v>
      </c>
      <c r="E544" s="11" t="s">
        <v>79</v>
      </c>
      <c r="F544" s="12" t="n">
        <v>1870000</v>
      </c>
      <c r="G544" s="12" t="n">
        <v>1650000</v>
      </c>
      <c r="H544" s="11" t="n">
        <v>9</v>
      </c>
      <c r="I544" s="11" t="s">
        <v>69</v>
      </c>
      <c r="J544" s="11" t="s">
        <v>70</v>
      </c>
      <c r="K544" s="11" t="s">
        <v>71</v>
      </c>
      <c r="L544" s="11" t="s">
        <v>72</v>
      </c>
      <c r="M544" s="11" t="s">
        <v>73</v>
      </c>
      <c r="N544" s="11" t="s">
        <v>99</v>
      </c>
      <c r="O544" s="11" t="s">
        <v>100</v>
      </c>
      <c r="P544" s="11" t="s">
        <v>101</v>
      </c>
      <c r="Q544" s="13" t="n">
        <f aca="false">F544*H544</f>
        <v>16830000</v>
      </c>
      <c r="R544" s="13" t="n">
        <f aca="false">G544*H544</f>
        <v>14850000</v>
      </c>
      <c r="S544" s="13" t="n">
        <f aca="false">Q544-R544</f>
        <v>1980000</v>
      </c>
      <c r="T544" s="14" t="n">
        <f aca="false">IFERROR(S544/Q544,0)</f>
        <v>0.117647058823529</v>
      </c>
      <c r="U544" s="15" t="str">
        <f aca="false">TEXT(A544,"yyyy-mm")</f>
        <v>2022-07</v>
      </c>
    </row>
    <row r="545" customFormat="false" ht="15" hidden="false" customHeight="false" outlineLevel="0" collapsed="false">
      <c r="A545" s="10" t="n">
        <v>44746</v>
      </c>
      <c r="B545" s="11" t="s">
        <v>677</v>
      </c>
      <c r="C545" s="11" t="s">
        <v>84</v>
      </c>
      <c r="D545" s="11" t="s">
        <v>67</v>
      </c>
      <c r="E545" s="11" t="s">
        <v>85</v>
      </c>
      <c r="F545" s="12" t="n">
        <v>2600000</v>
      </c>
      <c r="G545" s="12" t="n">
        <v>2300000</v>
      </c>
      <c r="H545" s="11" t="n">
        <v>10</v>
      </c>
      <c r="I545" s="11" t="s">
        <v>69</v>
      </c>
      <c r="J545" s="11" t="s">
        <v>112</v>
      </c>
      <c r="K545" s="11" t="s">
        <v>113</v>
      </c>
      <c r="L545" s="11" t="s">
        <v>82</v>
      </c>
      <c r="M545" s="11" t="s">
        <v>157</v>
      </c>
      <c r="N545" s="11" t="s">
        <v>109</v>
      </c>
      <c r="O545" s="11" t="s">
        <v>75</v>
      </c>
      <c r="P545" s="11" t="s">
        <v>95</v>
      </c>
      <c r="Q545" s="13" t="n">
        <f aca="false">F545*H545</f>
        <v>26000000</v>
      </c>
      <c r="R545" s="13" t="n">
        <f aca="false">G545*H545</f>
        <v>23000000</v>
      </c>
      <c r="S545" s="13" t="n">
        <f aca="false">Q545-R545</f>
        <v>3000000</v>
      </c>
      <c r="T545" s="14" t="n">
        <f aca="false">IFERROR(S545/Q545,0)</f>
        <v>0.115384615384615</v>
      </c>
      <c r="U545" s="15" t="str">
        <f aca="false">TEXT(A545,"yyyy-mm")</f>
        <v>2022-07</v>
      </c>
    </row>
    <row r="546" customFormat="false" ht="15" hidden="false" customHeight="false" outlineLevel="0" collapsed="false">
      <c r="A546" s="10" t="n">
        <v>44749</v>
      </c>
      <c r="B546" s="11" t="s">
        <v>678</v>
      </c>
      <c r="C546" s="11" t="s">
        <v>92</v>
      </c>
      <c r="D546" s="11" t="s">
        <v>67</v>
      </c>
      <c r="E546" s="11" t="s">
        <v>79</v>
      </c>
      <c r="F546" s="12" t="n">
        <v>3577480</v>
      </c>
      <c r="G546" s="12" t="n">
        <v>3100000</v>
      </c>
      <c r="H546" s="11" t="n">
        <v>30</v>
      </c>
      <c r="I546" s="11" t="s">
        <v>86</v>
      </c>
      <c r="J546" s="11" t="s">
        <v>87</v>
      </c>
      <c r="K546" s="11" t="s">
        <v>88</v>
      </c>
      <c r="L546" s="11" t="s">
        <v>89</v>
      </c>
      <c r="M546" s="11" t="s">
        <v>90</v>
      </c>
      <c r="N546" s="11" t="s">
        <v>123</v>
      </c>
      <c r="O546" s="11" t="s">
        <v>60</v>
      </c>
      <c r="P546" s="11" t="s">
        <v>106</v>
      </c>
      <c r="Q546" s="13" t="n">
        <f aca="false">F546*H546</f>
        <v>107324400</v>
      </c>
      <c r="R546" s="13" t="n">
        <f aca="false">G546*H546</f>
        <v>93000000</v>
      </c>
      <c r="S546" s="13" t="n">
        <f aca="false">Q546-R546</f>
        <v>14324400</v>
      </c>
      <c r="T546" s="14" t="n">
        <f aca="false">IFERROR(S546/Q546,0)</f>
        <v>0.133468251394837</v>
      </c>
      <c r="U546" s="15" t="str">
        <f aca="false">TEXT(A546,"yyyy-mm")</f>
        <v>2022-07</v>
      </c>
    </row>
    <row r="547" customFormat="false" ht="15" hidden="false" customHeight="false" outlineLevel="0" collapsed="false">
      <c r="A547" s="10" t="n">
        <v>44749</v>
      </c>
      <c r="B547" s="11" t="s">
        <v>679</v>
      </c>
      <c r="C547" s="11" t="s">
        <v>97</v>
      </c>
      <c r="D547" s="11" t="s">
        <v>67</v>
      </c>
      <c r="E547" s="11" t="s">
        <v>98</v>
      </c>
      <c r="F547" s="12" t="n">
        <v>4969724</v>
      </c>
      <c r="G547" s="12" t="n">
        <v>4121560</v>
      </c>
      <c r="H547" s="11" t="n">
        <v>10</v>
      </c>
      <c r="I547" s="11" t="s">
        <v>69</v>
      </c>
      <c r="J547" s="11" t="s">
        <v>70</v>
      </c>
      <c r="K547" s="11" t="s">
        <v>71</v>
      </c>
      <c r="L547" s="11" t="s">
        <v>72</v>
      </c>
      <c r="M547" s="11" t="s">
        <v>73</v>
      </c>
      <c r="N547" s="11" t="s">
        <v>109</v>
      </c>
      <c r="O547" s="11" t="s">
        <v>75</v>
      </c>
      <c r="P547" s="11" t="s">
        <v>95</v>
      </c>
      <c r="Q547" s="13" t="n">
        <f aca="false">F547*H547</f>
        <v>49697240</v>
      </c>
      <c r="R547" s="13" t="n">
        <f aca="false">G547*H547</f>
        <v>41215600</v>
      </c>
      <c r="S547" s="13" t="n">
        <f aca="false">Q547-R547</f>
        <v>8481640</v>
      </c>
      <c r="T547" s="14" t="n">
        <f aca="false">IFERROR(S547/Q547,0)</f>
        <v>0.170666218083741</v>
      </c>
      <c r="U547" s="15" t="str">
        <f aca="false">TEXT(A547,"yyyy-mm")</f>
        <v>2022-07</v>
      </c>
    </row>
    <row r="548" customFormat="false" ht="15" hidden="false" customHeight="false" outlineLevel="0" collapsed="false">
      <c r="A548" s="10" t="n">
        <v>44750</v>
      </c>
      <c r="B548" s="11" t="s">
        <v>680</v>
      </c>
      <c r="C548" s="11" t="s">
        <v>103</v>
      </c>
      <c r="D548" s="11" t="s">
        <v>67</v>
      </c>
      <c r="E548" s="11" t="s">
        <v>68</v>
      </c>
      <c r="F548" s="12" t="n">
        <v>3319925</v>
      </c>
      <c r="G548" s="12" t="n">
        <v>2800000</v>
      </c>
      <c r="H548" s="11" t="n">
        <v>10</v>
      </c>
      <c r="I548" s="11" t="s">
        <v>69</v>
      </c>
      <c r="J548" s="11" t="s">
        <v>80</v>
      </c>
      <c r="K548" s="11" t="s">
        <v>81</v>
      </c>
      <c r="L548" s="11" t="s">
        <v>82</v>
      </c>
      <c r="M548" s="11" t="s">
        <v>73</v>
      </c>
      <c r="N548" s="11" t="s">
        <v>133</v>
      </c>
      <c r="O548" s="11" t="s">
        <v>60</v>
      </c>
      <c r="P548" s="11" t="s">
        <v>76</v>
      </c>
      <c r="Q548" s="13" t="n">
        <f aca="false">F548*H548</f>
        <v>33199250</v>
      </c>
      <c r="R548" s="13" t="n">
        <f aca="false">G548*H548</f>
        <v>28000000</v>
      </c>
      <c r="S548" s="13" t="n">
        <f aca="false">Q548-R548</f>
        <v>5199250</v>
      </c>
      <c r="T548" s="14" t="n">
        <f aca="false">IFERROR(S548/Q548,0)</f>
        <v>0.15660745348163</v>
      </c>
      <c r="U548" s="15" t="str">
        <f aca="false">TEXT(A548,"yyyy-mm")</f>
        <v>2022-07</v>
      </c>
    </row>
    <row r="549" customFormat="false" ht="15" hidden="false" customHeight="false" outlineLevel="0" collapsed="false">
      <c r="A549" s="10" t="n">
        <v>44750</v>
      </c>
      <c r="B549" s="11" t="s">
        <v>681</v>
      </c>
      <c r="C549" s="11" t="s">
        <v>108</v>
      </c>
      <c r="D549" s="11" t="s">
        <v>67</v>
      </c>
      <c r="E549" s="11" t="s">
        <v>68</v>
      </c>
      <c r="F549" s="12" t="n">
        <v>4757880</v>
      </c>
      <c r="G549" s="12" t="n">
        <v>3450000</v>
      </c>
      <c r="H549" s="11" t="n">
        <v>5</v>
      </c>
      <c r="I549" s="11" t="s">
        <v>69</v>
      </c>
      <c r="J549" s="11" t="s">
        <v>80</v>
      </c>
      <c r="K549" s="11" t="s">
        <v>81</v>
      </c>
      <c r="L549" s="11" t="s">
        <v>82</v>
      </c>
      <c r="M549" s="11" t="s">
        <v>73</v>
      </c>
      <c r="N549" s="11" t="s">
        <v>173</v>
      </c>
      <c r="O549" s="11" t="s">
        <v>174</v>
      </c>
      <c r="P549" s="11" t="s">
        <v>95</v>
      </c>
      <c r="Q549" s="13" t="n">
        <f aca="false">F549*H549</f>
        <v>23789400</v>
      </c>
      <c r="R549" s="13" t="n">
        <f aca="false">G549*H549</f>
        <v>17250000</v>
      </c>
      <c r="S549" s="13" t="n">
        <f aca="false">Q549-R549</f>
        <v>6539400</v>
      </c>
      <c r="T549" s="14" t="n">
        <f aca="false">IFERROR(S549/Q549,0)</f>
        <v>0.274887134606169</v>
      </c>
      <c r="U549" s="15" t="str">
        <f aca="false">TEXT(A549,"yyyy-mm")</f>
        <v>2022-07</v>
      </c>
    </row>
    <row r="550" customFormat="false" ht="15" hidden="false" customHeight="false" outlineLevel="0" collapsed="false">
      <c r="A550" s="10" t="n">
        <v>44751</v>
      </c>
      <c r="B550" s="11" t="s">
        <v>682</v>
      </c>
      <c r="C550" s="11" t="s">
        <v>111</v>
      </c>
      <c r="D550" s="11" t="s">
        <v>67</v>
      </c>
      <c r="E550" s="11" t="s">
        <v>79</v>
      </c>
      <c r="F550" s="12" t="n">
        <v>3545808</v>
      </c>
      <c r="G550" s="12" t="n">
        <v>3350000</v>
      </c>
      <c r="H550" s="11" t="n">
        <v>16</v>
      </c>
      <c r="I550" s="11" t="s">
        <v>69</v>
      </c>
      <c r="J550" s="11" t="s">
        <v>70</v>
      </c>
      <c r="K550" s="11" t="s">
        <v>71</v>
      </c>
      <c r="L550" s="11" t="s">
        <v>72</v>
      </c>
      <c r="M550" s="11" t="s">
        <v>73</v>
      </c>
      <c r="N550" s="11" t="s">
        <v>99</v>
      </c>
      <c r="O550" s="11" t="s">
        <v>100</v>
      </c>
      <c r="P550" s="11" t="s">
        <v>101</v>
      </c>
      <c r="Q550" s="13" t="n">
        <f aca="false">F550*H550</f>
        <v>56732928</v>
      </c>
      <c r="R550" s="13" t="n">
        <f aca="false">G550*H550</f>
        <v>53600000</v>
      </c>
      <c r="S550" s="13" t="n">
        <f aca="false">Q550-R550</f>
        <v>3132928</v>
      </c>
      <c r="T550" s="14" t="n">
        <f aca="false">IFERROR(S550/Q550,0)</f>
        <v>0.0552223921881839</v>
      </c>
      <c r="U550" s="15" t="str">
        <f aca="false">TEXT(A550,"yyyy-mm")</f>
        <v>2022-07</v>
      </c>
    </row>
    <row r="551" customFormat="false" ht="15" hidden="false" customHeight="false" outlineLevel="0" collapsed="false">
      <c r="A551" s="10" t="n">
        <v>44751</v>
      </c>
      <c r="B551" s="11" t="s">
        <v>683</v>
      </c>
      <c r="C551" s="11" t="s">
        <v>115</v>
      </c>
      <c r="D551" s="11" t="s">
        <v>67</v>
      </c>
      <c r="E551" s="11" t="s">
        <v>98</v>
      </c>
      <c r="F551" s="12" t="n">
        <v>4200743</v>
      </c>
      <c r="G551" s="12" t="n">
        <v>4101000</v>
      </c>
      <c r="H551" s="11" t="n">
        <v>8</v>
      </c>
      <c r="I551" s="11" t="s">
        <v>86</v>
      </c>
      <c r="J551" s="11" t="s">
        <v>87</v>
      </c>
      <c r="K551" s="11" t="s">
        <v>88</v>
      </c>
      <c r="L551" s="11" t="s">
        <v>89</v>
      </c>
      <c r="M551" s="11" t="s">
        <v>90</v>
      </c>
      <c r="N551" s="11" t="s">
        <v>123</v>
      </c>
      <c r="O551" s="11" t="s">
        <v>60</v>
      </c>
      <c r="P551" s="11" t="s">
        <v>106</v>
      </c>
      <c r="Q551" s="13" t="n">
        <f aca="false">F551*H551</f>
        <v>33605944</v>
      </c>
      <c r="R551" s="13" t="n">
        <f aca="false">G551*H551</f>
        <v>32808000</v>
      </c>
      <c r="S551" s="13" t="n">
        <f aca="false">Q551-R551</f>
        <v>797944</v>
      </c>
      <c r="T551" s="14" t="n">
        <f aca="false">IFERROR(S551/Q551,0)</f>
        <v>0.023744132883159</v>
      </c>
      <c r="U551" s="15" t="str">
        <f aca="false">TEXT(A551,"yyyy-mm")</f>
        <v>2022-07</v>
      </c>
    </row>
    <row r="552" customFormat="false" ht="15" hidden="false" customHeight="false" outlineLevel="0" collapsed="false">
      <c r="A552" s="10" t="n">
        <v>44753</v>
      </c>
      <c r="B552" s="11" t="s">
        <v>684</v>
      </c>
      <c r="C552" s="11" t="s">
        <v>117</v>
      </c>
      <c r="D552" s="11" t="s">
        <v>118</v>
      </c>
      <c r="E552" s="11" t="s">
        <v>119</v>
      </c>
      <c r="F552" s="12" t="n">
        <v>8220549</v>
      </c>
      <c r="G552" s="12" t="n">
        <v>6500000</v>
      </c>
      <c r="H552" s="11" t="n">
        <v>7</v>
      </c>
      <c r="I552" s="11" t="s">
        <v>86</v>
      </c>
      <c r="J552" s="11" t="s">
        <v>87</v>
      </c>
      <c r="K552" s="11" t="s">
        <v>88</v>
      </c>
      <c r="L552" s="11" t="s">
        <v>89</v>
      </c>
      <c r="M552" s="11" t="s">
        <v>90</v>
      </c>
      <c r="N552" s="11" t="s">
        <v>133</v>
      </c>
      <c r="O552" s="11" t="s">
        <v>60</v>
      </c>
      <c r="P552" s="11" t="s">
        <v>76</v>
      </c>
      <c r="Q552" s="13" t="n">
        <f aca="false">F552*H552</f>
        <v>57543843</v>
      </c>
      <c r="R552" s="13" t="n">
        <f aca="false">G552*H552</f>
        <v>45500000</v>
      </c>
      <c r="S552" s="13" t="n">
        <f aca="false">Q552-R552</f>
        <v>12043843</v>
      </c>
      <c r="T552" s="14" t="n">
        <f aca="false">IFERROR(S552/Q552,0)</f>
        <v>0.209298551714733</v>
      </c>
      <c r="U552" s="15" t="str">
        <f aca="false">TEXT(A552,"yyyy-mm")</f>
        <v>2022-07</v>
      </c>
    </row>
    <row r="553" customFormat="false" ht="15" hidden="false" customHeight="false" outlineLevel="0" collapsed="false">
      <c r="A553" s="10" t="n">
        <v>44754</v>
      </c>
      <c r="B553" s="11" t="s">
        <v>685</v>
      </c>
      <c r="C553" s="11" t="s">
        <v>121</v>
      </c>
      <c r="D553" s="11" t="s">
        <v>118</v>
      </c>
      <c r="E553" s="11" t="s">
        <v>122</v>
      </c>
      <c r="F553" s="12" t="n">
        <v>7687274</v>
      </c>
      <c r="G553" s="12" t="n">
        <v>6500000</v>
      </c>
      <c r="H553" s="11" t="n">
        <v>6</v>
      </c>
      <c r="I553" s="11" t="s">
        <v>69</v>
      </c>
      <c r="J553" s="11" t="s">
        <v>80</v>
      </c>
      <c r="K553" s="11" t="s">
        <v>81</v>
      </c>
      <c r="L553" s="11" t="s">
        <v>82</v>
      </c>
      <c r="M553" s="11" t="s">
        <v>73</v>
      </c>
      <c r="N553" s="11" t="s">
        <v>74</v>
      </c>
      <c r="O553" s="11" t="s">
        <v>75</v>
      </c>
      <c r="P553" s="11" t="s">
        <v>76</v>
      </c>
      <c r="Q553" s="13" t="n">
        <f aca="false">F553*H553</f>
        <v>46123644</v>
      </c>
      <c r="R553" s="13" t="n">
        <f aca="false">G553*H553</f>
        <v>39000000</v>
      </c>
      <c r="S553" s="13" t="n">
        <f aca="false">Q553-R553</f>
        <v>7123644</v>
      </c>
      <c r="T553" s="14" t="n">
        <f aca="false">IFERROR(S553/Q553,0)</f>
        <v>0.154446686822923</v>
      </c>
      <c r="U553" s="15" t="str">
        <f aca="false">TEXT(A553,"yyyy-mm")</f>
        <v>2022-07</v>
      </c>
    </row>
    <row r="554" customFormat="false" ht="15" hidden="false" customHeight="false" outlineLevel="0" collapsed="false">
      <c r="A554" s="10" t="n">
        <v>44755</v>
      </c>
      <c r="B554" s="11" t="s">
        <v>686</v>
      </c>
      <c r="C554" s="11" t="s">
        <v>125</v>
      </c>
      <c r="D554" s="11" t="s">
        <v>118</v>
      </c>
      <c r="E554" s="11" t="s">
        <v>126</v>
      </c>
      <c r="F554" s="12" t="n">
        <v>5684211</v>
      </c>
      <c r="G554" s="12" t="n">
        <v>4300000</v>
      </c>
      <c r="H554" s="11" t="n">
        <v>11</v>
      </c>
      <c r="I554" s="11" t="s">
        <v>69</v>
      </c>
      <c r="J554" s="11" t="s">
        <v>112</v>
      </c>
      <c r="K554" s="11" t="s">
        <v>113</v>
      </c>
      <c r="L554" s="11" t="s">
        <v>82</v>
      </c>
      <c r="M554" s="11" t="s">
        <v>157</v>
      </c>
      <c r="N554" s="11" t="s">
        <v>74</v>
      </c>
      <c r="O554" s="11" t="s">
        <v>75</v>
      </c>
      <c r="P554" s="11" t="s">
        <v>76</v>
      </c>
      <c r="Q554" s="13" t="n">
        <f aca="false">F554*H554</f>
        <v>62526321</v>
      </c>
      <c r="R554" s="13" t="n">
        <f aca="false">G554*H554</f>
        <v>47300000</v>
      </c>
      <c r="S554" s="13" t="n">
        <f aca="false">Q554-R554</f>
        <v>15226321</v>
      </c>
      <c r="T554" s="14" t="n">
        <f aca="false">IFERROR(S554/Q554,0)</f>
        <v>0.243518581558637</v>
      </c>
      <c r="U554" s="15" t="str">
        <f aca="false">TEXT(A554,"yyyy-mm")</f>
        <v>2022-07</v>
      </c>
    </row>
    <row r="555" customFormat="false" ht="15" hidden="false" customHeight="false" outlineLevel="0" collapsed="false">
      <c r="A555" s="10" t="n">
        <v>44755</v>
      </c>
      <c r="B555" s="11" t="s">
        <v>687</v>
      </c>
      <c r="C555" s="11" t="s">
        <v>128</v>
      </c>
      <c r="D555" s="11" t="s">
        <v>118</v>
      </c>
      <c r="E555" s="11" t="s">
        <v>119</v>
      </c>
      <c r="F555" s="12" t="n">
        <v>3370302</v>
      </c>
      <c r="G555" s="12" t="n">
        <v>2100000</v>
      </c>
      <c r="H555" s="11" t="n">
        <v>9</v>
      </c>
      <c r="I555" s="11" t="s">
        <v>69</v>
      </c>
      <c r="J555" s="11" t="s">
        <v>80</v>
      </c>
      <c r="K555" s="11" t="s">
        <v>81</v>
      </c>
      <c r="L555" s="11" t="s">
        <v>82</v>
      </c>
      <c r="M555" s="11" t="s">
        <v>73</v>
      </c>
      <c r="N555" s="11" t="s">
        <v>173</v>
      </c>
      <c r="O555" s="11" t="s">
        <v>174</v>
      </c>
      <c r="P555" s="11" t="s">
        <v>95</v>
      </c>
      <c r="Q555" s="13" t="n">
        <f aca="false">F555*H555</f>
        <v>30332718</v>
      </c>
      <c r="R555" s="13" t="n">
        <f aca="false">G555*H555</f>
        <v>18900000</v>
      </c>
      <c r="S555" s="13" t="n">
        <f aca="false">Q555-R555</f>
        <v>11432718</v>
      </c>
      <c r="T555" s="14" t="n">
        <f aca="false">IFERROR(S555/Q555,0)</f>
        <v>0.37691043710623</v>
      </c>
      <c r="U555" s="15" t="str">
        <f aca="false">TEXT(A555,"yyyy-mm")</f>
        <v>2022-07</v>
      </c>
    </row>
    <row r="556" customFormat="false" ht="15" hidden="false" customHeight="false" outlineLevel="0" collapsed="false">
      <c r="A556" s="10" t="n">
        <v>44756</v>
      </c>
      <c r="B556" s="11" t="s">
        <v>688</v>
      </c>
      <c r="C556" s="11" t="s">
        <v>130</v>
      </c>
      <c r="D556" s="11" t="s">
        <v>118</v>
      </c>
      <c r="E556" s="11" t="s">
        <v>68</v>
      </c>
      <c r="F556" s="12" t="n">
        <v>2852897</v>
      </c>
      <c r="G556" s="12" t="n">
        <v>2450000</v>
      </c>
      <c r="H556" s="11" t="n">
        <v>12</v>
      </c>
      <c r="I556" s="11" t="s">
        <v>69</v>
      </c>
      <c r="J556" s="11" t="s">
        <v>112</v>
      </c>
      <c r="K556" s="11" t="s">
        <v>113</v>
      </c>
      <c r="L556" s="11" t="s">
        <v>82</v>
      </c>
      <c r="M556" s="11" t="s">
        <v>157</v>
      </c>
      <c r="N556" s="11" t="s">
        <v>133</v>
      </c>
      <c r="O556" s="11" t="s">
        <v>60</v>
      </c>
      <c r="P556" s="11" t="s">
        <v>76</v>
      </c>
      <c r="Q556" s="13" t="n">
        <f aca="false">F556*H556</f>
        <v>34234764</v>
      </c>
      <c r="R556" s="13" t="n">
        <f aca="false">G556*H556</f>
        <v>29400000</v>
      </c>
      <c r="S556" s="13" t="n">
        <f aca="false">Q556-R556</f>
        <v>4834764</v>
      </c>
      <c r="T556" s="14" t="n">
        <f aca="false">IFERROR(S556/Q556,0)</f>
        <v>0.141223815651249</v>
      </c>
      <c r="U556" s="15" t="str">
        <f aca="false">TEXT(A556,"yyyy-mm")</f>
        <v>2022-07</v>
      </c>
    </row>
    <row r="557" customFormat="false" ht="15" hidden="false" customHeight="false" outlineLevel="0" collapsed="false">
      <c r="A557" s="10" t="n">
        <v>44756</v>
      </c>
      <c r="B557" s="11" t="s">
        <v>689</v>
      </c>
      <c r="C557" s="11" t="s">
        <v>132</v>
      </c>
      <c r="D557" s="11" t="s">
        <v>118</v>
      </c>
      <c r="E557" s="11" t="s">
        <v>68</v>
      </c>
      <c r="F557" s="12" t="n">
        <v>4803603</v>
      </c>
      <c r="G557" s="12" t="n">
        <v>4121000</v>
      </c>
      <c r="H557" s="11" t="n">
        <v>15</v>
      </c>
      <c r="I557" s="11" t="s">
        <v>69</v>
      </c>
      <c r="J557" s="11" t="s">
        <v>112</v>
      </c>
      <c r="K557" s="11" t="s">
        <v>113</v>
      </c>
      <c r="L557" s="11" t="s">
        <v>82</v>
      </c>
      <c r="M557" s="11" t="s">
        <v>157</v>
      </c>
      <c r="N557" s="11" t="s">
        <v>143</v>
      </c>
      <c r="O557" s="11" t="s">
        <v>144</v>
      </c>
      <c r="P557" s="11" t="s">
        <v>101</v>
      </c>
      <c r="Q557" s="13" t="n">
        <f aca="false">F557*H557</f>
        <v>72054045</v>
      </c>
      <c r="R557" s="13" t="n">
        <f aca="false">G557*H557</f>
        <v>61815000</v>
      </c>
      <c r="S557" s="13" t="n">
        <f aca="false">Q557-R557</f>
        <v>10239045</v>
      </c>
      <c r="T557" s="14" t="n">
        <f aca="false">IFERROR(S557/Q557,0)</f>
        <v>0.142102292799801</v>
      </c>
      <c r="U557" s="15" t="str">
        <f aca="false">TEXT(A557,"yyyy-mm")</f>
        <v>2022-07</v>
      </c>
    </row>
    <row r="558" customFormat="false" ht="15" hidden="false" customHeight="false" outlineLevel="0" collapsed="false">
      <c r="A558" s="10" t="n">
        <v>44756</v>
      </c>
      <c r="B558" s="11" t="s">
        <v>690</v>
      </c>
      <c r="C558" s="11" t="s">
        <v>135</v>
      </c>
      <c r="D558" s="11" t="s">
        <v>118</v>
      </c>
      <c r="E558" s="11" t="s">
        <v>68</v>
      </c>
      <c r="F558" s="12" t="n">
        <v>5689947</v>
      </c>
      <c r="G558" s="12" t="n">
        <v>5235000</v>
      </c>
      <c r="H558" s="11" t="n">
        <v>9</v>
      </c>
      <c r="I558" s="11" t="s">
        <v>69</v>
      </c>
      <c r="J558" s="11" t="s">
        <v>80</v>
      </c>
      <c r="K558" s="11" t="s">
        <v>81</v>
      </c>
      <c r="L558" s="11" t="s">
        <v>82</v>
      </c>
      <c r="M558" s="11" t="s">
        <v>73</v>
      </c>
      <c r="N558" s="11" t="s">
        <v>109</v>
      </c>
      <c r="O558" s="11" t="s">
        <v>75</v>
      </c>
      <c r="P558" s="11" t="s">
        <v>95</v>
      </c>
      <c r="Q558" s="13" t="n">
        <f aca="false">F558*H558</f>
        <v>51209523</v>
      </c>
      <c r="R558" s="13" t="n">
        <f aca="false">G558*H558</f>
        <v>47115000</v>
      </c>
      <c r="S558" s="13" t="n">
        <f aca="false">Q558-R558</f>
        <v>4094523</v>
      </c>
      <c r="T558" s="14" t="n">
        <f aca="false">IFERROR(S558/Q558,0)</f>
        <v>0.0799562807878527</v>
      </c>
      <c r="U558" s="15" t="str">
        <f aca="false">TEXT(A558,"yyyy-mm")</f>
        <v>2022-07</v>
      </c>
    </row>
    <row r="559" customFormat="false" ht="15" hidden="false" customHeight="false" outlineLevel="0" collapsed="false">
      <c r="A559" s="10" t="n">
        <v>44756</v>
      </c>
      <c r="B559" s="11" t="s">
        <v>691</v>
      </c>
      <c r="C559" s="11" t="s">
        <v>137</v>
      </c>
      <c r="D559" s="11" t="s">
        <v>138</v>
      </c>
      <c r="E559" s="11" t="s">
        <v>139</v>
      </c>
      <c r="F559" s="12" t="n">
        <v>5171827</v>
      </c>
      <c r="G559" s="12" t="n">
        <v>4890000</v>
      </c>
      <c r="H559" s="11" t="n">
        <v>9</v>
      </c>
      <c r="I559" s="11" t="s">
        <v>69</v>
      </c>
      <c r="J559" s="11" t="s">
        <v>80</v>
      </c>
      <c r="K559" s="11" t="s">
        <v>81</v>
      </c>
      <c r="L559" s="11" t="s">
        <v>82</v>
      </c>
      <c r="M559" s="11" t="s">
        <v>73</v>
      </c>
      <c r="N559" s="11" t="s">
        <v>143</v>
      </c>
      <c r="O559" s="11" t="s">
        <v>144</v>
      </c>
      <c r="P559" s="11" t="s">
        <v>101</v>
      </c>
      <c r="Q559" s="13" t="n">
        <f aca="false">F559*H559</f>
        <v>46546443</v>
      </c>
      <c r="R559" s="13" t="n">
        <f aca="false">G559*H559</f>
        <v>44010000</v>
      </c>
      <c r="S559" s="13" t="n">
        <f aca="false">Q559-R559</f>
        <v>2536443</v>
      </c>
      <c r="T559" s="14" t="n">
        <f aca="false">IFERROR(S559/Q559,0)</f>
        <v>0.0544927353525166</v>
      </c>
      <c r="U559" s="15" t="str">
        <f aca="false">TEXT(A559,"yyyy-mm")</f>
        <v>2022-07</v>
      </c>
    </row>
    <row r="560" customFormat="false" ht="15" hidden="false" customHeight="false" outlineLevel="0" collapsed="false">
      <c r="A560" s="10" t="n">
        <v>44756</v>
      </c>
      <c r="B560" s="11" t="s">
        <v>692</v>
      </c>
      <c r="C560" s="11" t="s">
        <v>141</v>
      </c>
      <c r="D560" s="11" t="s">
        <v>138</v>
      </c>
      <c r="E560" s="11" t="s">
        <v>142</v>
      </c>
      <c r="F560" s="12" t="n">
        <v>2805124</v>
      </c>
      <c r="G560" s="12" t="n">
        <v>2178000</v>
      </c>
      <c r="H560" s="11" t="n">
        <v>27</v>
      </c>
      <c r="I560" s="11" t="s">
        <v>69</v>
      </c>
      <c r="J560" s="11" t="s">
        <v>80</v>
      </c>
      <c r="K560" s="11" t="s">
        <v>81</v>
      </c>
      <c r="L560" s="11" t="s">
        <v>82</v>
      </c>
      <c r="M560" s="11" t="s">
        <v>73</v>
      </c>
      <c r="N560" s="11" t="s">
        <v>133</v>
      </c>
      <c r="O560" s="11" t="s">
        <v>60</v>
      </c>
      <c r="P560" s="11" t="s">
        <v>76</v>
      </c>
      <c r="Q560" s="13" t="n">
        <f aca="false">F560*H560</f>
        <v>75738348</v>
      </c>
      <c r="R560" s="13" t="n">
        <f aca="false">G560*H560</f>
        <v>58806000</v>
      </c>
      <c r="S560" s="13" t="n">
        <f aca="false">Q560-R560</f>
        <v>16932348</v>
      </c>
      <c r="T560" s="14" t="n">
        <f aca="false">IFERROR(S560/Q560,0)</f>
        <v>0.22356373550688</v>
      </c>
      <c r="U560" s="15" t="str">
        <f aca="false">TEXT(A560,"yyyy-mm")</f>
        <v>2022-07</v>
      </c>
    </row>
    <row r="561" customFormat="false" ht="15" hidden="false" customHeight="false" outlineLevel="0" collapsed="false">
      <c r="A561" s="10" t="n">
        <v>44757</v>
      </c>
      <c r="B561" s="11" t="s">
        <v>693</v>
      </c>
      <c r="C561" s="11" t="s">
        <v>146</v>
      </c>
      <c r="D561" s="11" t="s">
        <v>138</v>
      </c>
      <c r="E561" s="11" t="s">
        <v>139</v>
      </c>
      <c r="F561" s="12" t="n">
        <v>2728100</v>
      </c>
      <c r="G561" s="12" t="n">
        <v>2321000</v>
      </c>
      <c r="H561" s="11" t="n">
        <v>6</v>
      </c>
      <c r="I561" s="11" t="s">
        <v>86</v>
      </c>
      <c r="J561" s="11" t="s">
        <v>87</v>
      </c>
      <c r="K561" s="11" t="s">
        <v>88</v>
      </c>
      <c r="L561" s="11" t="s">
        <v>89</v>
      </c>
      <c r="M561" s="11" t="s">
        <v>90</v>
      </c>
      <c r="N561" s="11" t="s">
        <v>104</v>
      </c>
      <c r="O561" s="11" t="s">
        <v>105</v>
      </c>
      <c r="P561" s="11" t="s">
        <v>106</v>
      </c>
      <c r="Q561" s="13" t="n">
        <f aca="false">F561*H561</f>
        <v>16368600</v>
      </c>
      <c r="R561" s="13" t="n">
        <f aca="false">G561*H561</f>
        <v>13926000</v>
      </c>
      <c r="S561" s="13" t="n">
        <f aca="false">Q561-R561</f>
        <v>2442600</v>
      </c>
      <c r="T561" s="14" t="n">
        <f aca="false">IFERROR(S561/Q561,0)</f>
        <v>0.149224735163667</v>
      </c>
      <c r="U561" s="15" t="str">
        <f aca="false">TEXT(A561,"yyyy-mm")</f>
        <v>2022-07</v>
      </c>
    </row>
    <row r="562" customFormat="false" ht="15" hidden="false" customHeight="false" outlineLevel="0" collapsed="false">
      <c r="A562" s="10" t="n">
        <v>44757</v>
      </c>
      <c r="B562" s="11" t="s">
        <v>694</v>
      </c>
      <c r="C562" s="11" t="s">
        <v>148</v>
      </c>
      <c r="D562" s="11" t="s">
        <v>138</v>
      </c>
      <c r="E562" s="11" t="s">
        <v>122</v>
      </c>
      <c r="F562" s="12" t="n">
        <v>4941716</v>
      </c>
      <c r="G562" s="12" t="n">
        <v>4456000</v>
      </c>
      <c r="H562" s="11" t="n">
        <v>16</v>
      </c>
      <c r="I562" s="11" t="s">
        <v>69</v>
      </c>
      <c r="J562" s="11" t="s">
        <v>70</v>
      </c>
      <c r="K562" s="11" t="s">
        <v>71</v>
      </c>
      <c r="L562" s="11" t="s">
        <v>72</v>
      </c>
      <c r="M562" s="11" t="s">
        <v>73</v>
      </c>
      <c r="N562" s="11" t="s">
        <v>109</v>
      </c>
      <c r="O562" s="11" t="s">
        <v>75</v>
      </c>
      <c r="P562" s="11" t="s">
        <v>95</v>
      </c>
      <c r="Q562" s="13" t="n">
        <f aca="false">F562*H562</f>
        <v>79067456</v>
      </c>
      <c r="R562" s="13" t="n">
        <f aca="false">G562*H562</f>
        <v>71296000</v>
      </c>
      <c r="S562" s="13" t="n">
        <f aca="false">Q562-R562</f>
        <v>7771456</v>
      </c>
      <c r="T562" s="14" t="n">
        <f aca="false">IFERROR(S562/Q562,0)</f>
        <v>0.0982889344511097</v>
      </c>
      <c r="U562" s="15" t="str">
        <f aca="false">TEXT(A562,"yyyy-mm")</f>
        <v>2022-07</v>
      </c>
    </row>
    <row r="563" customFormat="false" ht="15" hidden="false" customHeight="false" outlineLevel="0" collapsed="false">
      <c r="A563" s="10" t="n">
        <v>44757</v>
      </c>
      <c r="B563" s="11" t="s">
        <v>695</v>
      </c>
      <c r="C563" s="11" t="s">
        <v>66</v>
      </c>
      <c r="D563" s="11" t="s">
        <v>67</v>
      </c>
      <c r="E563" s="11" t="s">
        <v>68</v>
      </c>
      <c r="F563" s="12" t="n">
        <v>3048952</v>
      </c>
      <c r="G563" s="12" t="n">
        <v>2560000</v>
      </c>
      <c r="H563" s="11" t="n">
        <v>8</v>
      </c>
      <c r="I563" s="11" t="s">
        <v>69</v>
      </c>
      <c r="J563" s="11" t="s">
        <v>80</v>
      </c>
      <c r="K563" s="11" t="s">
        <v>81</v>
      </c>
      <c r="L563" s="11" t="s">
        <v>82</v>
      </c>
      <c r="M563" s="11" t="s">
        <v>73</v>
      </c>
      <c r="N563" s="11" t="s">
        <v>123</v>
      </c>
      <c r="O563" s="11" t="s">
        <v>60</v>
      </c>
      <c r="P563" s="11" t="s">
        <v>106</v>
      </c>
      <c r="Q563" s="13" t="n">
        <f aca="false">F563*H563</f>
        <v>24391616</v>
      </c>
      <c r="R563" s="13" t="n">
        <f aca="false">G563*H563</f>
        <v>20480000</v>
      </c>
      <c r="S563" s="13" t="n">
        <f aca="false">Q563-R563</f>
        <v>3911616</v>
      </c>
      <c r="T563" s="14" t="n">
        <f aca="false">IFERROR(S563/Q563,0)</f>
        <v>0.160367234380863</v>
      </c>
      <c r="U563" s="15" t="str">
        <f aca="false">TEXT(A563,"yyyy-mm")</f>
        <v>2022-07</v>
      </c>
    </row>
    <row r="564" customFormat="false" ht="15" hidden="false" customHeight="false" outlineLevel="0" collapsed="false">
      <c r="A564" s="10" t="n">
        <v>44757</v>
      </c>
      <c r="B564" s="11" t="s">
        <v>696</v>
      </c>
      <c r="C564" s="11" t="s">
        <v>78</v>
      </c>
      <c r="D564" s="11" t="s">
        <v>67</v>
      </c>
      <c r="E564" s="11" t="s">
        <v>79</v>
      </c>
      <c r="F564" s="12" t="n">
        <v>1870000</v>
      </c>
      <c r="G564" s="12" t="n">
        <v>1650000</v>
      </c>
      <c r="H564" s="11" t="n">
        <v>18</v>
      </c>
      <c r="I564" s="11" t="s">
        <v>69</v>
      </c>
      <c r="J564" s="11" t="s">
        <v>70</v>
      </c>
      <c r="K564" s="11" t="s">
        <v>71</v>
      </c>
      <c r="L564" s="11" t="s">
        <v>72</v>
      </c>
      <c r="M564" s="11" t="s">
        <v>73</v>
      </c>
      <c r="N564" s="11" t="s">
        <v>74</v>
      </c>
      <c r="O564" s="11" t="s">
        <v>75</v>
      </c>
      <c r="P564" s="11" t="s">
        <v>76</v>
      </c>
      <c r="Q564" s="13" t="n">
        <f aca="false">F564*H564</f>
        <v>33660000</v>
      </c>
      <c r="R564" s="13" t="n">
        <f aca="false">G564*H564</f>
        <v>29700000</v>
      </c>
      <c r="S564" s="13" t="n">
        <f aca="false">Q564-R564</f>
        <v>3960000</v>
      </c>
      <c r="T564" s="14" t="n">
        <f aca="false">IFERROR(S564/Q564,0)</f>
        <v>0.117647058823529</v>
      </c>
      <c r="U564" s="15" t="str">
        <f aca="false">TEXT(A564,"yyyy-mm")</f>
        <v>2022-07</v>
      </c>
    </row>
    <row r="565" customFormat="false" ht="15" hidden="false" customHeight="false" outlineLevel="0" collapsed="false">
      <c r="A565" s="10" t="n">
        <v>44758</v>
      </c>
      <c r="B565" s="11" t="s">
        <v>697</v>
      </c>
      <c r="C565" s="11" t="s">
        <v>84</v>
      </c>
      <c r="D565" s="11" t="s">
        <v>67</v>
      </c>
      <c r="E565" s="11" t="s">
        <v>85</v>
      </c>
      <c r="F565" s="12" t="n">
        <v>2600000</v>
      </c>
      <c r="G565" s="12" t="n">
        <v>2300000</v>
      </c>
      <c r="H565" s="11" t="n">
        <v>17</v>
      </c>
      <c r="I565" s="11" t="s">
        <v>69</v>
      </c>
      <c r="J565" s="11" t="s">
        <v>70</v>
      </c>
      <c r="K565" s="11" t="s">
        <v>71</v>
      </c>
      <c r="L565" s="11" t="s">
        <v>72</v>
      </c>
      <c r="M565" s="11" t="s">
        <v>73</v>
      </c>
      <c r="N565" s="11" t="s">
        <v>143</v>
      </c>
      <c r="O565" s="11" t="s">
        <v>144</v>
      </c>
      <c r="P565" s="11" t="s">
        <v>101</v>
      </c>
      <c r="Q565" s="13" t="n">
        <f aca="false">F565*H565</f>
        <v>44200000</v>
      </c>
      <c r="R565" s="13" t="n">
        <f aca="false">G565*H565</f>
        <v>39100000</v>
      </c>
      <c r="S565" s="13" t="n">
        <f aca="false">Q565-R565</f>
        <v>5100000</v>
      </c>
      <c r="T565" s="14" t="n">
        <f aca="false">IFERROR(S565/Q565,0)</f>
        <v>0.115384615384615</v>
      </c>
      <c r="U565" s="15" t="str">
        <f aca="false">TEXT(A565,"yyyy-mm")</f>
        <v>2022-07</v>
      </c>
    </row>
    <row r="566" customFormat="false" ht="15" hidden="false" customHeight="false" outlineLevel="0" collapsed="false">
      <c r="A566" s="10" t="n">
        <v>44758</v>
      </c>
      <c r="B566" s="11" t="s">
        <v>698</v>
      </c>
      <c r="C566" s="11" t="s">
        <v>92</v>
      </c>
      <c r="D566" s="11" t="s">
        <v>67</v>
      </c>
      <c r="E566" s="11" t="s">
        <v>79</v>
      </c>
      <c r="F566" s="12" t="n">
        <v>3577480</v>
      </c>
      <c r="G566" s="12" t="n">
        <v>3100000</v>
      </c>
      <c r="H566" s="11" t="n">
        <v>10</v>
      </c>
      <c r="I566" s="11" t="s">
        <v>69</v>
      </c>
      <c r="J566" s="11" t="s">
        <v>112</v>
      </c>
      <c r="K566" s="11" t="s">
        <v>113</v>
      </c>
      <c r="L566" s="11" t="s">
        <v>82</v>
      </c>
      <c r="M566" s="11" t="s">
        <v>157</v>
      </c>
      <c r="N566" s="11" t="s">
        <v>133</v>
      </c>
      <c r="O566" s="11" t="s">
        <v>60</v>
      </c>
      <c r="P566" s="11" t="s">
        <v>76</v>
      </c>
      <c r="Q566" s="13" t="n">
        <f aca="false">F566*H566</f>
        <v>35774800</v>
      </c>
      <c r="R566" s="13" t="n">
        <f aca="false">G566*H566</f>
        <v>31000000</v>
      </c>
      <c r="S566" s="13" t="n">
        <f aca="false">Q566-R566</f>
        <v>4774800</v>
      </c>
      <c r="T566" s="14" t="n">
        <f aca="false">IFERROR(S566/Q566,0)</f>
        <v>0.133468251394837</v>
      </c>
      <c r="U566" s="15" t="str">
        <f aca="false">TEXT(A566,"yyyy-mm")</f>
        <v>2022-07</v>
      </c>
    </row>
    <row r="567" customFormat="false" ht="15" hidden="false" customHeight="false" outlineLevel="0" collapsed="false">
      <c r="A567" s="10" t="n">
        <v>44758</v>
      </c>
      <c r="B567" s="11" t="s">
        <v>699</v>
      </c>
      <c r="C567" s="11" t="s">
        <v>97</v>
      </c>
      <c r="D567" s="11" t="s">
        <v>67</v>
      </c>
      <c r="E567" s="11" t="s">
        <v>98</v>
      </c>
      <c r="F567" s="12" t="n">
        <v>4969724</v>
      </c>
      <c r="G567" s="12" t="n">
        <v>4121560</v>
      </c>
      <c r="H567" s="11" t="n">
        <v>17</v>
      </c>
      <c r="I567" s="11" t="s">
        <v>69</v>
      </c>
      <c r="J567" s="11" t="s">
        <v>80</v>
      </c>
      <c r="K567" s="11" t="s">
        <v>81</v>
      </c>
      <c r="L567" s="11" t="s">
        <v>82</v>
      </c>
      <c r="M567" s="11" t="s">
        <v>73</v>
      </c>
      <c r="N567" s="11" t="s">
        <v>93</v>
      </c>
      <c r="O567" s="11" t="s">
        <v>94</v>
      </c>
      <c r="P567" s="11" t="s">
        <v>95</v>
      </c>
      <c r="Q567" s="13" t="n">
        <f aca="false">F567*H567</f>
        <v>84485308</v>
      </c>
      <c r="R567" s="13" t="n">
        <f aca="false">G567*H567</f>
        <v>70066520</v>
      </c>
      <c r="S567" s="13" t="n">
        <f aca="false">Q567-R567</f>
        <v>14418788</v>
      </c>
      <c r="T567" s="14" t="n">
        <f aca="false">IFERROR(S567/Q567,0)</f>
        <v>0.170666218083741</v>
      </c>
      <c r="U567" s="15" t="str">
        <f aca="false">TEXT(A567,"yyyy-mm")</f>
        <v>2022-07</v>
      </c>
    </row>
    <row r="568" customFormat="false" ht="15" hidden="false" customHeight="false" outlineLevel="0" collapsed="false">
      <c r="A568" s="10" t="n">
        <v>44759</v>
      </c>
      <c r="B568" s="11" t="s">
        <v>700</v>
      </c>
      <c r="C568" s="11" t="s">
        <v>103</v>
      </c>
      <c r="D568" s="11" t="s">
        <v>67</v>
      </c>
      <c r="E568" s="11" t="s">
        <v>68</v>
      </c>
      <c r="F568" s="12" t="n">
        <v>3319925</v>
      </c>
      <c r="G568" s="12" t="n">
        <v>2800000</v>
      </c>
      <c r="H568" s="11" t="n">
        <v>1</v>
      </c>
      <c r="I568" s="11" t="s">
        <v>69</v>
      </c>
      <c r="J568" s="11" t="s">
        <v>80</v>
      </c>
      <c r="K568" s="11" t="s">
        <v>81</v>
      </c>
      <c r="L568" s="11" t="s">
        <v>82</v>
      </c>
      <c r="M568" s="11" t="s">
        <v>73</v>
      </c>
      <c r="N568" s="11" t="s">
        <v>173</v>
      </c>
      <c r="O568" s="11" t="s">
        <v>174</v>
      </c>
      <c r="P568" s="11" t="s">
        <v>95</v>
      </c>
      <c r="Q568" s="13" t="n">
        <f aca="false">F568*H568</f>
        <v>3319925</v>
      </c>
      <c r="R568" s="13" t="n">
        <f aca="false">G568*H568</f>
        <v>2800000</v>
      </c>
      <c r="S568" s="13" t="n">
        <f aca="false">Q568-R568</f>
        <v>519925</v>
      </c>
      <c r="T568" s="14" t="n">
        <f aca="false">IFERROR(S568/Q568,0)</f>
        <v>0.15660745348163</v>
      </c>
      <c r="U568" s="15" t="str">
        <f aca="false">TEXT(A568,"yyyy-mm")</f>
        <v>2022-07</v>
      </c>
    </row>
    <row r="569" customFormat="false" ht="15" hidden="false" customHeight="false" outlineLevel="0" collapsed="false">
      <c r="A569" s="10" t="n">
        <v>44759</v>
      </c>
      <c r="B569" s="11" t="s">
        <v>701</v>
      </c>
      <c r="C569" s="11" t="s">
        <v>108</v>
      </c>
      <c r="D569" s="11" t="s">
        <v>67</v>
      </c>
      <c r="E569" s="11" t="s">
        <v>68</v>
      </c>
      <c r="F569" s="12" t="n">
        <v>4757880</v>
      </c>
      <c r="G569" s="12" t="n">
        <v>3450000</v>
      </c>
      <c r="H569" s="11" t="n">
        <v>7</v>
      </c>
      <c r="I569" s="11" t="s">
        <v>86</v>
      </c>
      <c r="J569" s="11" t="s">
        <v>87</v>
      </c>
      <c r="K569" s="11" t="s">
        <v>88</v>
      </c>
      <c r="L569" s="11" t="s">
        <v>89</v>
      </c>
      <c r="M569" s="11" t="s">
        <v>90</v>
      </c>
      <c r="N569" s="11" t="s">
        <v>133</v>
      </c>
      <c r="O569" s="11" t="s">
        <v>60</v>
      </c>
      <c r="P569" s="11" t="s">
        <v>76</v>
      </c>
      <c r="Q569" s="13" t="n">
        <f aca="false">F569*H569</f>
        <v>33305160</v>
      </c>
      <c r="R569" s="13" t="n">
        <f aca="false">G569*H569</f>
        <v>24150000</v>
      </c>
      <c r="S569" s="13" t="n">
        <f aca="false">Q569-R569</f>
        <v>9155160</v>
      </c>
      <c r="T569" s="14" t="n">
        <f aca="false">IFERROR(S569/Q569,0)</f>
        <v>0.274887134606169</v>
      </c>
      <c r="U569" s="15" t="str">
        <f aca="false">TEXT(A569,"yyyy-mm")</f>
        <v>2022-07</v>
      </c>
    </row>
    <row r="570" customFormat="false" ht="15" hidden="false" customHeight="false" outlineLevel="0" collapsed="false">
      <c r="A570" s="10" t="n">
        <v>44761</v>
      </c>
      <c r="B570" s="11" t="s">
        <v>702</v>
      </c>
      <c r="C570" s="11" t="s">
        <v>111</v>
      </c>
      <c r="D570" s="11" t="s">
        <v>67</v>
      </c>
      <c r="E570" s="11" t="s">
        <v>79</v>
      </c>
      <c r="F570" s="12" t="n">
        <v>3545808</v>
      </c>
      <c r="G570" s="12" t="n">
        <v>3350000</v>
      </c>
      <c r="H570" s="11" t="n">
        <v>5</v>
      </c>
      <c r="I570" s="11" t="s">
        <v>86</v>
      </c>
      <c r="J570" s="11" t="s">
        <v>87</v>
      </c>
      <c r="K570" s="11" t="s">
        <v>88</v>
      </c>
      <c r="L570" s="11" t="s">
        <v>89</v>
      </c>
      <c r="M570" s="11" t="s">
        <v>90</v>
      </c>
      <c r="N570" s="11" t="s">
        <v>93</v>
      </c>
      <c r="O570" s="11" t="s">
        <v>94</v>
      </c>
      <c r="P570" s="11" t="s">
        <v>95</v>
      </c>
      <c r="Q570" s="13" t="n">
        <f aca="false">F570*H570</f>
        <v>17729040</v>
      </c>
      <c r="R570" s="13" t="n">
        <f aca="false">G570*H570</f>
        <v>16750000</v>
      </c>
      <c r="S570" s="13" t="n">
        <f aca="false">Q570-R570</f>
        <v>979040</v>
      </c>
      <c r="T570" s="14" t="n">
        <f aca="false">IFERROR(S570/Q570,0)</f>
        <v>0.0552223921881839</v>
      </c>
      <c r="U570" s="15" t="str">
        <f aca="false">TEXT(A570,"yyyy-mm")</f>
        <v>2022-07</v>
      </c>
    </row>
    <row r="571" customFormat="false" ht="15" hidden="false" customHeight="false" outlineLevel="0" collapsed="false">
      <c r="A571" s="10" t="n">
        <v>44761</v>
      </c>
      <c r="B571" s="11" t="s">
        <v>703</v>
      </c>
      <c r="C571" s="11" t="s">
        <v>115</v>
      </c>
      <c r="D571" s="11" t="s">
        <v>67</v>
      </c>
      <c r="E571" s="11" t="s">
        <v>98</v>
      </c>
      <c r="F571" s="12" t="n">
        <v>4200743</v>
      </c>
      <c r="G571" s="12" t="n">
        <v>4101000</v>
      </c>
      <c r="H571" s="11" t="n">
        <v>9</v>
      </c>
      <c r="I571" s="11" t="s">
        <v>69</v>
      </c>
      <c r="J571" s="11" t="s">
        <v>112</v>
      </c>
      <c r="K571" s="11" t="s">
        <v>113</v>
      </c>
      <c r="L571" s="11" t="s">
        <v>82</v>
      </c>
      <c r="M571" s="11" t="s">
        <v>157</v>
      </c>
      <c r="N571" s="11" t="s">
        <v>74</v>
      </c>
      <c r="O571" s="11" t="s">
        <v>75</v>
      </c>
      <c r="P571" s="11" t="s">
        <v>76</v>
      </c>
      <c r="Q571" s="13" t="n">
        <f aca="false">F571*H571</f>
        <v>37806687</v>
      </c>
      <c r="R571" s="13" t="n">
        <f aca="false">G571*H571</f>
        <v>36909000</v>
      </c>
      <c r="S571" s="13" t="n">
        <f aca="false">Q571-R571</f>
        <v>897687</v>
      </c>
      <c r="T571" s="14" t="n">
        <f aca="false">IFERROR(S571/Q571,0)</f>
        <v>0.023744132883159</v>
      </c>
      <c r="U571" s="15" t="str">
        <f aca="false">TEXT(A571,"yyyy-mm")</f>
        <v>2022-07</v>
      </c>
    </row>
    <row r="572" customFormat="false" ht="15" hidden="false" customHeight="false" outlineLevel="0" collapsed="false">
      <c r="A572" s="10" t="n">
        <v>44761</v>
      </c>
      <c r="B572" s="11" t="s">
        <v>704</v>
      </c>
      <c r="C572" s="11" t="s">
        <v>117</v>
      </c>
      <c r="D572" s="11" t="s">
        <v>118</v>
      </c>
      <c r="E572" s="11" t="s">
        <v>119</v>
      </c>
      <c r="F572" s="12" t="n">
        <v>8220549</v>
      </c>
      <c r="G572" s="12" t="n">
        <v>6500000</v>
      </c>
      <c r="H572" s="11" t="n">
        <v>14</v>
      </c>
      <c r="I572" s="11" t="s">
        <v>69</v>
      </c>
      <c r="J572" s="11" t="s">
        <v>80</v>
      </c>
      <c r="K572" s="11" t="s">
        <v>81</v>
      </c>
      <c r="L572" s="11" t="s">
        <v>82</v>
      </c>
      <c r="M572" s="11" t="s">
        <v>73</v>
      </c>
      <c r="N572" s="11" t="s">
        <v>104</v>
      </c>
      <c r="O572" s="11" t="s">
        <v>105</v>
      </c>
      <c r="P572" s="11" t="s">
        <v>106</v>
      </c>
      <c r="Q572" s="13" t="n">
        <f aca="false">F572*H572</f>
        <v>115087686</v>
      </c>
      <c r="R572" s="13" t="n">
        <f aca="false">G572*H572</f>
        <v>91000000</v>
      </c>
      <c r="S572" s="13" t="n">
        <f aca="false">Q572-R572</f>
        <v>24087686</v>
      </c>
      <c r="T572" s="14" t="n">
        <f aca="false">IFERROR(S572/Q572,0)</f>
        <v>0.209298551714733</v>
      </c>
      <c r="U572" s="15" t="str">
        <f aca="false">TEXT(A572,"yyyy-mm")</f>
        <v>2022-07</v>
      </c>
    </row>
    <row r="573" customFormat="false" ht="15" hidden="false" customHeight="false" outlineLevel="0" collapsed="false">
      <c r="A573" s="10" t="n">
        <v>44762</v>
      </c>
      <c r="B573" s="11" t="s">
        <v>705</v>
      </c>
      <c r="C573" s="11" t="s">
        <v>121</v>
      </c>
      <c r="D573" s="11" t="s">
        <v>118</v>
      </c>
      <c r="E573" s="11" t="s">
        <v>122</v>
      </c>
      <c r="F573" s="12" t="n">
        <v>7687274</v>
      </c>
      <c r="G573" s="12" t="n">
        <v>6500000</v>
      </c>
      <c r="H573" s="11" t="n">
        <v>14</v>
      </c>
      <c r="I573" s="11" t="s">
        <v>69</v>
      </c>
      <c r="J573" s="11" t="s">
        <v>80</v>
      </c>
      <c r="K573" s="11" t="s">
        <v>81</v>
      </c>
      <c r="L573" s="11" t="s">
        <v>82</v>
      </c>
      <c r="M573" s="11" t="s">
        <v>73</v>
      </c>
      <c r="N573" s="11" t="s">
        <v>93</v>
      </c>
      <c r="O573" s="11" t="s">
        <v>94</v>
      </c>
      <c r="P573" s="11" t="s">
        <v>95</v>
      </c>
      <c r="Q573" s="13" t="n">
        <f aca="false">F573*H573</f>
        <v>107621836</v>
      </c>
      <c r="R573" s="13" t="n">
        <f aca="false">G573*H573</f>
        <v>91000000</v>
      </c>
      <c r="S573" s="13" t="n">
        <f aca="false">Q573-R573</f>
        <v>16621836</v>
      </c>
      <c r="T573" s="14" t="n">
        <f aca="false">IFERROR(S573/Q573,0)</f>
        <v>0.154446686822923</v>
      </c>
      <c r="U573" s="15" t="str">
        <f aca="false">TEXT(A573,"yyyy-mm")</f>
        <v>2022-07</v>
      </c>
    </row>
    <row r="574" customFormat="false" ht="15" hidden="false" customHeight="false" outlineLevel="0" collapsed="false">
      <c r="A574" s="10" t="n">
        <v>44762</v>
      </c>
      <c r="B574" s="11" t="s">
        <v>706</v>
      </c>
      <c r="C574" s="11" t="s">
        <v>125</v>
      </c>
      <c r="D574" s="11" t="s">
        <v>118</v>
      </c>
      <c r="E574" s="11" t="s">
        <v>126</v>
      </c>
      <c r="F574" s="12" t="n">
        <v>5684211</v>
      </c>
      <c r="G574" s="12" t="n">
        <v>4300000</v>
      </c>
      <c r="H574" s="11" t="n">
        <v>11</v>
      </c>
      <c r="I574" s="11" t="s">
        <v>69</v>
      </c>
      <c r="J574" s="11" t="s">
        <v>70</v>
      </c>
      <c r="K574" s="11" t="s">
        <v>71</v>
      </c>
      <c r="L574" s="11" t="s">
        <v>72</v>
      </c>
      <c r="M574" s="11" t="s">
        <v>73</v>
      </c>
      <c r="N574" s="11" t="s">
        <v>123</v>
      </c>
      <c r="O574" s="11" t="s">
        <v>60</v>
      </c>
      <c r="P574" s="11" t="s">
        <v>106</v>
      </c>
      <c r="Q574" s="13" t="n">
        <f aca="false">F574*H574</f>
        <v>62526321</v>
      </c>
      <c r="R574" s="13" t="n">
        <f aca="false">G574*H574</f>
        <v>47300000</v>
      </c>
      <c r="S574" s="13" t="n">
        <f aca="false">Q574-R574</f>
        <v>15226321</v>
      </c>
      <c r="T574" s="14" t="n">
        <f aca="false">IFERROR(S574/Q574,0)</f>
        <v>0.243518581558637</v>
      </c>
      <c r="U574" s="15" t="str">
        <f aca="false">TEXT(A574,"yyyy-mm")</f>
        <v>2022-07</v>
      </c>
    </row>
    <row r="575" customFormat="false" ht="15" hidden="false" customHeight="false" outlineLevel="0" collapsed="false">
      <c r="A575" s="10" t="n">
        <v>44762</v>
      </c>
      <c r="B575" s="11" t="s">
        <v>707</v>
      </c>
      <c r="C575" s="11" t="s">
        <v>128</v>
      </c>
      <c r="D575" s="11" t="s">
        <v>118</v>
      </c>
      <c r="E575" s="11" t="s">
        <v>119</v>
      </c>
      <c r="F575" s="12" t="n">
        <v>3370302</v>
      </c>
      <c r="G575" s="12" t="n">
        <v>2100000</v>
      </c>
      <c r="H575" s="11" t="n">
        <v>13</v>
      </c>
      <c r="I575" s="11" t="s">
        <v>69</v>
      </c>
      <c r="J575" s="11" t="s">
        <v>80</v>
      </c>
      <c r="K575" s="11" t="s">
        <v>81</v>
      </c>
      <c r="L575" s="11" t="s">
        <v>82</v>
      </c>
      <c r="M575" s="11" t="s">
        <v>73</v>
      </c>
      <c r="N575" s="11" t="s">
        <v>143</v>
      </c>
      <c r="O575" s="11" t="s">
        <v>144</v>
      </c>
      <c r="P575" s="11" t="s">
        <v>101</v>
      </c>
      <c r="Q575" s="13" t="n">
        <f aca="false">F575*H575</f>
        <v>43813926</v>
      </c>
      <c r="R575" s="13" t="n">
        <f aca="false">G575*H575</f>
        <v>27300000</v>
      </c>
      <c r="S575" s="13" t="n">
        <f aca="false">Q575-R575</f>
        <v>16513926</v>
      </c>
      <c r="T575" s="14" t="n">
        <f aca="false">IFERROR(S575/Q575,0)</f>
        <v>0.37691043710623</v>
      </c>
      <c r="U575" s="15" t="str">
        <f aca="false">TEXT(A575,"yyyy-mm")</f>
        <v>2022-07</v>
      </c>
    </row>
    <row r="576" customFormat="false" ht="15" hidden="false" customHeight="false" outlineLevel="0" collapsed="false">
      <c r="A576" s="10" t="n">
        <v>44763</v>
      </c>
      <c r="B576" s="11" t="s">
        <v>708</v>
      </c>
      <c r="C576" s="11" t="s">
        <v>130</v>
      </c>
      <c r="D576" s="11" t="s">
        <v>118</v>
      </c>
      <c r="E576" s="11" t="s">
        <v>68</v>
      </c>
      <c r="F576" s="12" t="n">
        <v>2852897</v>
      </c>
      <c r="G576" s="12" t="n">
        <v>2450000</v>
      </c>
      <c r="H576" s="11" t="n">
        <v>12</v>
      </c>
      <c r="I576" s="11" t="s">
        <v>69</v>
      </c>
      <c r="J576" s="11" t="s">
        <v>112</v>
      </c>
      <c r="K576" s="11" t="s">
        <v>113</v>
      </c>
      <c r="L576" s="11" t="s">
        <v>82</v>
      </c>
      <c r="M576" s="11" t="s">
        <v>157</v>
      </c>
      <c r="N576" s="11" t="s">
        <v>133</v>
      </c>
      <c r="O576" s="11" t="s">
        <v>60</v>
      </c>
      <c r="P576" s="11" t="s">
        <v>76</v>
      </c>
      <c r="Q576" s="13" t="n">
        <f aca="false">F576*H576</f>
        <v>34234764</v>
      </c>
      <c r="R576" s="13" t="n">
        <f aca="false">G576*H576</f>
        <v>29400000</v>
      </c>
      <c r="S576" s="13" t="n">
        <f aca="false">Q576-R576</f>
        <v>4834764</v>
      </c>
      <c r="T576" s="14" t="n">
        <f aca="false">IFERROR(S576/Q576,0)</f>
        <v>0.141223815651249</v>
      </c>
      <c r="U576" s="15" t="str">
        <f aca="false">TEXT(A576,"yyyy-mm")</f>
        <v>2022-07</v>
      </c>
    </row>
    <row r="577" customFormat="false" ht="15" hidden="false" customHeight="false" outlineLevel="0" collapsed="false">
      <c r="A577" s="10" t="n">
        <v>44763</v>
      </c>
      <c r="B577" s="11" t="s">
        <v>709</v>
      </c>
      <c r="C577" s="11" t="s">
        <v>132</v>
      </c>
      <c r="D577" s="11" t="s">
        <v>118</v>
      </c>
      <c r="E577" s="11" t="s">
        <v>68</v>
      </c>
      <c r="F577" s="12" t="n">
        <v>4803603</v>
      </c>
      <c r="G577" s="12" t="n">
        <v>4121000</v>
      </c>
      <c r="H577" s="11" t="n">
        <v>20</v>
      </c>
      <c r="I577" s="11" t="s">
        <v>69</v>
      </c>
      <c r="J577" s="11" t="s">
        <v>80</v>
      </c>
      <c r="K577" s="11" t="s">
        <v>81</v>
      </c>
      <c r="L577" s="11" t="s">
        <v>82</v>
      </c>
      <c r="M577" s="11" t="s">
        <v>73</v>
      </c>
      <c r="N577" s="11" t="s">
        <v>173</v>
      </c>
      <c r="O577" s="11" t="s">
        <v>174</v>
      </c>
      <c r="P577" s="11" t="s">
        <v>95</v>
      </c>
      <c r="Q577" s="13" t="n">
        <f aca="false">F577*H577</f>
        <v>96072060</v>
      </c>
      <c r="R577" s="13" t="n">
        <f aca="false">G577*H577</f>
        <v>82420000</v>
      </c>
      <c r="S577" s="13" t="n">
        <f aca="false">Q577-R577</f>
        <v>13652060</v>
      </c>
      <c r="T577" s="14" t="n">
        <f aca="false">IFERROR(S577/Q577,0)</f>
        <v>0.142102292799801</v>
      </c>
      <c r="U577" s="15" t="str">
        <f aca="false">TEXT(A577,"yyyy-mm")</f>
        <v>2022-07</v>
      </c>
    </row>
    <row r="578" customFormat="false" ht="15" hidden="false" customHeight="false" outlineLevel="0" collapsed="false">
      <c r="A578" s="10" t="n">
        <v>44763</v>
      </c>
      <c r="B578" s="11" t="s">
        <v>710</v>
      </c>
      <c r="C578" s="11" t="s">
        <v>135</v>
      </c>
      <c r="D578" s="11" t="s">
        <v>118</v>
      </c>
      <c r="E578" s="11" t="s">
        <v>68</v>
      </c>
      <c r="F578" s="12" t="n">
        <v>5689947</v>
      </c>
      <c r="G578" s="12" t="n">
        <v>5235000</v>
      </c>
      <c r="H578" s="11" t="n">
        <v>13</v>
      </c>
      <c r="I578" s="11" t="s">
        <v>86</v>
      </c>
      <c r="J578" s="11" t="s">
        <v>87</v>
      </c>
      <c r="K578" s="11" t="s">
        <v>88</v>
      </c>
      <c r="L578" s="11" t="s">
        <v>89</v>
      </c>
      <c r="M578" s="11" t="s">
        <v>90</v>
      </c>
      <c r="N578" s="11" t="s">
        <v>99</v>
      </c>
      <c r="O578" s="11" t="s">
        <v>100</v>
      </c>
      <c r="P578" s="11" t="s">
        <v>101</v>
      </c>
      <c r="Q578" s="13" t="n">
        <f aca="false">F578*H578</f>
        <v>73969311</v>
      </c>
      <c r="R578" s="13" t="n">
        <f aca="false">G578*H578</f>
        <v>68055000</v>
      </c>
      <c r="S578" s="13" t="n">
        <f aca="false">Q578-R578</f>
        <v>5914311</v>
      </c>
      <c r="T578" s="14" t="n">
        <f aca="false">IFERROR(S578/Q578,0)</f>
        <v>0.0799562807878527</v>
      </c>
      <c r="U578" s="15" t="str">
        <f aca="false">TEXT(A578,"yyyy-mm")</f>
        <v>2022-07</v>
      </c>
    </row>
    <row r="579" customFormat="false" ht="15" hidden="false" customHeight="false" outlineLevel="0" collapsed="false">
      <c r="A579" s="10" t="n">
        <v>44763</v>
      </c>
      <c r="B579" s="11" t="s">
        <v>711</v>
      </c>
      <c r="C579" s="11" t="s">
        <v>137</v>
      </c>
      <c r="D579" s="11" t="s">
        <v>138</v>
      </c>
      <c r="E579" s="11" t="s">
        <v>139</v>
      </c>
      <c r="F579" s="12" t="n">
        <v>5171827</v>
      </c>
      <c r="G579" s="12" t="n">
        <v>4890000</v>
      </c>
      <c r="H579" s="11" t="n">
        <v>20</v>
      </c>
      <c r="I579" s="11" t="s">
        <v>86</v>
      </c>
      <c r="J579" s="11" t="s">
        <v>87</v>
      </c>
      <c r="K579" s="11" t="s">
        <v>88</v>
      </c>
      <c r="L579" s="11" t="s">
        <v>89</v>
      </c>
      <c r="M579" s="11" t="s">
        <v>90</v>
      </c>
      <c r="N579" s="11" t="s">
        <v>74</v>
      </c>
      <c r="O579" s="11" t="s">
        <v>75</v>
      </c>
      <c r="P579" s="11" t="s">
        <v>76</v>
      </c>
      <c r="Q579" s="13" t="n">
        <f aca="false">F579*H579</f>
        <v>103436540</v>
      </c>
      <c r="R579" s="13" t="n">
        <f aca="false">G579*H579</f>
        <v>97800000</v>
      </c>
      <c r="S579" s="13" t="n">
        <f aca="false">Q579-R579</f>
        <v>5636540</v>
      </c>
      <c r="T579" s="14" t="n">
        <f aca="false">IFERROR(S579/Q579,0)</f>
        <v>0.0544927353525166</v>
      </c>
      <c r="U579" s="15" t="str">
        <f aca="false">TEXT(A579,"yyyy-mm")</f>
        <v>2022-07</v>
      </c>
    </row>
    <row r="580" customFormat="false" ht="15" hidden="false" customHeight="false" outlineLevel="0" collapsed="false">
      <c r="A580" s="10" t="n">
        <v>44765</v>
      </c>
      <c r="B580" s="11" t="s">
        <v>712</v>
      </c>
      <c r="C580" s="11" t="s">
        <v>141</v>
      </c>
      <c r="D580" s="11" t="s">
        <v>138</v>
      </c>
      <c r="E580" s="11" t="s">
        <v>142</v>
      </c>
      <c r="F580" s="12" t="n">
        <v>2805124</v>
      </c>
      <c r="G580" s="12" t="n">
        <v>2178000</v>
      </c>
      <c r="H580" s="11" t="n">
        <v>9</v>
      </c>
      <c r="I580" s="11" t="s">
        <v>69</v>
      </c>
      <c r="J580" s="11" t="s">
        <v>112</v>
      </c>
      <c r="K580" s="11" t="s">
        <v>113</v>
      </c>
      <c r="L580" s="11" t="s">
        <v>82</v>
      </c>
      <c r="M580" s="11" t="s">
        <v>157</v>
      </c>
      <c r="N580" s="11" t="s">
        <v>133</v>
      </c>
      <c r="O580" s="11" t="s">
        <v>60</v>
      </c>
      <c r="P580" s="11" t="s">
        <v>76</v>
      </c>
      <c r="Q580" s="13" t="n">
        <f aca="false">F580*H580</f>
        <v>25246116</v>
      </c>
      <c r="R580" s="13" t="n">
        <f aca="false">G580*H580</f>
        <v>19602000</v>
      </c>
      <c r="S580" s="13" t="n">
        <f aca="false">Q580-R580</f>
        <v>5644116</v>
      </c>
      <c r="T580" s="14" t="n">
        <f aca="false">IFERROR(S580/Q580,0)</f>
        <v>0.22356373550688</v>
      </c>
      <c r="U580" s="15" t="str">
        <f aca="false">TEXT(A580,"yyyy-mm")</f>
        <v>2022-07</v>
      </c>
    </row>
    <row r="581" customFormat="false" ht="15" hidden="false" customHeight="false" outlineLevel="0" collapsed="false">
      <c r="A581" s="10" t="n">
        <v>44765</v>
      </c>
      <c r="B581" s="11" t="s">
        <v>713</v>
      </c>
      <c r="C581" s="11" t="s">
        <v>146</v>
      </c>
      <c r="D581" s="11" t="s">
        <v>138</v>
      </c>
      <c r="E581" s="11" t="s">
        <v>139</v>
      </c>
      <c r="F581" s="12" t="n">
        <v>2728100</v>
      </c>
      <c r="G581" s="12" t="n">
        <v>2321000</v>
      </c>
      <c r="H581" s="11" t="n">
        <v>9</v>
      </c>
      <c r="I581" s="11" t="s">
        <v>86</v>
      </c>
      <c r="J581" s="11" t="s">
        <v>87</v>
      </c>
      <c r="K581" s="11" t="s">
        <v>88</v>
      </c>
      <c r="L581" s="11" t="s">
        <v>89</v>
      </c>
      <c r="M581" s="11" t="s">
        <v>90</v>
      </c>
      <c r="N581" s="11" t="s">
        <v>104</v>
      </c>
      <c r="O581" s="11" t="s">
        <v>105</v>
      </c>
      <c r="P581" s="11" t="s">
        <v>106</v>
      </c>
      <c r="Q581" s="13" t="n">
        <f aca="false">F581*H581</f>
        <v>24552900</v>
      </c>
      <c r="R581" s="13" t="n">
        <f aca="false">G581*H581</f>
        <v>20889000</v>
      </c>
      <c r="S581" s="13" t="n">
        <f aca="false">Q581-R581</f>
        <v>3663900</v>
      </c>
      <c r="T581" s="14" t="n">
        <f aca="false">IFERROR(S581/Q581,0)</f>
        <v>0.149224735163667</v>
      </c>
      <c r="U581" s="15" t="str">
        <f aca="false">TEXT(A581,"yyyy-mm")</f>
        <v>2022-07</v>
      </c>
    </row>
    <row r="582" customFormat="false" ht="15" hidden="false" customHeight="false" outlineLevel="0" collapsed="false">
      <c r="A582" s="10" t="n">
        <v>44765</v>
      </c>
      <c r="B582" s="11" t="s">
        <v>714</v>
      </c>
      <c r="C582" s="11" t="s">
        <v>148</v>
      </c>
      <c r="D582" s="11" t="s">
        <v>138</v>
      </c>
      <c r="E582" s="11" t="s">
        <v>122</v>
      </c>
      <c r="F582" s="12" t="n">
        <v>4941716</v>
      </c>
      <c r="G582" s="12" t="n">
        <v>4456000</v>
      </c>
      <c r="H582" s="11" t="n">
        <v>6</v>
      </c>
      <c r="I582" s="11" t="s">
        <v>86</v>
      </c>
      <c r="J582" s="11" t="s">
        <v>87</v>
      </c>
      <c r="K582" s="11" t="s">
        <v>88</v>
      </c>
      <c r="L582" s="11" t="s">
        <v>89</v>
      </c>
      <c r="M582" s="11" t="s">
        <v>90</v>
      </c>
      <c r="N582" s="11" t="s">
        <v>74</v>
      </c>
      <c r="O582" s="11" t="s">
        <v>75</v>
      </c>
      <c r="P582" s="11" t="s">
        <v>76</v>
      </c>
      <c r="Q582" s="13" t="n">
        <f aca="false">F582*H582</f>
        <v>29650296</v>
      </c>
      <c r="R582" s="13" t="n">
        <f aca="false">G582*H582</f>
        <v>26736000</v>
      </c>
      <c r="S582" s="13" t="n">
        <f aca="false">Q582-R582</f>
        <v>2914296</v>
      </c>
      <c r="T582" s="14" t="n">
        <f aca="false">IFERROR(S582/Q582,0)</f>
        <v>0.0982889344511097</v>
      </c>
      <c r="U582" s="15" t="str">
        <f aca="false">TEXT(A582,"yyyy-mm")</f>
        <v>2022-07</v>
      </c>
    </row>
    <row r="583" customFormat="false" ht="15" hidden="false" customHeight="false" outlineLevel="0" collapsed="false">
      <c r="A583" s="10" t="n">
        <v>44766</v>
      </c>
      <c r="B583" s="11" t="s">
        <v>715</v>
      </c>
      <c r="C583" s="11" t="s">
        <v>66</v>
      </c>
      <c r="D583" s="11" t="s">
        <v>67</v>
      </c>
      <c r="E583" s="11" t="s">
        <v>68</v>
      </c>
      <c r="F583" s="12" t="n">
        <v>3048952</v>
      </c>
      <c r="G583" s="12" t="n">
        <v>2560000</v>
      </c>
      <c r="H583" s="11" t="n">
        <v>17</v>
      </c>
      <c r="I583" s="11" t="s">
        <v>86</v>
      </c>
      <c r="J583" s="11" t="s">
        <v>87</v>
      </c>
      <c r="K583" s="11" t="s">
        <v>88</v>
      </c>
      <c r="L583" s="11" t="s">
        <v>89</v>
      </c>
      <c r="M583" s="11" t="s">
        <v>90</v>
      </c>
      <c r="N583" s="11" t="s">
        <v>104</v>
      </c>
      <c r="O583" s="11" t="s">
        <v>105</v>
      </c>
      <c r="P583" s="11" t="s">
        <v>106</v>
      </c>
      <c r="Q583" s="13" t="n">
        <f aca="false">F583*H583</f>
        <v>51832184</v>
      </c>
      <c r="R583" s="13" t="n">
        <f aca="false">G583*H583</f>
        <v>43520000</v>
      </c>
      <c r="S583" s="13" t="n">
        <f aca="false">Q583-R583</f>
        <v>8312184</v>
      </c>
      <c r="T583" s="14" t="n">
        <f aca="false">IFERROR(S583/Q583,0)</f>
        <v>0.160367234380863</v>
      </c>
      <c r="U583" s="15" t="str">
        <f aca="false">TEXT(A583,"yyyy-mm")</f>
        <v>2022-07</v>
      </c>
    </row>
    <row r="584" customFormat="false" ht="15" hidden="false" customHeight="false" outlineLevel="0" collapsed="false">
      <c r="A584" s="10" t="n">
        <v>44767</v>
      </c>
      <c r="B584" s="11" t="s">
        <v>716</v>
      </c>
      <c r="C584" s="11" t="s">
        <v>78</v>
      </c>
      <c r="D584" s="11" t="s">
        <v>67</v>
      </c>
      <c r="E584" s="11" t="s">
        <v>79</v>
      </c>
      <c r="F584" s="12" t="n">
        <v>1870000</v>
      </c>
      <c r="G584" s="12" t="n">
        <v>1650000</v>
      </c>
      <c r="H584" s="11" t="n">
        <v>23</v>
      </c>
      <c r="I584" s="11" t="s">
        <v>69</v>
      </c>
      <c r="J584" s="11" t="s">
        <v>112</v>
      </c>
      <c r="K584" s="11" t="s">
        <v>113</v>
      </c>
      <c r="L584" s="11" t="s">
        <v>82</v>
      </c>
      <c r="M584" s="11" t="s">
        <v>157</v>
      </c>
      <c r="N584" s="11" t="s">
        <v>143</v>
      </c>
      <c r="O584" s="11" t="s">
        <v>144</v>
      </c>
      <c r="P584" s="11" t="s">
        <v>101</v>
      </c>
      <c r="Q584" s="13" t="n">
        <f aca="false">F584*H584</f>
        <v>43010000</v>
      </c>
      <c r="R584" s="13" t="n">
        <f aca="false">G584*H584</f>
        <v>37950000</v>
      </c>
      <c r="S584" s="13" t="n">
        <f aca="false">Q584-R584</f>
        <v>5060000</v>
      </c>
      <c r="T584" s="14" t="n">
        <f aca="false">IFERROR(S584/Q584,0)</f>
        <v>0.117647058823529</v>
      </c>
      <c r="U584" s="15" t="str">
        <f aca="false">TEXT(A584,"yyyy-mm")</f>
        <v>2022-07</v>
      </c>
    </row>
    <row r="585" customFormat="false" ht="15" hidden="false" customHeight="false" outlineLevel="0" collapsed="false">
      <c r="A585" s="10" t="n">
        <v>44767</v>
      </c>
      <c r="B585" s="11" t="s">
        <v>717</v>
      </c>
      <c r="C585" s="11" t="s">
        <v>84</v>
      </c>
      <c r="D585" s="11" t="s">
        <v>67</v>
      </c>
      <c r="E585" s="11" t="s">
        <v>85</v>
      </c>
      <c r="F585" s="12" t="n">
        <v>2600000</v>
      </c>
      <c r="G585" s="12" t="n">
        <v>2300000</v>
      </c>
      <c r="H585" s="11" t="n">
        <v>15</v>
      </c>
      <c r="I585" s="11" t="s">
        <v>69</v>
      </c>
      <c r="J585" s="11" t="s">
        <v>70</v>
      </c>
      <c r="K585" s="11" t="s">
        <v>71</v>
      </c>
      <c r="L585" s="11" t="s">
        <v>72</v>
      </c>
      <c r="M585" s="11" t="s">
        <v>73</v>
      </c>
      <c r="N585" s="11" t="s">
        <v>93</v>
      </c>
      <c r="O585" s="11" t="s">
        <v>94</v>
      </c>
      <c r="P585" s="11" t="s">
        <v>95</v>
      </c>
      <c r="Q585" s="13" t="n">
        <f aca="false">F585*H585</f>
        <v>39000000</v>
      </c>
      <c r="R585" s="13" t="n">
        <f aca="false">G585*H585</f>
        <v>34500000</v>
      </c>
      <c r="S585" s="13" t="n">
        <f aca="false">Q585-R585</f>
        <v>4500000</v>
      </c>
      <c r="T585" s="14" t="n">
        <f aca="false">IFERROR(S585/Q585,0)</f>
        <v>0.115384615384615</v>
      </c>
      <c r="U585" s="15" t="str">
        <f aca="false">TEXT(A585,"yyyy-mm")</f>
        <v>2022-07</v>
      </c>
    </row>
    <row r="586" customFormat="false" ht="15" hidden="false" customHeight="false" outlineLevel="0" collapsed="false">
      <c r="A586" s="10" t="n">
        <v>44768</v>
      </c>
      <c r="B586" s="11" t="s">
        <v>718</v>
      </c>
      <c r="C586" s="11" t="s">
        <v>92</v>
      </c>
      <c r="D586" s="11" t="s">
        <v>67</v>
      </c>
      <c r="E586" s="11" t="s">
        <v>79</v>
      </c>
      <c r="F586" s="12" t="n">
        <v>3577480</v>
      </c>
      <c r="G586" s="12" t="n">
        <v>3100000</v>
      </c>
      <c r="H586" s="11" t="n">
        <v>25</v>
      </c>
      <c r="I586" s="11" t="s">
        <v>69</v>
      </c>
      <c r="J586" s="11" t="s">
        <v>80</v>
      </c>
      <c r="K586" s="11" t="s">
        <v>81</v>
      </c>
      <c r="L586" s="11" t="s">
        <v>82</v>
      </c>
      <c r="M586" s="11" t="s">
        <v>73</v>
      </c>
      <c r="N586" s="11" t="s">
        <v>143</v>
      </c>
      <c r="O586" s="11" t="s">
        <v>144</v>
      </c>
      <c r="P586" s="11" t="s">
        <v>101</v>
      </c>
      <c r="Q586" s="13" t="n">
        <f aca="false">F586*H586</f>
        <v>89437000</v>
      </c>
      <c r="R586" s="13" t="n">
        <f aca="false">G586*H586</f>
        <v>77500000</v>
      </c>
      <c r="S586" s="13" t="n">
        <f aca="false">Q586-R586</f>
        <v>11937000</v>
      </c>
      <c r="T586" s="14" t="n">
        <f aca="false">IFERROR(S586/Q586,0)</f>
        <v>0.133468251394837</v>
      </c>
      <c r="U586" s="15" t="str">
        <f aca="false">TEXT(A586,"yyyy-mm")</f>
        <v>2022-07</v>
      </c>
    </row>
    <row r="587" customFormat="false" ht="15" hidden="false" customHeight="false" outlineLevel="0" collapsed="false">
      <c r="A587" s="10" t="n">
        <v>44768</v>
      </c>
      <c r="B587" s="11" t="s">
        <v>719</v>
      </c>
      <c r="C587" s="11" t="s">
        <v>97</v>
      </c>
      <c r="D587" s="11" t="s">
        <v>67</v>
      </c>
      <c r="E587" s="11" t="s">
        <v>98</v>
      </c>
      <c r="F587" s="12" t="n">
        <v>4969724</v>
      </c>
      <c r="G587" s="12" t="n">
        <v>4121560</v>
      </c>
      <c r="H587" s="11" t="n">
        <v>18</v>
      </c>
      <c r="I587" s="11" t="s">
        <v>69</v>
      </c>
      <c r="J587" s="11" t="s">
        <v>80</v>
      </c>
      <c r="K587" s="11" t="s">
        <v>81</v>
      </c>
      <c r="L587" s="11" t="s">
        <v>82</v>
      </c>
      <c r="M587" s="11" t="s">
        <v>73</v>
      </c>
      <c r="N587" s="11" t="s">
        <v>93</v>
      </c>
      <c r="O587" s="11" t="s">
        <v>94</v>
      </c>
      <c r="P587" s="11" t="s">
        <v>95</v>
      </c>
      <c r="Q587" s="13" t="n">
        <f aca="false">F587*H587</f>
        <v>89455032</v>
      </c>
      <c r="R587" s="13" t="n">
        <f aca="false">G587*H587</f>
        <v>74188080</v>
      </c>
      <c r="S587" s="13" t="n">
        <f aca="false">Q587-R587</f>
        <v>15266952</v>
      </c>
      <c r="T587" s="14" t="n">
        <f aca="false">IFERROR(S587/Q587,0)</f>
        <v>0.170666218083741</v>
      </c>
      <c r="U587" s="15" t="str">
        <f aca="false">TEXT(A587,"yyyy-mm")</f>
        <v>2022-07</v>
      </c>
    </row>
    <row r="588" customFormat="false" ht="15" hidden="false" customHeight="false" outlineLevel="0" collapsed="false">
      <c r="A588" s="10" t="n">
        <v>44768</v>
      </c>
      <c r="B588" s="11" t="s">
        <v>720</v>
      </c>
      <c r="C588" s="11" t="s">
        <v>103</v>
      </c>
      <c r="D588" s="11" t="s">
        <v>67</v>
      </c>
      <c r="E588" s="11" t="s">
        <v>68</v>
      </c>
      <c r="F588" s="12" t="n">
        <v>3319925</v>
      </c>
      <c r="G588" s="12" t="n">
        <v>2800000</v>
      </c>
      <c r="H588" s="11" t="n">
        <v>16</v>
      </c>
      <c r="I588" s="11" t="s">
        <v>69</v>
      </c>
      <c r="J588" s="11" t="s">
        <v>112</v>
      </c>
      <c r="K588" s="11" t="s">
        <v>113</v>
      </c>
      <c r="L588" s="11" t="s">
        <v>82</v>
      </c>
      <c r="M588" s="11" t="s">
        <v>157</v>
      </c>
      <c r="N588" s="11" t="s">
        <v>149</v>
      </c>
      <c r="O588" s="11" t="s">
        <v>150</v>
      </c>
      <c r="P588" s="11" t="s">
        <v>151</v>
      </c>
      <c r="Q588" s="13" t="n">
        <f aca="false">F588*H588</f>
        <v>53118800</v>
      </c>
      <c r="R588" s="13" t="n">
        <f aca="false">G588*H588</f>
        <v>44800000</v>
      </c>
      <c r="S588" s="13" t="n">
        <f aca="false">Q588-R588</f>
        <v>8318800</v>
      </c>
      <c r="T588" s="14" t="n">
        <f aca="false">IFERROR(S588/Q588,0)</f>
        <v>0.15660745348163</v>
      </c>
      <c r="U588" s="15" t="str">
        <f aca="false">TEXT(A588,"yyyy-mm")</f>
        <v>2022-07</v>
      </c>
    </row>
    <row r="589" customFormat="false" ht="15" hidden="false" customHeight="false" outlineLevel="0" collapsed="false">
      <c r="A589" s="10" t="n">
        <v>44768</v>
      </c>
      <c r="B589" s="11" t="s">
        <v>721</v>
      </c>
      <c r="C589" s="11" t="s">
        <v>108</v>
      </c>
      <c r="D589" s="11" t="s">
        <v>67</v>
      </c>
      <c r="E589" s="11" t="s">
        <v>68</v>
      </c>
      <c r="F589" s="12" t="n">
        <v>4757880</v>
      </c>
      <c r="G589" s="12" t="n">
        <v>3450000</v>
      </c>
      <c r="H589" s="11" t="n">
        <v>7</v>
      </c>
      <c r="I589" s="11" t="s">
        <v>69</v>
      </c>
      <c r="J589" s="11" t="s">
        <v>70</v>
      </c>
      <c r="K589" s="11" t="s">
        <v>71</v>
      </c>
      <c r="L589" s="11" t="s">
        <v>72</v>
      </c>
      <c r="M589" s="11" t="s">
        <v>73</v>
      </c>
      <c r="N589" s="11" t="s">
        <v>123</v>
      </c>
      <c r="O589" s="11" t="s">
        <v>60</v>
      </c>
      <c r="P589" s="11" t="s">
        <v>106</v>
      </c>
      <c r="Q589" s="13" t="n">
        <f aca="false">F589*H589</f>
        <v>33305160</v>
      </c>
      <c r="R589" s="13" t="n">
        <f aca="false">G589*H589</f>
        <v>24150000</v>
      </c>
      <c r="S589" s="13" t="n">
        <f aca="false">Q589-R589</f>
        <v>9155160</v>
      </c>
      <c r="T589" s="14" t="n">
        <f aca="false">IFERROR(S589/Q589,0)</f>
        <v>0.274887134606169</v>
      </c>
      <c r="U589" s="15" t="str">
        <f aca="false">TEXT(A589,"yyyy-mm")</f>
        <v>2022-07</v>
      </c>
    </row>
    <row r="590" customFormat="false" ht="15" hidden="false" customHeight="false" outlineLevel="0" collapsed="false">
      <c r="A590" s="10" t="n">
        <v>44769</v>
      </c>
      <c r="B590" s="11" t="s">
        <v>722</v>
      </c>
      <c r="C590" s="11" t="s">
        <v>111</v>
      </c>
      <c r="D590" s="11" t="s">
        <v>67</v>
      </c>
      <c r="E590" s="11" t="s">
        <v>79</v>
      </c>
      <c r="F590" s="12" t="n">
        <v>3545808</v>
      </c>
      <c r="G590" s="12" t="n">
        <v>3350000</v>
      </c>
      <c r="H590" s="11" t="n">
        <v>11</v>
      </c>
      <c r="I590" s="11" t="s">
        <v>69</v>
      </c>
      <c r="J590" s="11" t="s">
        <v>70</v>
      </c>
      <c r="K590" s="11" t="s">
        <v>71</v>
      </c>
      <c r="L590" s="11" t="s">
        <v>72</v>
      </c>
      <c r="M590" s="11" t="s">
        <v>73</v>
      </c>
      <c r="N590" s="11" t="s">
        <v>133</v>
      </c>
      <c r="O590" s="11" t="s">
        <v>60</v>
      </c>
      <c r="P590" s="11" t="s">
        <v>76</v>
      </c>
      <c r="Q590" s="13" t="n">
        <f aca="false">F590*H590</f>
        <v>39003888</v>
      </c>
      <c r="R590" s="13" t="n">
        <f aca="false">G590*H590</f>
        <v>36850000</v>
      </c>
      <c r="S590" s="13" t="n">
        <f aca="false">Q590-R590</f>
        <v>2153888</v>
      </c>
      <c r="T590" s="14" t="n">
        <f aca="false">IFERROR(S590/Q590,0)</f>
        <v>0.0552223921881839</v>
      </c>
      <c r="U590" s="15" t="str">
        <f aca="false">TEXT(A590,"yyyy-mm")</f>
        <v>2022-07</v>
      </c>
    </row>
    <row r="591" customFormat="false" ht="15" hidden="false" customHeight="false" outlineLevel="0" collapsed="false">
      <c r="A591" s="10" t="n">
        <v>44769</v>
      </c>
      <c r="B591" s="11" t="s">
        <v>723</v>
      </c>
      <c r="C591" s="11" t="s">
        <v>115</v>
      </c>
      <c r="D591" s="11" t="s">
        <v>67</v>
      </c>
      <c r="E591" s="11" t="s">
        <v>98</v>
      </c>
      <c r="F591" s="12" t="n">
        <v>4200743</v>
      </c>
      <c r="G591" s="12" t="n">
        <v>4101000</v>
      </c>
      <c r="H591" s="11" t="n">
        <v>8</v>
      </c>
      <c r="I591" s="11" t="s">
        <v>86</v>
      </c>
      <c r="J591" s="11" t="s">
        <v>87</v>
      </c>
      <c r="K591" s="11" t="s">
        <v>88</v>
      </c>
      <c r="L591" s="11" t="s">
        <v>89</v>
      </c>
      <c r="M591" s="11" t="s">
        <v>90</v>
      </c>
      <c r="N591" s="11" t="s">
        <v>143</v>
      </c>
      <c r="O591" s="11" t="s">
        <v>144</v>
      </c>
      <c r="P591" s="11" t="s">
        <v>101</v>
      </c>
      <c r="Q591" s="13" t="n">
        <f aca="false">F591*H591</f>
        <v>33605944</v>
      </c>
      <c r="R591" s="13" t="n">
        <f aca="false">G591*H591</f>
        <v>32808000</v>
      </c>
      <c r="S591" s="13" t="n">
        <f aca="false">Q591-R591</f>
        <v>797944</v>
      </c>
      <c r="T591" s="14" t="n">
        <f aca="false">IFERROR(S591/Q591,0)</f>
        <v>0.023744132883159</v>
      </c>
      <c r="U591" s="15" t="str">
        <f aca="false">TEXT(A591,"yyyy-mm")</f>
        <v>2022-07</v>
      </c>
    </row>
    <row r="592" customFormat="false" ht="15" hidden="false" customHeight="false" outlineLevel="0" collapsed="false">
      <c r="A592" s="10" t="n">
        <v>44770</v>
      </c>
      <c r="B592" s="11" t="s">
        <v>724</v>
      </c>
      <c r="C592" s="11" t="s">
        <v>117</v>
      </c>
      <c r="D592" s="11" t="s">
        <v>118</v>
      </c>
      <c r="E592" s="11" t="s">
        <v>119</v>
      </c>
      <c r="F592" s="12" t="n">
        <v>8220549</v>
      </c>
      <c r="G592" s="12" t="n">
        <v>6500000</v>
      </c>
      <c r="H592" s="11" t="n">
        <v>11</v>
      </c>
      <c r="I592" s="11" t="s">
        <v>69</v>
      </c>
      <c r="J592" s="11" t="s">
        <v>70</v>
      </c>
      <c r="K592" s="11" t="s">
        <v>71</v>
      </c>
      <c r="L592" s="11" t="s">
        <v>72</v>
      </c>
      <c r="M592" s="11" t="s">
        <v>73</v>
      </c>
      <c r="N592" s="11" t="s">
        <v>109</v>
      </c>
      <c r="O592" s="11" t="s">
        <v>75</v>
      </c>
      <c r="P592" s="11" t="s">
        <v>95</v>
      </c>
      <c r="Q592" s="13" t="n">
        <f aca="false">F592*H592</f>
        <v>90426039</v>
      </c>
      <c r="R592" s="13" t="n">
        <f aca="false">G592*H592</f>
        <v>71500000</v>
      </c>
      <c r="S592" s="13" t="n">
        <f aca="false">Q592-R592</f>
        <v>18926039</v>
      </c>
      <c r="T592" s="14" t="n">
        <f aca="false">IFERROR(S592/Q592,0)</f>
        <v>0.209298551714733</v>
      </c>
      <c r="U592" s="15" t="str">
        <f aca="false">TEXT(A592,"yyyy-mm")</f>
        <v>2022-07</v>
      </c>
    </row>
    <row r="593" customFormat="false" ht="15" hidden="false" customHeight="false" outlineLevel="0" collapsed="false">
      <c r="A593" s="10" t="n">
        <v>44770</v>
      </c>
      <c r="B593" s="11" t="s">
        <v>725</v>
      </c>
      <c r="C593" s="11" t="s">
        <v>121</v>
      </c>
      <c r="D593" s="11" t="s">
        <v>118</v>
      </c>
      <c r="E593" s="11" t="s">
        <v>122</v>
      </c>
      <c r="F593" s="12" t="n">
        <v>7687274</v>
      </c>
      <c r="G593" s="12" t="n">
        <v>6500000</v>
      </c>
      <c r="H593" s="11" t="n">
        <v>4</v>
      </c>
      <c r="I593" s="11" t="s">
        <v>69</v>
      </c>
      <c r="J593" s="11" t="s">
        <v>112</v>
      </c>
      <c r="K593" s="11" t="s">
        <v>113</v>
      </c>
      <c r="L593" s="11" t="s">
        <v>82</v>
      </c>
      <c r="M593" s="11" t="s">
        <v>157</v>
      </c>
      <c r="N593" s="11" t="s">
        <v>143</v>
      </c>
      <c r="O593" s="11" t="s">
        <v>144</v>
      </c>
      <c r="P593" s="11" t="s">
        <v>101</v>
      </c>
      <c r="Q593" s="13" t="n">
        <f aca="false">F593*H593</f>
        <v>30749096</v>
      </c>
      <c r="R593" s="13" t="n">
        <f aca="false">G593*H593</f>
        <v>26000000</v>
      </c>
      <c r="S593" s="13" t="n">
        <f aca="false">Q593-R593</f>
        <v>4749096</v>
      </c>
      <c r="T593" s="14" t="n">
        <f aca="false">IFERROR(S593/Q593,0)</f>
        <v>0.154446686822923</v>
      </c>
      <c r="U593" s="15" t="str">
        <f aca="false">TEXT(A593,"yyyy-mm")</f>
        <v>2022-07</v>
      </c>
    </row>
    <row r="594" customFormat="false" ht="15" hidden="false" customHeight="false" outlineLevel="0" collapsed="false">
      <c r="A594" s="10" t="n">
        <v>44771</v>
      </c>
      <c r="B594" s="11" t="s">
        <v>726</v>
      </c>
      <c r="C594" s="11" t="s">
        <v>125</v>
      </c>
      <c r="D594" s="11" t="s">
        <v>118</v>
      </c>
      <c r="E594" s="11" t="s">
        <v>126</v>
      </c>
      <c r="F594" s="12" t="n">
        <v>5684211</v>
      </c>
      <c r="G594" s="12" t="n">
        <v>4300000</v>
      </c>
      <c r="H594" s="11" t="n">
        <v>12</v>
      </c>
      <c r="I594" s="11" t="s">
        <v>69</v>
      </c>
      <c r="J594" s="11" t="s">
        <v>112</v>
      </c>
      <c r="K594" s="11" t="s">
        <v>113</v>
      </c>
      <c r="L594" s="11" t="s">
        <v>82</v>
      </c>
      <c r="M594" s="11" t="s">
        <v>157</v>
      </c>
      <c r="N594" s="11" t="s">
        <v>74</v>
      </c>
      <c r="O594" s="11" t="s">
        <v>75</v>
      </c>
      <c r="P594" s="11" t="s">
        <v>76</v>
      </c>
      <c r="Q594" s="13" t="n">
        <f aca="false">F594*H594</f>
        <v>68210532</v>
      </c>
      <c r="R594" s="13" t="n">
        <f aca="false">G594*H594</f>
        <v>51600000</v>
      </c>
      <c r="S594" s="13" t="n">
        <f aca="false">Q594-R594</f>
        <v>16610532</v>
      </c>
      <c r="T594" s="14" t="n">
        <f aca="false">IFERROR(S594/Q594,0)</f>
        <v>0.243518581558637</v>
      </c>
      <c r="U594" s="15" t="str">
        <f aca="false">TEXT(A594,"yyyy-mm")</f>
        <v>2022-07</v>
      </c>
    </row>
    <row r="595" customFormat="false" ht="15" hidden="false" customHeight="false" outlineLevel="0" collapsed="false">
      <c r="A595" s="10" t="n">
        <v>44771</v>
      </c>
      <c r="B595" s="11" t="s">
        <v>727</v>
      </c>
      <c r="C595" s="11" t="s">
        <v>128</v>
      </c>
      <c r="D595" s="11" t="s">
        <v>118</v>
      </c>
      <c r="E595" s="11" t="s">
        <v>119</v>
      </c>
      <c r="F595" s="12" t="n">
        <v>3370302</v>
      </c>
      <c r="G595" s="12" t="n">
        <v>2100000</v>
      </c>
      <c r="H595" s="11" t="n">
        <v>22</v>
      </c>
      <c r="I595" s="11" t="s">
        <v>69</v>
      </c>
      <c r="J595" s="11" t="s">
        <v>112</v>
      </c>
      <c r="K595" s="11" t="s">
        <v>113</v>
      </c>
      <c r="L595" s="11" t="s">
        <v>82</v>
      </c>
      <c r="M595" s="11" t="s">
        <v>157</v>
      </c>
      <c r="N595" s="11" t="s">
        <v>74</v>
      </c>
      <c r="O595" s="11" t="s">
        <v>75</v>
      </c>
      <c r="P595" s="11" t="s">
        <v>76</v>
      </c>
      <c r="Q595" s="13" t="n">
        <f aca="false">F595*H595</f>
        <v>74146644</v>
      </c>
      <c r="R595" s="13" t="n">
        <f aca="false">G595*H595</f>
        <v>46200000</v>
      </c>
      <c r="S595" s="13" t="n">
        <f aca="false">Q595-R595</f>
        <v>27946644</v>
      </c>
      <c r="T595" s="14" t="n">
        <f aca="false">IFERROR(S595/Q595,0)</f>
        <v>0.37691043710623</v>
      </c>
      <c r="U595" s="15" t="str">
        <f aca="false">TEXT(A595,"yyyy-mm")</f>
        <v>2022-07</v>
      </c>
    </row>
    <row r="596" customFormat="false" ht="15" hidden="false" customHeight="false" outlineLevel="0" collapsed="false">
      <c r="A596" s="10" t="n">
        <v>44773</v>
      </c>
      <c r="B596" s="11" t="s">
        <v>728</v>
      </c>
      <c r="C596" s="11" t="s">
        <v>130</v>
      </c>
      <c r="D596" s="11" t="s">
        <v>118</v>
      </c>
      <c r="E596" s="11" t="s">
        <v>68</v>
      </c>
      <c r="F596" s="12" t="n">
        <v>2852897</v>
      </c>
      <c r="G596" s="12" t="n">
        <v>2450000</v>
      </c>
      <c r="H596" s="11" t="n">
        <v>15</v>
      </c>
      <c r="I596" s="11" t="s">
        <v>69</v>
      </c>
      <c r="J596" s="11" t="s">
        <v>112</v>
      </c>
      <c r="K596" s="11" t="s">
        <v>113</v>
      </c>
      <c r="L596" s="11" t="s">
        <v>82</v>
      </c>
      <c r="M596" s="11" t="s">
        <v>157</v>
      </c>
      <c r="N596" s="11" t="s">
        <v>173</v>
      </c>
      <c r="O596" s="11" t="s">
        <v>174</v>
      </c>
      <c r="P596" s="11" t="s">
        <v>95</v>
      </c>
      <c r="Q596" s="13" t="n">
        <f aca="false">F596*H596</f>
        <v>42793455</v>
      </c>
      <c r="R596" s="13" t="n">
        <f aca="false">G596*H596</f>
        <v>36750000</v>
      </c>
      <c r="S596" s="13" t="n">
        <f aca="false">Q596-R596</f>
        <v>6043455</v>
      </c>
      <c r="T596" s="14" t="n">
        <f aca="false">IFERROR(S596/Q596,0)</f>
        <v>0.141223815651249</v>
      </c>
      <c r="U596" s="15" t="str">
        <f aca="false">TEXT(A596,"yyyy-mm")</f>
        <v>2022-07</v>
      </c>
    </row>
    <row r="597" customFormat="false" ht="15" hidden="false" customHeight="false" outlineLevel="0" collapsed="false">
      <c r="A597" s="10" t="n">
        <v>44774</v>
      </c>
      <c r="B597" s="11" t="s">
        <v>729</v>
      </c>
      <c r="C597" s="11" t="s">
        <v>132</v>
      </c>
      <c r="D597" s="11" t="s">
        <v>118</v>
      </c>
      <c r="E597" s="11" t="s">
        <v>68</v>
      </c>
      <c r="F597" s="12" t="n">
        <v>4803603</v>
      </c>
      <c r="G597" s="12" t="n">
        <v>4121000</v>
      </c>
      <c r="H597" s="11" t="n">
        <v>17</v>
      </c>
      <c r="I597" s="11" t="s">
        <v>86</v>
      </c>
      <c r="J597" s="11" t="s">
        <v>87</v>
      </c>
      <c r="K597" s="11" t="s">
        <v>88</v>
      </c>
      <c r="L597" s="11" t="s">
        <v>89</v>
      </c>
      <c r="M597" s="11" t="s">
        <v>90</v>
      </c>
      <c r="N597" s="11" t="s">
        <v>109</v>
      </c>
      <c r="O597" s="11" t="s">
        <v>75</v>
      </c>
      <c r="P597" s="11" t="s">
        <v>95</v>
      </c>
      <c r="Q597" s="13" t="n">
        <f aca="false">F597*H597</f>
        <v>81661251</v>
      </c>
      <c r="R597" s="13" t="n">
        <f aca="false">G597*H597</f>
        <v>70057000</v>
      </c>
      <c r="S597" s="13" t="n">
        <f aca="false">Q597-R597</f>
        <v>11604251</v>
      </c>
      <c r="T597" s="14" t="n">
        <f aca="false">IFERROR(S597/Q597,0)</f>
        <v>0.142102292799801</v>
      </c>
      <c r="U597" s="15" t="str">
        <f aca="false">TEXT(A597,"yyyy-mm")</f>
        <v>2022-08</v>
      </c>
    </row>
    <row r="598" customFormat="false" ht="15" hidden="false" customHeight="false" outlineLevel="0" collapsed="false">
      <c r="A598" s="10" t="n">
        <v>44777</v>
      </c>
      <c r="B598" s="11" t="s">
        <v>730</v>
      </c>
      <c r="C598" s="11" t="s">
        <v>135</v>
      </c>
      <c r="D598" s="11" t="s">
        <v>118</v>
      </c>
      <c r="E598" s="11" t="s">
        <v>68</v>
      </c>
      <c r="F598" s="12" t="n">
        <v>5689947</v>
      </c>
      <c r="G598" s="12" t="n">
        <v>5235000</v>
      </c>
      <c r="H598" s="11" t="n">
        <v>13</v>
      </c>
      <c r="I598" s="11" t="s">
        <v>69</v>
      </c>
      <c r="J598" s="11" t="s">
        <v>70</v>
      </c>
      <c r="K598" s="11" t="s">
        <v>71</v>
      </c>
      <c r="L598" s="11" t="s">
        <v>72</v>
      </c>
      <c r="M598" s="11" t="s">
        <v>73</v>
      </c>
      <c r="N598" s="11" t="s">
        <v>133</v>
      </c>
      <c r="O598" s="11" t="s">
        <v>60</v>
      </c>
      <c r="P598" s="11" t="s">
        <v>76</v>
      </c>
      <c r="Q598" s="13" t="n">
        <f aca="false">F598*H598</f>
        <v>73969311</v>
      </c>
      <c r="R598" s="13" t="n">
        <f aca="false">G598*H598</f>
        <v>68055000</v>
      </c>
      <c r="S598" s="13" t="n">
        <f aca="false">Q598-R598</f>
        <v>5914311</v>
      </c>
      <c r="T598" s="14" t="n">
        <f aca="false">IFERROR(S598/Q598,0)</f>
        <v>0.0799562807878527</v>
      </c>
      <c r="U598" s="15" t="str">
        <f aca="false">TEXT(A598,"yyyy-mm")</f>
        <v>2022-08</v>
      </c>
    </row>
    <row r="599" customFormat="false" ht="15" hidden="false" customHeight="false" outlineLevel="0" collapsed="false">
      <c r="A599" s="10" t="n">
        <v>44777</v>
      </c>
      <c r="B599" s="11" t="s">
        <v>731</v>
      </c>
      <c r="C599" s="11" t="s">
        <v>137</v>
      </c>
      <c r="D599" s="11" t="s">
        <v>138</v>
      </c>
      <c r="E599" s="11" t="s">
        <v>139</v>
      </c>
      <c r="F599" s="12" t="n">
        <v>5171827</v>
      </c>
      <c r="G599" s="12" t="n">
        <v>4890000</v>
      </c>
      <c r="H599" s="11" t="n">
        <v>1</v>
      </c>
      <c r="I599" s="11" t="s">
        <v>69</v>
      </c>
      <c r="J599" s="11" t="s">
        <v>112</v>
      </c>
      <c r="K599" s="11" t="s">
        <v>113</v>
      </c>
      <c r="L599" s="11" t="s">
        <v>82</v>
      </c>
      <c r="M599" s="11" t="s">
        <v>157</v>
      </c>
      <c r="N599" s="11" t="s">
        <v>74</v>
      </c>
      <c r="O599" s="11" t="s">
        <v>75</v>
      </c>
      <c r="P599" s="11" t="s">
        <v>76</v>
      </c>
      <c r="Q599" s="13" t="n">
        <f aca="false">F599*H599</f>
        <v>5171827</v>
      </c>
      <c r="R599" s="13" t="n">
        <f aca="false">G599*H599</f>
        <v>4890000</v>
      </c>
      <c r="S599" s="13" t="n">
        <f aca="false">Q599-R599</f>
        <v>281827</v>
      </c>
      <c r="T599" s="14" t="n">
        <f aca="false">IFERROR(S599/Q599,0)</f>
        <v>0.0544927353525166</v>
      </c>
      <c r="U599" s="15" t="str">
        <f aca="false">TEXT(A599,"yyyy-mm")</f>
        <v>2022-08</v>
      </c>
    </row>
    <row r="600" customFormat="false" ht="15" hidden="false" customHeight="false" outlineLevel="0" collapsed="false">
      <c r="A600" s="10" t="n">
        <v>44777</v>
      </c>
      <c r="B600" s="11" t="s">
        <v>732</v>
      </c>
      <c r="C600" s="11" t="s">
        <v>141</v>
      </c>
      <c r="D600" s="11" t="s">
        <v>138</v>
      </c>
      <c r="E600" s="11" t="s">
        <v>142</v>
      </c>
      <c r="F600" s="12" t="n">
        <v>2805124</v>
      </c>
      <c r="G600" s="12" t="n">
        <v>2178000</v>
      </c>
      <c r="H600" s="11" t="n">
        <v>29</v>
      </c>
      <c r="I600" s="11" t="s">
        <v>69</v>
      </c>
      <c r="J600" s="11" t="s">
        <v>80</v>
      </c>
      <c r="K600" s="11" t="s">
        <v>81</v>
      </c>
      <c r="L600" s="11" t="s">
        <v>82</v>
      </c>
      <c r="M600" s="11" t="s">
        <v>73</v>
      </c>
      <c r="N600" s="11" t="s">
        <v>123</v>
      </c>
      <c r="O600" s="11" t="s">
        <v>60</v>
      </c>
      <c r="P600" s="11" t="s">
        <v>106</v>
      </c>
      <c r="Q600" s="13" t="n">
        <f aca="false">F600*H600</f>
        <v>81348596</v>
      </c>
      <c r="R600" s="13" t="n">
        <f aca="false">G600*H600</f>
        <v>63162000</v>
      </c>
      <c r="S600" s="13" t="n">
        <f aca="false">Q600-R600</f>
        <v>18186596</v>
      </c>
      <c r="T600" s="14" t="n">
        <f aca="false">IFERROR(S600/Q600,0)</f>
        <v>0.22356373550688</v>
      </c>
      <c r="U600" s="15" t="str">
        <f aca="false">TEXT(A600,"yyyy-mm")</f>
        <v>2022-08</v>
      </c>
    </row>
    <row r="601" customFormat="false" ht="15" hidden="false" customHeight="false" outlineLevel="0" collapsed="false">
      <c r="A601" s="10" t="n">
        <v>44777</v>
      </c>
      <c r="B601" s="11" t="s">
        <v>733</v>
      </c>
      <c r="C601" s="11" t="s">
        <v>146</v>
      </c>
      <c r="D601" s="11" t="s">
        <v>138</v>
      </c>
      <c r="E601" s="11" t="s">
        <v>139</v>
      </c>
      <c r="F601" s="12" t="n">
        <v>2728100</v>
      </c>
      <c r="G601" s="12" t="n">
        <v>2321000</v>
      </c>
      <c r="H601" s="11" t="n">
        <v>8</v>
      </c>
      <c r="I601" s="11" t="s">
        <v>69</v>
      </c>
      <c r="J601" s="11" t="s">
        <v>70</v>
      </c>
      <c r="K601" s="11" t="s">
        <v>71</v>
      </c>
      <c r="L601" s="11" t="s">
        <v>72</v>
      </c>
      <c r="M601" s="11" t="s">
        <v>73</v>
      </c>
      <c r="N601" s="11" t="s">
        <v>173</v>
      </c>
      <c r="O601" s="11" t="s">
        <v>174</v>
      </c>
      <c r="P601" s="11" t="s">
        <v>95</v>
      </c>
      <c r="Q601" s="13" t="n">
        <f aca="false">F601*H601</f>
        <v>21824800</v>
      </c>
      <c r="R601" s="13" t="n">
        <f aca="false">G601*H601</f>
        <v>18568000</v>
      </c>
      <c r="S601" s="13" t="n">
        <f aca="false">Q601-R601</f>
        <v>3256800</v>
      </c>
      <c r="T601" s="14" t="n">
        <f aca="false">IFERROR(S601/Q601,0)</f>
        <v>0.149224735163667</v>
      </c>
      <c r="U601" s="15" t="str">
        <f aca="false">TEXT(A601,"yyyy-mm")</f>
        <v>2022-08</v>
      </c>
    </row>
    <row r="602" customFormat="false" ht="15" hidden="false" customHeight="false" outlineLevel="0" collapsed="false">
      <c r="A602" s="10" t="n">
        <v>44777</v>
      </c>
      <c r="B602" s="11" t="s">
        <v>734</v>
      </c>
      <c r="C602" s="11" t="s">
        <v>148</v>
      </c>
      <c r="D602" s="11" t="s">
        <v>138</v>
      </c>
      <c r="E602" s="11" t="s">
        <v>122</v>
      </c>
      <c r="F602" s="12" t="n">
        <v>4941716</v>
      </c>
      <c r="G602" s="12" t="n">
        <v>4456000</v>
      </c>
      <c r="H602" s="11" t="n">
        <v>18</v>
      </c>
      <c r="I602" s="11" t="s">
        <v>69</v>
      </c>
      <c r="J602" s="11" t="s">
        <v>80</v>
      </c>
      <c r="K602" s="11" t="s">
        <v>81</v>
      </c>
      <c r="L602" s="11" t="s">
        <v>82</v>
      </c>
      <c r="M602" s="11" t="s">
        <v>73</v>
      </c>
      <c r="N602" s="11" t="s">
        <v>93</v>
      </c>
      <c r="O602" s="11" t="s">
        <v>94</v>
      </c>
      <c r="P602" s="11" t="s">
        <v>95</v>
      </c>
      <c r="Q602" s="13" t="n">
        <f aca="false">F602*H602</f>
        <v>88950888</v>
      </c>
      <c r="R602" s="13" t="n">
        <f aca="false">G602*H602</f>
        <v>80208000</v>
      </c>
      <c r="S602" s="13" t="n">
        <f aca="false">Q602-R602</f>
        <v>8742888</v>
      </c>
      <c r="T602" s="14" t="n">
        <f aca="false">IFERROR(S602/Q602,0)</f>
        <v>0.0982889344511097</v>
      </c>
      <c r="U602" s="15" t="str">
        <f aca="false">TEXT(A602,"yyyy-mm")</f>
        <v>2022-08</v>
      </c>
    </row>
    <row r="603" customFormat="false" ht="15" hidden="false" customHeight="false" outlineLevel="0" collapsed="false">
      <c r="A603" s="10" t="n">
        <v>44777</v>
      </c>
      <c r="B603" s="11" t="s">
        <v>735</v>
      </c>
      <c r="C603" s="11" t="s">
        <v>66</v>
      </c>
      <c r="D603" s="11" t="s">
        <v>67</v>
      </c>
      <c r="E603" s="11" t="s">
        <v>68</v>
      </c>
      <c r="F603" s="12" t="n">
        <v>3048952</v>
      </c>
      <c r="G603" s="12" t="n">
        <v>2560000</v>
      </c>
      <c r="H603" s="11" t="n">
        <v>16</v>
      </c>
      <c r="I603" s="11" t="s">
        <v>86</v>
      </c>
      <c r="J603" s="11" t="s">
        <v>87</v>
      </c>
      <c r="K603" s="11" t="s">
        <v>88</v>
      </c>
      <c r="L603" s="11" t="s">
        <v>89</v>
      </c>
      <c r="M603" s="11" t="s">
        <v>90</v>
      </c>
      <c r="N603" s="11" t="s">
        <v>123</v>
      </c>
      <c r="O603" s="11" t="s">
        <v>60</v>
      </c>
      <c r="P603" s="11" t="s">
        <v>106</v>
      </c>
      <c r="Q603" s="13" t="n">
        <f aca="false">F603*H603</f>
        <v>48783232</v>
      </c>
      <c r="R603" s="13" t="n">
        <f aca="false">G603*H603</f>
        <v>40960000</v>
      </c>
      <c r="S603" s="13" t="n">
        <f aca="false">Q603-R603</f>
        <v>7823232</v>
      </c>
      <c r="T603" s="14" t="n">
        <f aca="false">IFERROR(S603/Q603,0)</f>
        <v>0.160367234380863</v>
      </c>
      <c r="U603" s="15" t="str">
        <f aca="false">TEXT(A603,"yyyy-mm")</f>
        <v>2022-08</v>
      </c>
    </row>
    <row r="604" customFormat="false" ht="15" hidden="false" customHeight="false" outlineLevel="0" collapsed="false">
      <c r="A604" s="10" t="n">
        <v>44777</v>
      </c>
      <c r="B604" s="11" t="s">
        <v>736</v>
      </c>
      <c r="C604" s="11" t="s">
        <v>78</v>
      </c>
      <c r="D604" s="11" t="s">
        <v>67</v>
      </c>
      <c r="E604" s="11" t="s">
        <v>79</v>
      </c>
      <c r="F604" s="12" t="n">
        <v>1870000</v>
      </c>
      <c r="G604" s="12" t="n">
        <v>1650000</v>
      </c>
      <c r="H604" s="11" t="n">
        <v>22</v>
      </c>
      <c r="I604" s="11" t="s">
        <v>69</v>
      </c>
      <c r="J604" s="11" t="s">
        <v>112</v>
      </c>
      <c r="K604" s="11" t="s">
        <v>113</v>
      </c>
      <c r="L604" s="11" t="s">
        <v>82</v>
      </c>
      <c r="M604" s="11" t="s">
        <v>157</v>
      </c>
      <c r="N604" s="11" t="s">
        <v>133</v>
      </c>
      <c r="O604" s="11" t="s">
        <v>60</v>
      </c>
      <c r="P604" s="11" t="s">
        <v>76</v>
      </c>
      <c r="Q604" s="13" t="n">
        <f aca="false">F604*H604</f>
        <v>41140000</v>
      </c>
      <c r="R604" s="13" t="n">
        <f aca="false">G604*H604</f>
        <v>36300000</v>
      </c>
      <c r="S604" s="13" t="n">
        <f aca="false">Q604-R604</f>
        <v>4840000</v>
      </c>
      <c r="T604" s="14" t="n">
        <f aca="false">IFERROR(S604/Q604,0)</f>
        <v>0.117647058823529</v>
      </c>
      <c r="U604" s="15" t="str">
        <f aca="false">TEXT(A604,"yyyy-mm")</f>
        <v>2022-08</v>
      </c>
    </row>
    <row r="605" customFormat="false" ht="15" hidden="false" customHeight="false" outlineLevel="0" collapsed="false">
      <c r="A605" s="10" t="n">
        <v>44777</v>
      </c>
      <c r="B605" s="11" t="s">
        <v>737</v>
      </c>
      <c r="C605" s="11" t="s">
        <v>84</v>
      </c>
      <c r="D605" s="11" t="s">
        <v>67</v>
      </c>
      <c r="E605" s="11" t="s">
        <v>85</v>
      </c>
      <c r="F605" s="12" t="n">
        <v>2600000</v>
      </c>
      <c r="G605" s="12" t="n">
        <v>2300000</v>
      </c>
      <c r="H605" s="11" t="n">
        <v>10</v>
      </c>
      <c r="I605" s="11" t="s">
        <v>86</v>
      </c>
      <c r="J605" s="11" t="s">
        <v>87</v>
      </c>
      <c r="K605" s="11" t="s">
        <v>88</v>
      </c>
      <c r="L605" s="11" t="s">
        <v>89</v>
      </c>
      <c r="M605" s="11" t="s">
        <v>90</v>
      </c>
      <c r="N605" s="11" t="s">
        <v>74</v>
      </c>
      <c r="O605" s="11" t="s">
        <v>75</v>
      </c>
      <c r="P605" s="11" t="s">
        <v>76</v>
      </c>
      <c r="Q605" s="13" t="n">
        <f aca="false">F605*H605</f>
        <v>26000000</v>
      </c>
      <c r="R605" s="13" t="n">
        <f aca="false">G605*H605</f>
        <v>23000000</v>
      </c>
      <c r="S605" s="13" t="n">
        <f aca="false">Q605-R605</f>
        <v>3000000</v>
      </c>
      <c r="T605" s="14" t="n">
        <f aca="false">IFERROR(S605/Q605,0)</f>
        <v>0.115384615384615</v>
      </c>
      <c r="U605" s="15" t="str">
        <f aca="false">TEXT(A605,"yyyy-mm")</f>
        <v>2022-08</v>
      </c>
    </row>
    <row r="606" customFormat="false" ht="15" hidden="false" customHeight="false" outlineLevel="0" collapsed="false">
      <c r="A606" s="10" t="n">
        <v>44777</v>
      </c>
      <c r="B606" s="11" t="s">
        <v>738</v>
      </c>
      <c r="C606" s="11" t="s">
        <v>92</v>
      </c>
      <c r="D606" s="11" t="s">
        <v>67</v>
      </c>
      <c r="E606" s="11" t="s">
        <v>79</v>
      </c>
      <c r="F606" s="12" t="n">
        <v>3577480</v>
      </c>
      <c r="G606" s="12" t="n">
        <v>3100000</v>
      </c>
      <c r="H606" s="11" t="n">
        <v>11</v>
      </c>
      <c r="I606" s="11" t="s">
        <v>69</v>
      </c>
      <c r="J606" s="11" t="s">
        <v>112</v>
      </c>
      <c r="K606" s="11" t="s">
        <v>113</v>
      </c>
      <c r="L606" s="11" t="s">
        <v>82</v>
      </c>
      <c r="M606" s="11" t="s">
        <v>157</v>
      </c>
      <c r="N606" s="11" t="s">
        <v>149</v>
      </c>
      <c r="O606" s="11" t="s">
        <v>150</v>
      </c>
      <c r="P606" s="11" t="s">
        <v>151</v>
      </c>
      <c r="Q606" s="13" t="n">
        <f aca="false">F606*H606</f>
        <v>39352280</v>
      </c>
      <c r="R606" s="13" t="n">
        <f aca="false">G606*H606</f>
        <v>34100000</v>
      </c>
      <c r="S606" s="13" t="n">
        <f aca="false">Q606-R606</f>
        <v>5252280</v>
      </c>
      <c r="T606" s="14" t="n">
        <f aca="false">IFERROR(S606/Q606,0)</f>
        <v>0.133468251394837</v>
      </c>
      <c r="U606" s="15" t="str">
        <f aca="false">TEXT(A606,"yyyy-mm")</f>
        <v>2022-08</v>
      </c>
    </row>
    <row r="607" customFormat="false" ht="15" hidden="false" customHeight="false" outlineLevel="0" collapsed="false">
      <c r="A607" s="10" t="n">
        <v>44778</v>
      </c>
      <c r="B607" s="11" t="s">
        <v>739</v>
      </c>
      <c r="C607" s="11" t="s">
        <v>97</v>
      </c>
      <c r="D607" s="11" t="s">
        <v>67</v>
      </c>
      <c r="E607" s="11" t="s">
        <v>98</v>
      </c>
      <c r="F607" s="12" t="n">
        <v>4969724</v>
      </c>
      <c r="G607" s="12" t="n">
        <v>4121560</v>
      </c>
      <c r="H607" s="11" t="n">
        <v>4</v>
      </c>
      <c r="I607" s="11" t="s">
        <v>69</v>
      </c>
      <c r="J607" s="11" t="s">
        <v>70</v>
      </c>
      <c r="K607" s="11" t="s">
        <v>71</v>
      </c>
      <c r="L607" s="11" t="s">
        <v>72</v>
      </c>
      <c r="M607" s="11" t="s">
        <v>73</v>
      </c>
      <c r="N607" s="11" t="s">
        <v>149</v>
      </c>
      <c r="O607" s="11" t="s">
        <v>150</v>
      </c>
      <c r="P607" s="11" t="s">
        <v>151</v>
      </c>
      <c r="Q607" s="13" t="n">
        <f aca="false">F607*H607</f>
        <v>19878896</v>
      </c>
      <c r="R607" s="13" t="n">
        <f aca="false">G607*H607</f>
        <v>16486240</v>
      </c>
      <c r="S607" s="13" t="n">
        <f aca="false">Q607-R607</f>
        <v>3392656</v>
      </c>
      <c r="T607" s="14" t="n">
        <f aca="false">IFERROR(S607/Q607,0)</f>
        <v>0.170666218083741</v>
      </c>
      <c r="U607" s="15" t="str">
        <f aca="false">TEXT(A607,"yyyy-mm")</f>
        <v>2022-08</v>
      </c>
    </row>
    <row r="608" customFormat="false" ht="15" hidden="false" customHeight="false" outlineLevel="0" collapsed="false">
      <c r="A608" s="10" t="n">
        <v>44779</v>
      </c>
      <c r="B608" s="11" t="s">
        <v>740</v>
      </c>
      <c r="C608" s="11" t="s">
        <v>103</v>
      </c>
      <c r="D608" s="11" t="s">
        <v>67</v>
      </c>
      <c r="E608" s="11" t="s">
        <v>68</v>
      </c>
      <c r="F608" s="12" t="n">
        <v>3319925</v>
      </c>
      <c r="G608" s="12" t="n">
        <v>2800000</v>
      </c>
      <c r="H608" s="11" t="n">
        <v>11</v>
      </c>
      <c r="I608" s="11" t="s">
        <v>69</v>
      </c>
      <c r="J608" s="11" t="s">
        <v>70</v>
      </c>
      <c r="K608" s="11" t="s">
        <v>71</v>
      </c>
      <c r="L608" s="11" t="s">
        <v>72</v>
      </c>
      <c r="M608" s="11" t="s">
        <v>73</v>
      </c>
      <c r="N608" s="11" t="s">
        <v>133</v>
      </c>
      <c r="O608" s="11" t="s">
        <v>60</v>
      </c>
      <c r="P608" s="11" t="s">
        <v>76</v>
      </c>
      <c r="Q608" s="13" t="n">
        <f aca="false">F608*H608</f>
        <v>36519175</v>
      </c>
      <c r="R608" s="13" t="n">
        <f aca="false">G608*H608</f>
        <v>30800000</v>
      </c>
      <c r="S608" s="13" t="n">
        <f aca="false">Q608-R608</f>
        <v>5719175</v>
      </c>
      <c r="T608" s="14" t="n">
        <f aca="false">IFERROR(S608/Q608,0)</f>
        <v>0.15660745348163</v>
      </c>
      <c r="U608" s="15" t="str">
        <f aca="false">TEXT(A608,"yyyy-mm")</f>
        <v>2022-08</v>
      </c>
    </row>
    <row r="609" customFormat="false" ht="15" hidden="false" customHeight="false" outlineLevel="0" collapsed="false">
      <c r="A609" s="10" t="n">
        <v>44779</v>
      </c>
      <c r="B609" s="11" t="s">
        <v>741</v>
      </c>
      <c r="C609" s="11" t="s">
        <v>108</v>
      </c>
      <c r="D609" s="11" t="s">
        <v>67</v>
      </c>
      <c r="E609" s="11" t="s">
        <v>68</v>
      </c>
      <c r="F609" s="12" t="n">
        <v>4757880</v>
      </c>
      <c r="G609" s="12" t="n">
        <v>3450000</v>
      </c>
      <c r="H609" s="11" t="n">
        <v>9</v>
      </c>
      <c r="I609" s="11" t="s">
        <v>69</v>
      </c>
      <c r="J609" s="11" t="s">
        <v>70</v>
      </c>
      <c r="K609" s="11" t="s">
        <v>71</v>
      </c>
      <c r="L609" s="11" t="s">
        <v>72</v>
      </c>
      <c r="M609" s="11" t="s">
        <v>73</v>
      </c>
      <c r="N609" s="11" t="s">
        <v>104</v>
      </c>
      <c r="O609" s="11" t="s">
        <v>105</v>
      </c>
      <c r="P609" s="11" t="s">
        <v>106</v>
      </c>
      <c r="Q609" s="13" t="n">
        <f aca="false">F609*H609</f>
        <v>42820920</v>
      </c>
      <c r="R609" s="13" t="n">
        <f aca="false">G609*H609</f>
        <v>31050000</v>
      </c>
      <c r="S609" s="13" t="n">
        <f aca="false">Q609-R609</f>
        <v>11770920</v>
      </c>
      <c r="T609" s="14" t="n">
        <f aca="false">IFERROR(S609/Q609,0)</f>
        <v>0.274887134606169</v>
      </c>
      <c r="U609" s="15" t="str">
        <f aca="false">TEXT(A609,"yyyy-mm")</f>
        <v>2022-08</v>
      </c>
    </row>
    <row r="610" customFormat="false" ht="15" hidden="false" customHeight="false" outlineLevel="0" collapsed="false">
      <c r="A610" s="10" t="n">
        <v>44780</v>
      </c>
      <c r="B610" s="11" t="s">
        <v>742</v>
      </c>
      <c r="C610" s="11" t="s">
        <v>111</v>
      </c>
      <c r="D610" s="11" t="s">
        <v>67</v>
      </c>
      <c r="E610" s="11" t="s">
        <v>79</v>
      </c>
      <c r="F610" s="12" t="n">
        <v>3545808</v>
      </c>
      <c r="G610" s="12" t="n">
        <v>3350000</v>
      </c>
      <c r="H610" s="11" t="n">
        <v>15</v>
      </c>
      <c r="I610" s="11" t="s">
        <v>86</v>
      </c>
      <c r="J610" s="11" t="s">
        <v>87</v>
      </c>
      <c r="K610" s="11" t="s">
        <v>88</v>
      </c>
      <c r="L610" s="11" t="s">
        <v>89</v>
      </c>
      <c r="M610" s="11" t="s">
        <v>90</v>
      </c>
      <c r="N610" s="11" t="s">
        <v>99</v>
      </c>
      <c r="O610" s="11" t="s">
        <v>100</v>
      </c>
      <c r="P610" s="11" t="s">
        <v>101</v>
      </c>
      <c r="Q610" s="13" t="n">
        <f aca="false">F610*H610</f>
        <v>53187120</v>
      </c>
      <c r="R610" s="13" t="n">
        <f aca="false">G610*H610</f>
        <v>50250000</v>
      </c>
      <c r="S610" s="13" t="n">
        <f aca="false">Q610-R610</f>
        <v>2937120</v>
      </c>
      <c r="T610" s="14" t="n">
        <f aca="false">IFERROR(S610/Q610,0)</f>
        <v>0.0552223921881839</v>
      </c>
      <c r="U610" s="15" t="str">
        <f aca="false">TEXT(A610,"yyyy-mm")</f>
        <v>2022-08</v>
      </c>
    </row>
    <row r="611" customFormat="false" ht="15" hidden="false" customHeight="false" outlineLevel="0" collapsed="false">
      <c r="A611" s="10" t="n">
        <v>44780</v>
      </c>
      <c r="B611" s="11" t="s">
        <v>743</v>
      </c>
      <c r="C611" s="11" t="s">
        <v>115</v>
      </c>
      <c r="D611" s="11" t="s">
        <v>67</v>
      </c>
      <c r="E611" s="11" t="s">
        <v>98</v>
      </c>
      <c r="F611" s="12" t="n">
        <v>4200743</v>
      </c>
      <c r="G611" s="12" t="n">
        <v>4101000</v>
      </c>
      <c r="H611" s="11" t="n">
        <v>3</v>
      </c>
      <c r="I611" s="11" t="s">
        <v>86</v>
      </c>
      <c r="J611" s="11" t="s">
        <v>87</v>
      </c>
      <c r="K611" s="11" t="s">
        <v>88</v>
      </c>
      <c r="L611" s="11" t="s">
        <v>89</v>
      </c>
      <c r="M611" s="11" t="s">
        <v>90</v>
      </c>
      <c r="N611" s="11" t="s">
        <v>123</v>
      </c>
      <c r="O611" s="11" t="s">
        <v>60</v>
      </c>
      <c r="P611" s="11" t="s">
        <v>106</v>
      </c>
      <c r="Q611" s="13" t="n">
        <f aca="false">F611*H611</f>
        <v>12602229</v>
      </c>
      <c r="R611" s="13" t="n">
        <f aca="false">G611*H611</f>
        <v>12303000</v>
      </c>
      <c r="S611" s="13" t="n">
        <f aca="false">Q611-R611</f>
        <v>299229</v>
      </c>
      <c r="T611" s="14" t="n">
        <f aca="false">IFERROR(S611/Q611,0)</f>
        <v>0.023744132883159</v>
      </c>
      <c r="U611" s="15" t="str">
        <f aca="false">TEXT(A611,"yyyy-mm")</f>
        <v>2022-08</v>
      </c>
    </row>
    <row r="612" customFormat="false" ht="15" hidden="false" customHeight="false" outlineLevel="0" collapsed="false">
      <c r="A612" s="10" t="n">
        <v>44780</v>
      </c>
      <c r="B612" s="11" t="s">
        <v>744</v>
      </c>
      <c r="C612" s="11" t="s">
        <v>117</v>
      </c>
      <c r="D612" s="11" t="s">
        <v>118</v>
      </c>
      <c r="E612" s="11" t="s">
        <v>119</v>
      </c>
      <c r="F612" s="12" t="n">
        <v>8220549</v>
      </c>
      <c r="G612" s="12" t="n">
        <v>6500000</v>
      </c>
      <c r="H612" s="11" t="n">
        <v>6</v>
      </c>
      <c r="I612" s="11" t="s">
        <v>69</v>
      </c>
      <c r="J612" s="11" t="s">
        <v>80</v>
      </c>
      <c r="K612" s="11" t="s">
        <v>81</v>
      </c>
      <c r="L612" s="11" t="s">
        <v>82</v>
      </c>
      <c r="M612" s="11" t="s">
        <v>73</v>
      </c>
      <c r="N612" s="11" t="s">
        <v>143</v>
      </c>
      <c r="O612" s="11" t="s">
        <v>144</v>
      </c>
      <c r="P612" s="11" t="s">
        <v>101</v>
      </c>
      <c r="Q612" s="13" t="n">
        <f aca="false">F612*H612</f>
        <v>49323294</v>
      </c>
      <c r="R612" s="13" t="n">
        <f aca="false">G612*H612</f>
        <v>39000000</v>
      </c>
      <c r="S612" s="13" t="n">
        <f aca="false">Q612-R612</f>
        <v>10323294</v>
      </c>
      <c r="T612" s="14" t="n">
        <f aca="false">IFERROR(S612/Q612,0)</f>
        <v>0.209298551714733</v>
      </c>
      <c r="U612" s="15" t="str">
        <f aca="false">TEXT(A612,"yyyy-mm")</f>
        <v>2022-08</v>
      </c>
    </row>
    <row r="613" customFormat="false" ht="15" hidden="false" customHeight="false" outlineLevel="0" collapsed="false">
      <c r="A613" s="10" t="n">
        <v>44781</v>
      </c>
      <c r="B613" s="11" t="s">
        <v>745</v>
      </c>
      <c r="C613" s="11" t="s">
        <v>121</v>
      </c>
      <c r="D613" s="11" t="s">
        <v>118</v>
      </c>
      <c r="E613" s="11" t="s">
        <v>122</v>
      </c>
      <c r="F613" s="12" t="n">
        <v>7687274</v>
      </c>
      <c r="G613" s="12" t="n">
        <v>6500000</v>
      </c>
      <c r="H613" s="11" t="n">
        <v>11</v>
      </c>
      <c r="I613" s="11" t="s">
        <v>86</v>
      </c>
      <c r="J613" s="11" t="s">
        <v>87</v>
      </c>
      <c r="K613" s="11" t="s">
        <v>88</v>
      </c>
      <c r="L613" s="11" t="s">
        <v>89</v>
      </c>
      <c r="M613" s="11" t="s">
        <v>90</v>
      </c>
      <c r="N613" s="11" t="s">
        <v>133</v>
      </c>
      <c r="O613" s="11" t="s">
        <v>60</v>
      </c>
      <c r="P613" s="11" t="s">
        <v>76</v>
      </c>
      <c r="Q613" s="13" t="n">
        <f aca="false">F613*H613</f>
        <v>84560014</v>
      </c>
      <c r="R613" s="13" t="n">
        <f aca="false">G613*H613</f>
        <v>71500000</v>
      </c>
      <c r="S613" s="13" t="n">
        <f aca="false">Q613-R613</f>
        <v>13060014</v>
      </c>
      <c r="T613" s="14" t="n">
        <f aca="false">IFERROR(S613/Q613,0)</f>
        <v>0.154446686822923</v>
      </c>
      <c r="U613" s="15" t="str">
        <f aca="false">TEXT(A613,"yyyy-mm")</f>
        <v>2022-08</v>
      </c>
    </row>
    <row r="614" customFormat="false" ht="15" hidden="false" customHeight="false" outlineLevel="0" collapsed="false">
      <c r="A614" s="10" t="n">
        <v>44782</v>
      </c>
      <c r="B614" s="11" t="s">
        <v>746</v>
      </c>
      <c r="C614" s="11" t="s">
        <v>125</v>
      </c>
      <c r="D614" s="11" t="s">
        <v>118</v>
      </c>
      <c r="E614" s="11" t="s">
        <v>126</v>
      </c>
      <c r="F614" s="12" t="n">
        <v>5684211</v>
      </c>
      <c r="G614" s="12" t="n">
        <v>4300000</v>
      </c>
      <c r="H614" s="11" t="n">
        <v>5</v>
      </c>
      <c r="I614" s="11" t="s">
        <v>69</v>
      </c>
      <c r="J614" s="11" t="s">
        <v>80</v>
      </c>
      <c r="K614" s="11" t="s">
        <v>81</v>
      </c>
      <c r="L614" s="11" t="s">
        <v>82</v>
      </c>
      <c r="M614" s="11" t="s">
        <v>73</v>
      </c>
      <c r="N614" s="11" t="s">
        <v>123</v>
      </c>
      <c r="O614" s="11" t="s">
        <v>60</v>
      </c>
      <c r="P614" s="11" t="s">
        <v>106</v>
      </c>
      <c r="Q614" s="13" t="n">
        <f aca="false">F614*H614</f>
        <v>28421055</v>
      </c>
      <c r="R614" s="13" t="n">
        <f aca="false">G614*H614</f>
        <v>21500000</v>
      </c>
      <c r="S614" s="13" t="n">
        <f aca="false">Q614-R614</f>
        <v>6921055</v>
      </c>
      <c r="T614" s="14" t="n">
        <f aca="false">IFERROR(S614/Q614,0)</f>
        <v>0.243518581558637</v>
      </c>
      <c r="U614" s="15" t="str">
        <f aca="false">TEXT(A614,"yyyy-mm")</f>
        <v>2022-08</v>
      </c>
    </row>
    <row r="615" customFormat="false" ht="15" hidden="false" customHeight="false" outlineLevel="0" collapsed="false">
      <c r="A615" s="10" t="n">
        <v>44783</v>
      </c>
      <c r="B615" s="11" t="s">
        <v>747</v>
      </c>
      <c r="C615" s="11" t="s">
        <v>128</v>
      </c>
      <c r="D615" s="11" t="s">
        <v>118</v>
      </c>
      <c r="E615" s="11" t="s">
        <v>119</v>
      </c>
      <c r="F615" s="12" t="n">
        <v>3370302</v>
      </c>
      <c r="G615" s="12" t="n">
        <v>2100000</v>
      </c>
      <c r="H615" s="11" t="n">
        <v>31</v>
      </c>
      <c r="I615" s="11" t="s">
        <v>69</v>
      </c>
      <c r="J615" s="11" t="s">
        <v>80</v>
      </c>
      <c r="K615" s="11" t="s">
        <v>81</v>
      </c>
      <c r="L615" s="11" t="s">
        <v>82</v>
      </c>
      <c r="M615" s="11" t="s">
        <v>73</v>
      </c>
      <c r="N615" s="11" t="s">
        <v>99</v>
      </c>
      <c r="O615" s="11" t="s">
        <v>100</v>
      </c>
      <c r="P615" s="11" t="s">
        <v>101</v>
      </c>
      <c r="Q615" s="13" t="n">
        <f aca="false">F615*H615</f>
        <v>104479362</v>
      </c>
      <c r="R615" s="13" t="n">
        <f aca="false">G615*H615</f>
        <v>65100000</v>
      </c>
      <c r="S615" s="13" t="n">
        <f aca="false">Q615-R615</f>
        <v>39379362</v>
      </c>
      <c r="T615" s="14" t="n">
        <f aca="false">IFERROR(S615/Q615,0)</f>
        <v>0.37691043710623</v>
      </c>
      <c r="U615" s="15" t="str">
        <f aca="false">TEXT(A615,"yyyy-mm")</f>
        <v>2022-08</v>
      </c>
    </row>
    <row r="616" customFormat="false" ht="15" hidden="false" customHeight="false" outlineLevel="0" collapsed="false">
      <c r="A616" s="10" t="n">
        <v>44783</v>
      </c>
      <c r="B616" s="11" t="s">
        <v>748</v>
      </c>
      <c r="C616" s="11" t="s">
        <v>130</v>
      </c>
      <c r="D616" s="11" t="s">
        <v>118</v>
      </c>
      <c r="E616" s="11" t="s">
        <v>68</v>
      </c>
      <c r="F616" s="12" t="n">
        <v>2852897</v>
      </c>
      <c r="G616" s="12" t="n">
        <v>2450000</v>
      </c>
      <c r="H616" s="11" t="n">
        <v>3</v>
      </c>
      <c r="I616" s="11" t="s">
        <v>69</v>
      </c>
      <c r="J616" s="11" t="s">
        <v>70</v>
      </c>
      <c r="K616" s="11" t="s">
        <v>71</v>
      </c>
      <c r="L616" s="11" t="s">
        <v>72</v>
      </c>
      <c r="M616" s="11" t="s">
        <v>73</v>
      </c>
      <c r="N616" s="11" t="s">
        <v>149</v>
      </c>
      <c r="O616" s="11" t="s">
        <v>150</v>
      </c>
      <c r="P616" s="11" t="s">
        <v>151</v>
      </c>
      <c r="Q616" s="13" t="n">
        <f aca="false">F616*H616</f>
        <v>8558691</v>
      </c>
      <c r="R616" s="13" t="n">
        <f aca="false">G616*H616</f>
        <v>7350000</v>
      </c>
      <c r="S616" s="13" t="n">
        <f aca="false">Q616-R616</f>
        <v>1208691</v>
      </c>
      <c r="T616" s="14" t="n">
        <f aca="false">IFERROR(S616/Q616,0)</f>
        <v>0.141223815651249</v>
      </c>
      <c r="U616" s="15" t="str">
        <f aca="false">TEXT(A616,"yyyy-mm")</f>
        <v>2022-08</v>
      </c>
    </row>
    <row r="617" customFormat="false" ht="15" hidden="false" customHeight="false" outlineLevel="0" collapsed="false">
      <c r="A617" s="10" t="n">
        <v>44783</v>
      </c>
      <c r="B617" s="11" t="s">
        <v>749</v>
      </c>
      <c r="C617" s="11" t="s">
        <v>132</v>
      </c>
      <c r="D617" s="11" t="s">
        <v>118</v>
      </c>
      <c r="E617" s="11" t="s">
        <v>68</v>
      </c>
      <c r="F617" s="12" t="n">
        <v>4803603</v>
      </c>
      <c r="G617" s="12" t="n">
        <v>4121000</v>
      </c>
      <c r="H617" s="11" t="n">
        <v>8</v>
      </c>
      <c r="I617" s="11" t="s">
        <v>86</v>
      </c>
      <c r="J617" s="11" t="s">
        <v>87</v>
      </c>
      <c r="K617" s="11" t="s">
        <v>88</v>
      </c>
      <c r="L617" s="11" t="s">
        <v>89</v>
      </c>
      <c r="M617" s="11" t="s">
        <v>90</v>
      </c>
      <c r="N617" s="11" t="s">
        <v>123</v>
      </c>
      <c r="O617" s="11" t="s">
        <v>60</v>
      </c>
      <c r="P617" s="11" t="s">
        <v>106</v>
      </c>
      <c r="Q617" s="13" t="n">
        <f aca="false">F617*H617</f>
        <v>38428824</v>
      </c>
      <c r="R617" s="13" t="n">
        <f aca="false">G617*H617</f>
        <v>32968000</v>
      </c>
      <c r="S617" s="13" t="n">
        <f aca="false">Q617-R617</f>
        <v>5460824</v>
      </c>
      <c r="T617" s="14" t="n">
        <f aca="false">IFERROR(S617/Q617,0)</f>
        <v>0.142102292799801</v>
      </c>
      <c r="U617" s="15" t="str">
        <f aca="false">TEXT(A617,"yyyy-mm")</f>
        <v>2022-08</v>
      </c>
    </row>
    <row r="618" customFormat="false" ht="15" hidden="false" customHeight="false" outlineLevel="0" collapsed="false">
      <c r="A618" s="10" t="n">
        <v>44783</v>
      </c>
      <c r="B618" s="11" t="s">
        <v>750</v>
      </c>
      <c r="C618" s="11" t="s">
        <v>135</v>
      </c>
      <c r="D618" s="11" t="s">
        <v>118</v>
      </c>
      <c r="E618" s="11" t="s">
        <v>68</v>
      </c>
      <c r="F618" s="12" t="n">
        <v>5689947</v>
      </c>
      <c r="G618" s="12" t="n">
        <v>5235000</v>
      </c>
      <c r="H618" s="11" t="n">
        <v>24</v>
      </c>
      <c r="I618" s="11" t="s">
        <v>69</v>
      </c>
      <c r="J618" s="11" t="s">
        <v>80</v>
      </c>
      <c r="K618" s="11" t="s">
        <v>81</v>
      </c>
      <c r="L618" s="11" t="s">
        <v>82</v>
      </c>
      <c r="M618" s="11" t="s">
        <v>73</v>
      </c>
      <c r="N618" s="11" t="s">
        <v>104</v>
      </c>
      <c r="O618" s="11" t="s">
        <v>105</v>
      </c>
      <c r="P618" s="11" t="s">
        <v>106</v>
      </c>
      <c r="Q618" s="13" t="n">
        <f aca="false">F618*H618</f>
        <v>136558728</v>
      </c>
      <c r="R618" s="13" t="n">
        <f aca="false">G618*H618</f>
        <v>125640000</v>
      </c>
      <c r="S618" s="13" t="n">
        <f aca="false">Q618-R618</f>
        <v>10918728</v>
      </c>
      <c r="T618" s="14" t="n">
        <f aca="false">IFERROR(S618/Q618,0)</f>
        <v>0.0799562807878527</v>
      </c>
      <c r="U618" s="15" t="str">
        <f aca="false">TEXT(A618,"yyyy-mm")</f>
        <v>2022-08</v>
      </c>
    </row>
    <row r="619" customFormat="false" ht="15" hidden="false" customHeight="false" outlineLevel="0" collapsed="false">
      <c r="A619" s="10" t="n">
        <v>44783</v>
      </c>
      <c r="B619" s="11" t="s">
        <v>751</v>
      </c>
      <c r="C619" s="11" t="s">
        <v>137</v>
      </c>
      <c r="D619" s="11" t="s">
        <v>138</v>
      </c>
      <c r="E619" s="11" t="s">
        <v>139</v>
      </c>
      <c r="F619" s="12" t="n">
        <v>5171827</v>
      </c>
      <c r="G619" s="12" t="n">
        <v>4890000</v>
      </c>
      <c r="H619" s="11" t="n">
        <v>20</v>
      </c>
      <c r="I619" s="11" t="s">
        <v>69</v>
      </c>
      <c r="J619" s="11" t="s">
        <v>70</v>
      </c>
      <c r="K619" s="11" t="s">
        <v>71</v>
      </c>
      <c r="L619" s="11" t="s">
        <v>72</v>
      </c>
      <c r="M619" s="11" t="s">
        <v>73</v>
      </c>
      <c r="N619" s="11" t="s">
        <v>74</v>
      </c>
      <c r="O619" s="11" t="s">
        <v>75</v>
      </c>
      <c r="P619" s="11" t="s">
        <v>76</v>
      </c>
      <c r="Q619" s="13" t="n">
        <f aca="false">F619*H619</f>
        <v>103436540</v>
      </c>
      <c r="R619" s="13" t="n">
        <f aca="false">G619*H619</f>
        <v>97800000</v>
      </c>
      <c r="S619" s="13" t="n">
        <f aca="false">Q619-R619</f>
        <v>5636540</v>
      </c>
      <c r="T619" s="14" t="n">
        <f aca="false">IFERROR(S619/Q619,0)</f>
        <v>0.0544927353525166</v>
      </c>
      <c r="U619" s="15" t="str">
        <f aca="false">TEXT(A619,"yyyy-mm")</f>
        <v>2022-08</v>
      </c>
    </row>
    <row r="620" customFormat="false" ht="15" hidden="false" customHeight="false" outlineLevel="0" collapsed="false">
      <c r="A620" s="10" t="n">
        <v>44783</v>
      </c>
      <c r="B620" s="11" t="s">
        <v>752</v>
      </c>
      <c r="C620" s="11" t="s">
        <v>141</v>
      </c>
      <c r="D620" s="11" t="s">
        <v>138</v>
      </c>
      <c r="E620" s="11" t="s">
        <v>142</v>
      </c>
      <c r="F620" s="12" t="n">
        <v>2805124</v>
      </c>
      <c r="G620" s="12" t="n">
        <v>2178000</v>
      </c>
      <c r="H620" s="11" t="n">
        <v>9</v>
      </c>
      <c r="I620" s="11" t="s">
        <v>69</v>
      </c>
      <c r="J620" s="11" t="s">
        <v>80</v>
      </c>
      <c r="K620" s="11" t="s">
        <v>81</v>
      </c>
      <c r="L620" s="11" t="s">
        <v>82</v>
      </c>
      <c r="M620" s="11" t="s">
        <v>73</v>
      </c>
      <c r="N620" s="11" t="s">
        <v>74</v>
      </c>
      <c r="O620" s="11" t="s">
        <v>75</v>
      </c>
      <c r="P620" s="11" t="s">
        <v>76</v>
      </c>
      <c r="Q620" s="13" t="n">
        <f aca="false">F620*H620</f>
        <v>25246116</v>
      </c>
      <c r="R620" s="13" t="n">
        <f aca="false">G620*H620</f>
        <v>19602000</v>
      </c>
      <c r="S620" s="13" t="n">
        <f aca="false">Q620-R620</f>
        <v>5644116</v>
      </c>
      <c r="T620" s="14" t="n">
        <f aca="false">IFERROR(S620/Q620,0)</f>
        <v>0.22356373550688</v>
      </c>
      <c r="U620" s="15" t="str">
        <f aca="false">TEXT(A620,"yyyy-mm")</f>
        <v>2022-08</v>
      </c>
    </row>
    <row r="621" customFormat="false" ht="15" hidden="false" customHeight="false" outlineLevel="0" collapsed="false">
      <c r="A621" s="10" t="n">
        <v>44784</v>
      </c>
      <c r="B621" s="11" t="s">
        <v>753</v>
      </c>
      <c r="C621" s="11" t="s">
        <v>146</v>
      </c>
      <c r="D621" s="11" t="s">
        <v>138</v>
      </c>
      <c r="E621" s="11" t="s">
        <v>139</v>
      </c>
      <c r="F621" s="12" t="n">
        <v>2728100</v>
      </c>
      <c r="G621" s="12" t="n">
        <v>2321000</v>
      </c>
      <c r="H621" s="11" t="n">
        <v>5</v>
      </c>
      <c r="I621" s="11" t="s">
        <v>69</v>
      </c>
      <c r="J621" s="11" t="s">
        <v>70</v>
      </c>
      <c r="K621" s="11" t="s">
        <v>71</v>
      </c>
      <c r="L621" s="11" t="s">
        <v>72</v>
      </c>
      <c r="M621" s="11" t="s">
        <v>73</v>
      </c>
      <c r="N621" s="11" t="s">
        <v>143</v>
      </c>
      <c r="O621" s="11" t="s">
        <v>144</v>
      </c>
      <c r="P621" s="11" t="s">
        <v>101</v>
      </c>
      <c r="Q621" s="13" t="n">
        <f aca="false">F621*H621</f>
        <v>13640500</v>
      </c>
      <c r="R621" s="13" t="n">
        <f aca="false">G621*H621</f>
        <v>11605000</v>
      </c>
      <c r="S621" s="13" t="n">
        <f aca="false">Q621-R621</f>
        <v>2035500</v>
      </c>
      <c r="T621" s="14" t="n">
        <f aca="false">IFERROR(S621/Q621,0)</f>
        <v>0.149224735163667</v>
      </c>
      <c r="U621" s="15" t="str">
        <f aca="false">TEXT(A621,"yyyy-mm")</f>
        <v>2022-08</v>
      </c>
    </row>
    <row r="622" customFormat="false" ht="15" hidden="false" customHeight="false" outlineLevel="0" collapsed="false">
      <c r="A622" s="10" t="n">
        <v>44785</v>
      </c>
      <c r="B622" s="11" t="s">
        <v>754</v>
      </c>
      <c r="C622" s="11" t="s">
        <v>148</v>
      </c>
      <c r="D622" s="11" t="s">
        <v>138</v>
      </c>
      <c r="E622" s="11" t="s">
        <v>122</v>
      </c>
      <c r="F622" s="12" t="n">
        <v>4941716</v>
      </c>
      <c r="G622" s="12" t="n">
        <v>4456000</v>
      </c>
      <c r="H622" s="11" t="n">
        <v>23</v>
      </c>
      <c r="I622" s="11" t="s">
        <v>69</v>
      </c>
      <c r="J622" s="11" t="s">
        <v>112</v>
      </c>
      <c r="K622" s="11" t="s">
        <v>113</v>
      </c>
      <c r="L622" s="11" t="s">
        <v>82</v>
      </c>
      <c r="M622" s="11" t="s">
        <v>157</v>
      </c>
      <c r="N622" s="11" t="s">
        <v>123</v>
      </c>
      <c r="O622" s="11" t="s">
        <v>60</v>
      </c>
      <c r="P622" s="11" t="s">
        <v>106</v>
      </c>
      <c r="Q622" s="13" t="n">
        <f aca="false">F622*H622</f>
        <v>113659468</v>
      </c>
      <c r="R622" s="13" t="n">
        <f aca="false">G622*H622</f>
        <v>102488000</v>
      </c>
      <c r="S622" s="13" t="n">
        <f aca="false">Q622-R622</f>
        <v>11171468</v>
      </c>
      <c r="T622" s="14" t="n">
        <f aca="false">IFERROR(S622/Q622,0)</f>
        <v>0.0982889344511097</v>
      </c>
      <c r="U622" s="15" t="str">
        <f aca="false">TEXT(A622,"yyyy-mm")</f>
        <v>2022-08</v>
      </c>
    </row>
    <row r="623" customFormat="false" ht="15" hidden="false" customHeight="false" outlineLevel="0" collapsed="false">
      <c r="A623" s="10" t="n">
        <v>44785</v>
      </c>
      <c r="B623" s="11" t="s">
        <v>755</v>
      </c>
      <c r="C623" s="11" t="s">
        <v>66</v>
      </c>
      <c r="D623" s="11" t="s">
        <v>67</v>
      </c>
      <c r="E623" s="11" t="s">
        <v>68</v>
      </c>
      <c r="F623" s="12" t="n">
        <v>3048952</v>
      </c>
      <c r="G623" s="12" t="n">
        <v>2560000</v>
      </c>
      <c r="H623" s="11" t="n">
        <v>1</v>
      </c>
      <c r="I623" s="11" t="s">
        <v>69</v>
      </c>
      <c r="J623" s="11" t="s">
        <v>80</v>
      </c>
      <c r="K623" s="11" t="s">
        <v>81</v>
      </c>
      <c r="L623" s="11" t="s">
        <v>82</v>
      </c>
      <c r="M623" s="11" t="s">
        <v>73</v>
      </c>
      <c r="N623" s="11" t="s">
        <v>173</v>
      </c>
      <c r="O623" s="11" t="s">
        <v>174</v>
      </c>
      <c r="P623" s="11" t="s">
        <v>95</v>
      </c>
      <c r="Q623" s="13" t="n">
        <f aca="false">F623*H623</f>
        <v>3048952</v>
      </c>
      <c r="R623" s="13" t="n">
        <f aca="false">G623*H623</f>
        <v>2560000</v>
      </c>
      <c r="S623" s="13" t="n">
        <f aca="false">Q623-R623</f>
        <v>488952</v>
      </c>
      <c r="T623" s="14" t="n">
        <f aca="false">IFERROR(S623/Q623,0)</f>
        <v>0.160367234380863</v>
      </c>
      <c r="U623" s="15" t="str">
        <f aca="false">TEXT(A623,"yyyy-mm")</f>
        <v>2022-08</v>
      </c>
    </row>
    <row r="624" customFormat="false" ht="15" hidden="false" customHeight="false" outlineLevel="0" collapsed="false">
      <c r="A624" s="10" t="n">
        <v>44785</v>
      </c>
      <c r="B624" s="11" t="s">
        <v>756</v>
      </c>
      <c r="C624" s="11" t="s">
        <v>78</v>
      </c>
      <c r="D624" s="11" t="s">
        <v>67</v>
      </c>
      <c r="E624" s="11" t="s">
        <v>79</v>
      </c>
      <c r="F624" s="12" t="n">
        <v>1870000</v>
      </c>
      <c r="G624" s="12" t="n">
        <v>1650000</v>
      </c>
      <c r="H624" s="11" t="n">
        <v>2</v>
      </c>
      <c r="I624" s="11" t="s">
        <v>86</v>
      </c>
      <c r="J624" s="11" t="s">
        <v>87</v>
      </c>
      <c r="K624" s="11" t="s">
        <v>88</v>
      </c>
      <c r="L624" s="11" t="s">
        <v>89</v>
      </c>
      <c r="M624" s="11" t="s">
        <v>90</v>
      </c>
      <c r="N624" s="11" t="s">
        <v>99</v>
      </c>
      <c r="O624" s="11" t="s">
        <v>100</v>
      </c>
      <c r="P624" s="11" t="s">
        <v>101</v>
      </c>
      <c r="Q624" s="13" t="n">
        <f aca="false">F624*H624</f>
        <v>3740000</v>
      </c>
      <c r="R624" s="13" t="n">
        <f aca="false">G624*H624</f>
        <v>3300000</v>
      </c>
      <c r="S624" s="13" t="n">
        <f aca="false">Q624-R624</f>
        <v>440000</v>
      </c>
      <c r="T624" s="14" t="n">
        <f aca="false">IFERROR(S624/Q624,0)</f>
        <v>0.117647058823529</v>
      </c>
      <c r="U624" s="15" t="str">
        <f aca="false">TEXT(A624,"yyyy-mm")</f>
        <v>2022-08</v>
      </c>
    </row>
    <row r="625" customFormat="false" ht="15" hidden="false" customHeight="false" outlineLevel="0" collapsed="false">
      <c r="A625" s="10" t="n">
        <v>44785</v>
      </c>
      <c r="B625" s="11" t="s">
        <v>757</v>
      </c>
      <c r="C625" s="11" t="s">
        <v>84</v>
      </c>
      <c r="D625" s="11" t="s">
        <v>67</v>
      </c>
      <c r="E625" s="11" t="s">
        <v>85</v>
      </c>
      <c r="F625" s="12" t="n">
        <v>2600000</v>
      </c>
      <c r="G625" s="12" t="n">
        <v>2300000</v>
      </c>
      <c r="H625" s="11" t="n">
        <v>16</v>
      </c>
      <c r="I625" s="11" t="s">
        <v>69</v>
      </c>
      <c r="J625" s="11" t="s">
        <v>80</v>
      </c>
      <c r="K625" s="11" t="s">
        <v>81</v>
      </c>
      <c r="L625" s="11" t="s">
        <v>82</v>
      </c>
      <c r="M625" s="11" t="s">
        <v>73</v>
      </c>
      <c r="N625" s="11" t="s">
        <v>123</v>
      </c>
      <c r="O625" s="11" t="s">
        <v>60</v>
      </c>
      <c r="P625" s="11" t="s">
        <v>106</v>
      </c>
      <c r="Q625" s="13" t="n">
        <f aca="false">F625*H625</f>
        <v>41600000</v>
      </c>
      <c r="R625" s="13" t="n">
        <f aca="false">G625*H625</f>
        <v>36800000</v>
      </c>
      <c r="S625" s="13" t="n">
        <f aca="false">Q625-R625</f>
        <v>4800000</v>
      </c>
      <c r="T625" s="14" t="n">
        <f aca="false">IFERROR(S625/Q625,0)</f>
        <v>0.115384615384615</v>
      </c>
      <c r="U625" s="15" t="str">
        <f aca="false">TEXT(A625,"yyyy-mm")</f>
        <v>2022-08</v>
      </c>
    </row>
    <row r="626" customFormat="false" ht="15" hidden="false" customHeight="false" outlineLevel="0" collapsed="false">
      <c r="A626" s="10" t="n">
        <v>44786</v>
      </c>
      <c r="B626" s="11" t="s">
        <v>758</v>
      </c>
      <c r="C626" s="11" t="s">
        <v>92</v>
      </c>
      <c r="D626" s="11" t="s">
        <v>67</v>
      </c>
      <c r="E626" s="11" t="s">
        <v>79</v>
      </c>
      <c r="F626" s="12" t="n">
        <v>3577480</v>
      </c>
      <c r="G626" s="12" t="n">
        <v>3100000</v>
      </c>
      <c r="H626" s="11" t="n">
        <v>21</v>
      </c>
      <c r="I626" s="11" t="s">
        <v>69</v>
      </c>
      <c r="J626" s="11" t="s">
        <v>70</v>
      </c>
      <c r="K626" s="11" t="s">
        <v>71</v>
      </c>
      <c r="L626" s="11" t="s">
        <v>72</v>
      </c>
      <c r="M626" s="11" t="s">
        <v>73</v>
      </c>
      <c r="N626" s="11" t="s">
        <v>143</v>
      </c>
      <c r="O626" s="11" t="s">
        <v>144</v>
      </c>
      <c r="P626" s="11" t="s">
        <v>101</v>
      </c>
      <c r="Q626" s="13" t="n">
        <f aca="false">F626*H626</f>
        <v>75127080</v>
      </c>
      <c r="R626" s="13" t="n">
        <f aca="false">G626*H626</f>
        <v>65100000</v>
      </c>
      <c r="S626" s="13" t="n">
        <f aca="false">Q626-R626</f>
        <v>10027080</v>
      </c>
      <c r="T626" s="14" t="n">
        <f aca="false">IFERROR(S626/Q626,0)</f>
        <v>0.133468251394837</v>
      </c>
      <c r="U626" s="15" t="str">
        <f aca="false">TEXT(A626,"yyyy-mm")</f>
        <v>2022-08</v>
      </c>
    </row>
    <row r="627" customFormat="false" ht="15" hidden="false" customHeight="false" outlineLevel="0" collapsed="false">
      <c r="A627" s="10" t="n">
        <v>44786</v>
      </c>
      <c r="B627" s="11" t="s">
        <v>759</v>
      </c>
      <c r="C627" s="11" t="s">
        <v>97</v>
      </c>
      <c r="D627" s="11" t="s">
        <v>67</v>
      </c>
      <c r="E627" s="11" t="s">
        <v>98</v>
      </c>
      <c r="F627" s="12" t="n">
        <v>4969724</v>
      </c>
      <c r="G627" s="12" t="n">
        <v>4121560</v>
      </c>
      <c r="H627" s="11" t="n">
        <v>18</v>
      </c>
      <c r="I627" s="11" t="s">
        <v>69</v>
      </c>
      <c r="J627" s="11" t="s">
        <v>112</v>
      </c>
      <c r="K627" s="11" t="s">
        <v>113</v>
      </c>
      <c r="L627" s="11" t="s">
        <v>82</v>
      </c>
      <c r="M627" s="11" t="s">
        <v>157</v>
      </c>
      <c r="N627" s="11" t="s">
        <v>109</v>
      </c>
      <c r="O627" s="11" t="s">
        <v>75</v>
      </c>
      <c r="P627" s="11" t="s">
        <v>95</v>
      </c>
      <c r="Q627" s="13" t="n">
        <f aca="false">F627*H627</f>
        <v>89455032</v>
      </c>
      <c r="R627" s="13" t="n">
        <f aca="false">G627*H627</f>
        <v>74188080</v>
      </c>
      <c r="S627" s="13" t="n">
        <f aca="false">Q627-R627</f>
        <v>15266952</v>
      </c>
      <c r="T627" s="14" t="n">
        <f aca="false">IFERROR(S627/Q627,0)</f>
        <v>0.170666218083741</v>
      </c>
      <c r="U627" s="15" t="str">
        <f aca="false">TEXT(A627,"yyyy-mm")</f>
        <v>2022-08</v>
      </c>
    </row>
    <row r="628" customFormat="false" ht="15" hidden="false" customHeight="false" outlineLevel="0" collapsed="false">
      <c r="A628" s="10" t="n">
        <v>44787</v>
      </c>
      <c r="B628" s="11" t="s">
        <v>760</v>
      </c>
      <c r="C628" s="11" t="s">
        <v>103</v>
      </c>
      <c r="D628" s="11" t="s">
        <v>67</v>
      </c>
      <c r="E628" s="11" t="s">
        <v>68</v>
      </c>
      <c r="F628" s="12" t="n">
        <v>3319925</v>
      </c>
      <c r="G628" s="12" t="n">
        <v>2800000</v>
      </c>
      <c r="H628" s="11" t="n">
        <v>5</v>
      </c>
      <c r="I628" s="11" t="s">
        <v>69</v>
      </c>
      <c r="J628" s="11" t="s">
        <v>112</v>
      </c>
      <c r="K628" s="11" t="s">
        <v>113</v>
      </c>
      <c r="L628" s="11" t="s">
        <v>82</v>
      </c>
      <c r="M628" s="11" t="s">
        <v>157</v>
      </c>
      <c r="N628" s="11" t="s">
        <v>93</v>
      </c>
      <c r="O628" s="11" t="s">
        <v>94</v>
      </c>
      <c r="P628" s="11" t="s">
        <v>95</v>
      </c>
      <c r="Q628" s="13" t="n">
        <f aca="false">F628*H628</f>
        <v>16599625</v>
      </c>
      <c r="R628" s="13" t="n">
        <f aca="false">G628*H628</f>
        <v>14000000</v>
      </c>
      <c r="S628" s="13" t="n">
        <f aca="false">Q628-R628</f>
        <v>2599625</v>
      </c>
      <c r="T628" s="14" t="n">
        <f aca="false">IFERROR(S628/Q628,0)</f>
        <v>0.15660745348163</v>
      </c>
      <c r="U628" s="15" t="str">
        <f aca="false">TEXT(A628,"yyyy-mm")</f>
        <v>2022-08</v>
      </c>
    </row>
    <row r="629" customFormat="false" ht="15" hidden="false" customHeight="false" outlineLevel="0" collapsed="false">
      <c r="A629" s="10" t="n">
        <v>44787</v>
      </c>
      <c r="B629" s="11" t="s">
        <v>761</v>
      </c>
      <c r="C629" s="11" t="s">
        <v>108</v>
      </c>
      <c r="D629" s="11" t="s">
        <v>67</v>
      </c>
      <c r="E629" s="11" t="s">
        <v>68</v>
      </c>
      <c r="F629" s="12" t="n">
        <v>4757880</v>
      </c>
      <c r="G629" s="12" t="n">
        <v>3450000</v>
      </c>
      <c r="H629" s="11" t="n">
        <v>15</v>
      </c>
      <c r="I629" s="11" t="s">
        <v>69</v>
      </c>
      <c r="J629" s="11" t="s">
        <v>70</v>
      </c>
      <c r="K629" s="11" t="s">
        <v>71</v>
      </c>
      <c r="L629" s="11" t="s">
        <v>72</v>
      </c>
      <c r="M629" s="11" t="s">
        <v>73</v>
      </c>
      <c r="N629" s="11" t="s">
        <v>109</v>
      </c>
      <c r="O629" s="11" t="s">
        <v>75</v>
      </c>
      <c r="P629" s="11" t="s">
        <v>95</v>
      </c>
      <c r="Q629" s="13" t="n">
        <f aca="false">F629*H629</f>
        <v>71368200</v>
      </c>
      <c r="R629" s="13" t="n">
        <f aca="false">G629*H629</f>
        <v>51750000</v>
      </c>
      <c r="S629" s="13" t="n">
        <f aca="false">Q629-R629</f>
        <v>19618200</v>
      </c>
      <c r="T629" s="14" t="n">
        <f aca="false">IFERROR(S629/Q629,0)</f>
        <v>0.274887134606169</v>
      </c>
      <c r="U629" s="15" t="str">
        <f aca="false">TEXT(A629,"yyyy-mm")</f>
        <v>2022-08</v>
      </c>
    </row>
    <row r="630" customFormat="false" ht="15" hidden="false" customHeight="false" outlineLevel="0" collapsed="false">
      <c r="A630" s="10" t="n">
        <v>44788</v>
      </c>
      <c r="B630" s="11" t="s">
        <v>762</v>
      </c>
      <c r="C630" s="11" t="s">
        <v>111</v>
      </c>
      <c r="D630" s="11" t="s">
        <v>67</v>
      </c>
      <c r="E630" s="11" t="s">
        <v>79</v>
      </c>
      <c r="F630" s="12" t="n">
        <v>3545808</v>
      </c>
      <c r="G630" s="12" t="n">
        <v>3350000</v>
      </c>
      <c r="H630" s="11" t="n">
        <v>15</v>
      </c>
      <c r="I630" s="11" t="s">
        <v>86</v>
      </c>
      <c r="J630" s="11" t="s">
        <v>87</v>
      </c>
      <c r="K630" s="11" t="s">
        <v>88</v>
      </c>
      <c r="L630" s="11" t="s">
        <v>89</v>
      </c>
      <c r="M630" s="11" t="s">
        <v>90</v>
      </c>
      <c r="N630" s="11" t="s">
        <v>173</v>
      </c>
      <c r="O630" s="11" t="s">
        <v>174</v>
      </c>
      <c r="P630" s="11" t="s">
        <v>95</v>
      </c>
      <c r="Q630" s="13" t="n">
        <f aca="false">F630*H630</f>
        <v>53187120</v>
      </c>
      <c r="R630" s="13" t="n">
        <f aca="false">G630*H630</f>
        <v>50250000</v>
      </c>
      <c r="S630" s="13" t="n">
        <f aca="false">Q630-R630</f>
        <v>2937120</v>
      </c>
      <c r="T630" s="14" t="n">
        <f aca="false">IFERROR(S630/Q630,0)</f>
        <v>0.0552223921881839</v>
      </c>
      <c r="U630" s="15" t="str">
        <f aca="false">TEXT(A630,"yyyy-mm")</f>
        <v>2022-08</v>
      </c>
    </row>
    <row r="631" customFormat="false" ht="15" hidden="false" customHeight="false" outlineLevel="0" collapsed="false">
      <c r="A631" s="10" t="n">
        <v>44788</v>
      </c>
      <c r="B631" s="11" t="s">
        <v>763</v>
      </c>
      <c r="C631" s="11" t="s">
        <v>115</v>
      </c>
      <c r="D631" s="11" t="s">
        <v>67</v>
      </c>
      <c r="E631" s="11" t="s">
        <v>98</v>
      </c>
      <c r="F631" s="12" t="n">
        <v>4200743</v>
      </c>
      <c r="G631" s="12" t="n">
        <v>4101000</v>
      </c>
      <c r="H631" s="11" t="n">
        <v>7</v>
      </c>
      <c r="I631" s="11" t="s">
        <v>69</v>
      </c>
      <c r="J631" s="11" t="s">
        <v>80</v>
      </c>
      <c r="K631" s="11" t="s">
        <v>81</v>
      </c>
      <c r="L631" s="11" t="s">
        <v>82</v>
      </c>
      <c r="M631" s="11" t="s">
        <v>73</v>
      </c>
      <c r="N631" s="11" t="s">
        <v>109</v>
      </c>
      <c r="O631" s="11" t="s">
        <v>75</v>
      </c>
      <c r="P631" s="11" t="s">
        <v>95</v>
      </c>
      <c r="Q631" s="13" t="n">
        <f aca="false">F631*H631</f>
        <v>29405201</v>
      </c>
      <c r="R631" s="13" t="n">
        <f aca="false">G631*H631</f>
        <v>28707000</v>
      </c>
      <c r="S631" s="13" t="n">
        <f aca="false">Q631-R631</f>
        <v>698201</v>
      </c>
      <c r="T631" s="14" t="n">
        <f aca="false">IFERROR(S631/Q631,0)</f>
        <v>0.023744132883159</v>
      </c>
      <c r="U631" s="15" t="str">
        <f aca="false">TEXT(A631,"yyyy-mm")</f>
        <v>2022-08</v>
      </c>
    </row>
    <row r="632" customFormat="false" ht="15" hidden="false" customHeight="false" outlineLevel="0" collapsed="false">
      <c r="A632" s="10" t="n">
        <v>44788</v>
      </c>
      <c r="B632" s="11" t="s">
        <v>764</v>
      </c>
      <c r="C632" s="11" t="s">
        <v>117</v>
      </c>
      <c r="D632" s="11" t="s">
        <v>118</v>
      </c>
      <c r="E632" s="11" t="s">
        <v>119</v>
      </c>
      <c r="F632" s="12" t="n">
        <v>8220549</v>
      </c>
      <c r="G632" s="12" t="n">
        <v>6500000</v>
      </c>
      <c r="H632" s="11" t="n">
        <v>4</v>
      </c>
      <c r="I632" s="11" t="s">
        <v>69</v>
      </c>
      <c r="J632" s="11" t="s">
        <v>70</v>
      </c>
      <c r="K632" s="11" t="s">
        <v>71</v>
      </c>
      <c r="L632" s="11" t="s">
        <v>72</v>
      </c>
      <c r="M632" s="11" t="s">
        <v>73</v>
      </c>
      <c r="N632" s="11" t="s">
        <v>123</v>
      </c>
      <c r="O632" s="11" t="s">
        <v>60</v>
      </c>
      <c r="P632" s="11" t="s">
        <v>106</v>
      </c>
      <c r="Q632" s="13" t="n">
        <f aca="false">F632*H632</f>
        <v>32882196</v>
      </c>
      <c r="R632" s="13" t="n">
        <f aca="false">G632*H632</f>
        <v>26000000</v>
      </c>
      <c r="S632" s="13" t="n">
        <f aca="false">Q632-R632</f>
        <v>6882196</v>
      </c>
      <c r="T632" s="14" t="n">
        <f aca="false">IFERROR(S632/Q632,0)</f>
        <v>0.209298551714733</v>
      </c>
      <c r="U632" s="15" t="str">
        <f aca="false">TEXT(A632,"yyyy-mm")</f>
        <v>2022-08</v>
      </c>
    </row>
    <row r="633" customFormat="false" ht="15" hidden="false" customHeight="false" outlineLevel="0" collapsed="false">
      <c r="A633" s="10" t="n">
        <v>44789</v>
      </c>
      <c r="B633" s="11" t="s">
        <v>765</v>
      </c>
      <c r="C633" s="11" t="s">
        <v>121</v>
      </c>
      <c r="D633" s="11" t="s">
        <v>118</v>
      </c>
      <c r="E633" s="11" t="s">
        <v>122</v>
      </c>
      <c r="F633" s="12" t="n">
        <v>7687274</v>
      </c>
      <c r="G633" s="12" t="n">
        <v>6500000</v>
      </c>
      <c r="H633" s="11" t="n">
        <v>15</v>
      </c>
      <c r="I633" s="11" t="s">
        <v>86</v>
      </c>
      <c r="J633" s="11" t="s">
        <v>87</v>
      </c>
      <c r="K633" s="11" t="s">
        <v>88</v>
      </c>
      <c r="L633" s="11" t="s">
        <v>89</v>
      </c>
      <c r="M633" s="11" t="s">
        <v>90</v>
      </c>
      <c r="N633" s="11" t="s">
        <v>74</v>
      </c>
      <c r="O633" s="11" t="s">
        <v>75</v>
      </c>
      <c r="P633" s="11" t="s">
        <v>76</v>
      </c>
      <c r="Q633" s="13" t="n">
        <f aca="false">F633*H633</f>
        <v>115309110</v>
      </c>
      <c r="R633" s="13" t="n">
        <f aca="false">G633*H633</f>
        <v>97500000</v>
      </c>
      <c r="S633" s="13" t="n">
        <f aca="false">Q633-R633</f>
        <v>17809110</v>
      </c>
      <c r="T633" s="14" t="n">
        <f aca="false">IFERROR(S633/Q633,0)</f>
        <v>0.154446686822923</v>
      </c>
      <c r="U633" s="15" t="str">
        <f aca="false">TEXT(A633,"yyyy-mm")</f>
        <v>2022-08</v>
      </c>
    </row>
    <row r="634" customFormat="false" ht="15" hidden="false" customHeight="false" outlineLevel="0" collapsed="false">
      <c r="A634" s="10" t="n">
        <v>44789</v>
      </c>
      <c r="B634" s="11" t="s">
        <v>766</v>
      </c>
      <c r="C634" s="11" t="s">
        <v>125</v>
      </c>
      <c r="D634" s="11" t="s">
        <v>118</v>
      </c>
      <c r="E634" s="11" t="s">
        <v>126</v>
      </c>
      <c r="F634" s="12" t="n">
        <v>5684211</v>
      </c>
      <c r="G634" s="12" t="n">
        <v>4300000</v>
      </c>
      <c r="H634" s="11" t="n">
        <v>3</v>
      </c>
      <c r="I634" s="11" t="s">
        <v>69</v>
      </c>
      <c r="J634" s="11" t="s">
        <v>112</v>
      </c>
      <c r="K634" s="11" t="s">
        <v>113</v>
      </c>
      <c r="L634" s="11" t="s">
        <v>82</v>
      </c>
      <c r="M634" s="11" t="s">
        <v>157</v>
      </c>
      <c r="N634" s="11" t="s">
        <v>149</v>
      </c>
      <c r="O634" s="11" t="s">
        <v>150</v>
      </c>
      <c r="P634" s="11" t="s">
        <v>151</v>
      </c>
      <c r="Q634" s="13" t="n">
        <f aca="false">F634*H634</f>
        <v>17052633</v>
      </c>
      <c r="R634" s="13" t="n">
        <f aca="false">G634*H634</f>
        <v>12900000</v>
      </c>
      <c r="S634" s="13" t="n">
        <f aca="false">Q634-R634</f>
        <v>4152633</v>
      </c>
      <c r="T634" s="14" t="n">
        <f aca="false">IFERROR(S634/Q634,0)</f>
        <v>0.243518581558637</v>
      </c>
      <c r="U634" s="15" t="str">
        <f aca="false">TEXT(A634,"yyyy-mm")</f>
        <v>2022-08</v>
      </c>
    </row>
    <row r="635" customFormat="false" ht="15" hidden="false" customHeight="false" outlineLevel="0" collapsed="false">
      <c r="A635" s="10" t="n">
        <v>44789</v>
      </c>
      <c r="B635" s="11" t="s">
        <v>767</v>
      </c>
      <c r="C635" s="11" t="s">
        <v>128</v>
      </c>
      <c r="D635" s="11" t="s">
        <v>118</v>
      </c>
      <c r="E635" s="11" t="s">
        <v>119</v>
      </c>
      <c r="F635" s="12" t="n">
        <v>3370302</v>
      </c>
      <c r="G635" s="12" t="n">
        <v>2100000</v>
      </c>
      <c r="H635" s="11" t="n">
        <v>13</v>
      </c>
      <c r="I635" s="11" t="s">
        <v>86</v>
      </c>
      <c r="J635" s="11" t="s">
        <v>87</v>
      </c>
      <c r="K635" s="11" t="s">
        <v>88</v>
      </c>
      <c r="L635" s="11" t="s">
        <v>89</v>
      </c>
      <c r="M635" s="11" t="s">
        <v>90</v>
      </c>
      <c r="N635" s="11" t="s">
        <v>149</v>
      </c>
      <c r="O635" s="11" t="s">
        <v>150</v>
      </c>
      <c r="P635" s="11" t="s">
        <v>151</v>
      </c>
      <c r="Q635" s="13" t="n">
        <f aca="false">F635*H635</f>
        <v>43813926</v>
      </c>
      <c r="R635" s="13" t="n">
        <f aca="false">G635*H635</f>
        <v>27300000</v>
      </c>
      <c r="S635" s="13" t="n">
        <f aca="false">Q635-R635</f>
        <v>16513926</v>
      </c>
      <c r="T635" s="14" t="n">
        <f aca="false">IFERROR(S635/Q635,0)</f>
        <v>0.37691043710623</v>
      </c>
      <c r="U635" s="15" t="str">
        <f aca="false">TEXT(A635,"yyyy-mm")</f>
        <v>2022-08</v>
      </c>
    </row>
    <row r="636" customFormat="false" ht="15" hidden="false" customHeight="false" outlineLevel="0" collapsed="false">
      <c r="A636" s="10" t="n">
        <v>44789</v>
      </c>
      <c r="B636" s="11" t="s">
        <v>768</v>
      </c>
      <c r="C636" s="11" t="s">
        <v>130</v>
      </c>
      <c r="D636" s="11" t="s">
        <v>118</v>
      </c>
      <c r="E636" s="11" t="s">
        <v>68</v>
      </c>
      <c r="F636" s="12" t="n">
        <v>2852897</v>
      </c>
      <c r="G636" s="12" t="n">
        <v>2450000</v>
      </c>
      <c r="H636" s="11" t="n">
        <v>5</v>
      </c>
      <c r="I636" s="11" t="s">
        <v>86</v>
      </c>
      <c r="J636" s="11" t="s">
        <v>87</v>
      </c>
      <c r="K636" s="11" t="s">
        <v>88</v>
      </c>
      <c r="L636" s="11" t="s">
        <v>89</v>
      </c>
      <c r="M636" s="11" t="s">
        <v>90</v>
      </c>
      <c r="N636" s="11" t="s">
        <v>104</v>
      </c>
      <c r="O636" s="11" t="s">
        <v>105</v>
      </c>
      <c r="P636" s="11" t="s">
        <v>106</v>
      </c>
      <c r="Q636" s="13" t="n">
        <f aca="false">F636*H636</f>
        <v>14264485</v>
      </c>
      <c r="R636" s="13" t="n">
        <f aca="false">G636*H636</f>
        <v>12250000</v>
      </c>
      <c r="S636" s="13" t="n">
        <f aca="false">Q636-R636</f>
        <v>2014485</v>
      </c>
      <c r="T636" s="14" t="n">
        <f aca="false">IFERROR(S636/Q636,0)</f>
        <v>0.141223815651249</v>
      </c>
      <c r="U636" s="15" t="str">
        <f aca="false">TEXT(A636,"yyyy-mm")</f>
        <v>2022-08</v>
      </c>
    </row>
    <row r="637" customFormat="false" ht="15" hidden="false" customHeight="false" outlineLevel="0" collapsed="false">
      <c r="A637" s="10" t="n">
        <v>44789</v>
      </c>
      <c r="B637" s="11" t="s">
        <v>769</v>
      </c>
      <c r="C637" s="11" t="s">
        <v>132</v>
      </c>
      <c r="D637" s="11" t="s">
        <v>118</v>
      </c>
      <c r="E637" s="11" t="s">
        <v>68</v>
      </c>
      <c r="F637" s="12" t="n">
        <v>4803603</v>
      </c>
      <c r="G637" s="12" t="n">
        <v>4121000</v>
      </c>
      <c r="H637" s="11" t="n">
        <v>25</v>
      </c>
      <c r="I637" s="11" t="s">
        <v>69</v>
      </c>
      <c r="J637" s="11" t="s">
        <v>112</v>
      </c>
      <c r="K637" s="11" t="s">
        <v>113</v>
      </c>
      <c r="L637" s="11" t="s">
        <v>82</v>
      </c>
      <c r="M637" s="11" t="s">
        <v>157</v>
      </c>
      <c r="N637" s="11" t="s">
        <v>93</v>
      </c>
      <c r="O637" s="11" t="s">
        <v>94</v>
      </c>
      <c r="P637" s="11" t="s">
        <v>95</v>
      </c>
      <c r="Q637" s="13" t="n">
        <f aca="false">F637*H637</f>
        <v>120090075</v>
      </c>
      <c r="R637" s="13" t="n">
        <f aca="false">G637*H637</f>
        <v>103025000</v>
      </c>
      <c r="S637" s="13" t="n">
        <f aca="false">Q637-R637</f>
        <v>17065075</v>
      </c>
      <c r="T637" s="14" t="n">
        <f aca="false">IFERROR(S637/Q637,0)</f>
        <v>0.142102292799801</v>
      </c>
      <c r="U637" s="15" t="str">
        <f aca="false">TEXT(A637,"yyyy-mm")</f>
        <v>2022-08</v>
      </c>
    </row>
    <row r="638" customFormat="false" ht="15" hidden="false" customHeight="false" outlineLevel="0" collapsed="false">
      <c r="A638" s="10" t="n">
        <v>44789</v>
      </c>
      <c r="B638" s="11" t="s">
        <v>770</v>
      </c>
      <c r="C638" s="11" t="s">
        <v>135</v>
      </c>
      <c r="D638" s="11" t="s">
        <v>118</v>
      </c>
      <c r="E638" s="11" t="s">
        <v>68</v>
      </c>
      <c r="F638" s="12" t="n">
        <v>5689947</v>
      </c>
      <c r="G638" s="12" t="n">
        <v>5235000</v>
      </c>
      <c r="H638" s="11" t="n">
        <v>28</v>
      </c>
      <c r="I638" s="11" t="s">
        <v>69</v>
      </c>
      <c r="J638" s="11" t="s">
        <v>80</v>
      </c>
      <c r="K638" s="11" t="s">
        <v>81</v>
      </c>
      <c r="L638" s="11" t="s">
        <v>82</v>
      </c>
      <c r="M638" s="11" t="s">
        <v>73</v>
      </c>
      <c r="N638" s="11" t="s">
        <v>74</v>
      </c>
      <c r="O638" s="11" t="s">
        <v>75</v>
      </c>
      <c r="P638" s="11" t="s">
        <v>76</v>
      </c>
      <c r="Q638" s="13" t="n">
        <f aca="false">F638*H638</f>
        <v>159318516</v>
      </c>
      <c r="R638" s="13" t="n">
        <f aca="false">G638*H638</f>
        <v>146580000</v>
      </c>
      <c r="S638" s="13" t="n">
        <f aca="false">Q638-R638</f>
        <v>12738516</v>
      </c>
      <c r="T638" s="14" t="n">
        <f aca="false">IFERROR(S638/Q638,0)</f>
        <v>0.0799562807878527</v>
      </c>
      <c r="U638" s="15" t="str">
        <f aca="false">TEXT(A638,"yyyy-mm")</f>
        <v>2022-08</v>
      </c>
    </row>
    <row r="639" customFormat="false" ht="15" hidden="false" customHeight="false" outlineLevel="0" collapsed="false">
      <c r="A639" s="10" t="n">
        <v>44789</v>
      </c>
      <c r="B639" s="11" t="s">
        <v>771</v>
      </c>
      <c r="C639" s="11" t="s">
        <v>137</v>
      </c>
      <c r="D639" s="11" t="s">
        <v>138</v>
      </c>
      <c r="E639" s="11" t="s">
        <v>139</v>
      </c>
      <c r="F639" s="12" t="n">
        <v>5171827</v>
      </c>
      <c r="G639" s="12" t="n">
        <v>4890000</v>
      </c>
      <c r="H639" s="11" t="n">
        <v>11</v>
      </c>
      <c r="I639" s="11" t="s">
        <v>69</v>
      </c>
      <c r="J639" s="11" t="s">
        <v>80</v>
      </c>
      <c r="K639" s="11" t="s">
        <v>81</v>
      </c>
      <c r="L639" s="11" t="s">
        <v>82</v>
      </c>
      <c r="M639" s="11" t="s">
        <v>73</v>
      </c>
      <c r="N639" s="11" t="s">
        <v>149</v>
      </c>
      <c r="O639" s="11" t="s">
        <v>150</v>
      </c>
      <c r="P639" s="11" t="s">
        <v>151</v>
      </c>
      <c r="Q639" s="13" t="n">
        <f aca="false">F639*H639</f>
        <v>56890097</v>
      </c>
      <c r="R639" s="13" t="n">
        <f aca="false">G639*H639</f>
        <v>53790000</v>
      </c>
      <c r="S639" s="13" t="n">
        <f aca="false">Q639-R639</f>
        <v>3100097</v>
      </c>
      <c r="T639" s="14" t="n">
        <f aca="false">IFERROR(S639/Q639,0)</f>
        <v>0.0544927353525166</v>
      </c>
      <c r="U639" s="15" t="str">
        <f aca="false">TEXT(A639,"yyyy-mm")</f>
        <v>2022-08</v>
      </c>
    </row>
    <row r="640" customFormat="false" ht="15" hidden="false" customHeight="false" outlineLevel="0" collapsed="false">
      <c r="A640" s="10" t="n">
        <v>44790</v>
      </c>
      <c r="B640" s="11" t="s">
        <v>772</v>
      </c>
      <c r="C640" s="11" t="s">
        <v>141</v>
      </c>
      <c r="D640" s="11" t="s">
        <v>138</v>
      </c>
      <c r="E640" s="11" t="s">
        <v>142</v>
      </c>
      <c r="F640" s="12" t="n">
        <v>2805124</v>
      </c>
      <c r="G640" s="12" t="n">
        <v>2178000</v>
      </c>
      <c r="H640" s="11" t="n">
        <v>25</v>
      </c>
      <c r="I640" s="11" t="s">
        <v>69</v>
      </c>
      <c r="J640" s="11" t="s">
        <v>80</v>
      </c>
      <c r="K640" s="11" t="s">
        <v>81</v>
      </c>
      <c r="L640" s="11" t="s">
        <v>82</v>
      </c>
      <c r="M640" s="11" t="s">
        <v>73</v>
      </c>
      <c r="N640" s="11" t="s">
        <v>93</v>
      </c>
      <c r="O640" s="11" t="s">
        <v>94</v>
      </c>
      <c r="P640" s="11" t="s">
        <v>95</v>
      </c>
      <c r="Q640" s="13" t="n">
        <f aca="false">F640*H640</f>
        <v>70128100</v>
      </c>
      <c r="R640" s="13" t="n">
        <f aca="false">G640*H640</f>
        <v>54450000</v>
      </c>
      <c r="S640" s="13" t="n">
        <f aca="false">Q640-R640</f>
        <v>15678100</v>
      </c>
      <c r="T640" s="14" t="n">
        <f aca="false">IFERROR(S640/Q640,0)</f>
        <v>0.22356373550688</v>
      </c>
      <c r="U640" s="15" t="str">
        <f aca="false">TEXT(A640,"yyyy-mm")</f>
        <v>2022-08</v>
      </c>
    </row>
    <row r="641" customFormat="false" ht="15" hidden="false" customHeight="false" outlineLevel="0" collapsed="false">
      <c r="A641" s="10" t="n">
        <v>44790</v>
      </c>
      <c r="B641" s="11" t="s">
        <v>773</v>
      </c>
      <c r="C641" s="11" t="s">
        <v>146</v>
      </c>
      <c r="D641" s="11" t="s">
        <v>138</v>
      </c>
      <c r="E641" s="11" t="s">
        <v>139</v>
      </c>
      <c r="F641" s="12" t="n">
        <v>2728100</v>
      </c>
      <c r="G641" s="12" t="n">
        <v>2321000</v>
      </c>
      <c r="H641" s="11" t="n">
        <v>15</v>
      </c>
      <c r="I641" s="11" t="s">
        <v>69</v>
      </c>
      <c r="J641" s="11" t="s">
        <v>80</v>
      </c>
      <c r="K641" s="11" t="s">
        <v>81</v>
      </c>
      <c r="L641" s="11" t="s">
        <v>82</v>
      </c>
      <c r="M641" s="11" t="s">
        <v>73</v>
      </c>
      <c r="N641" s="11" t="s">
        <v>104</v>
      </c>
      <c r="O641" s="11" t="s">
        <v>105</v>
      </c>
      <c r="P641" s="11" t="s">
        <v>106</v>
      </c>
      <c r="Q641" s="13" t="n">
        <f aca="false">F641*H641</f>
        <v>40921500</v>
      </c>
      <c r="R641" s="13" t="n">
        <f aca="false">G641*H641</f>
        <v>34815000</v>
      </c>
      <c r="S641" s="13" t="n">
        <f aca="false">Q641-R641</f>
        <v>6106500</v>
      </c>
      <c r="T641" s="14" t="n">
        <f aca="false">IFERROR(S641/Q641,0)</f>
        <v>0.149224735163667</v>
      </c>
      <c r="U641" s="15" t="str">
        <f aca="false">TEXT(A641,"yyyy-mm")</f>
        <v>2022-08</v>
      </c>
    </row>
    <row r="642" customFormat="false" ht="15" hidden="false" customHeight="false" outlineLevel="0" collapsed="false">
      <c r="A642" s="10" t="n">
        <v>44790</v>
      </c>
      <c r="B642" s="11" t="s">
        <v>774</v>
      </c>
      <c r="C642" s="11" t="s">
        <v>148</v>
      </c>
      <c r="D642" s="11" t="s">
        <v>138</v>
      </c>
      <c r="E642" s="11" t="s">
        <v>122</v>
      </c>
      <c r="F642" s="12" t="n">
        <v>4941716</v>
      </c>
      <c r="G642" s="12" t="n">
        <v>4456000</v>
      </c>
      <c r="H642" s="11" t="n">
        <v>9</v>
      </c>
      <c r="I642" s="11" t="s">
        <v>69</v>
      </c>
      <c r="J642" s="11" t="s">
        <v>80</v>
      </c>
      <c r="K642" s="11" t="s">
        <v>81</v>
      </c>
      <c r="L642" s="11" t="s">
        <v>82</v>
      </c>
      <c r="M642" s="11" t="s">
        <v>73</v>
      </c>
      <c r="N642" s="11" t="s">
        <v>109</v>
      </c>
      <c r="O642" s="11" t="s">
        <v>75</v>
      </c>
      <c r="P642" s="11" t="s">
        <v>95</v>
      </c>
      <c r="Q642" s="13" t="n">
        <f aca="false">F642*H642</f>
        <v>44475444</v>
      </c>
      <c r="R642" s="13" t="n">
        <f aca="false">G642*H642</f>
        <v>40104000</v>
      </c>
      <c r="S642" s="13" t="n">
        <f aca="false">Q642-R642</f>
        <v>4371444</v>
      </c>
      <c r="T642" s="14" t="n">
        <f aca="false">IFERROR(S642/Q642,0)</f>
        <v>0.0982889344511097</v>
      </c>
      <c r="U642" s="15" t="str">
        <f aca="false">TEXT(A642,"yyyy-mm")</f>
        <v>2022-08</v>
      </c>
    </row>
    <row r="643" customFormat="false" ht="15" hidden="false" customHeight="false" outlineLevel="0" collapsed="false">
      <c r="A643" s="10" t="n">
        <v>44790</v>
      </c>
      <c r="B643" s="11" t="s">
        <v>775</v>
      </c>
      <c r="C643" s="11" t="s">
        <v>66</v>
      </c>
      <c r="D643" s="11" t="s">
        <v>67</v>
      </c>
      <c r="E643" s="11" t="s">
        <v>68</v>
      </c>
      <c r="F643" s="12" t="n">
        <v>3048952</v>
      </c>
      <c r="G643" s="12" t="n">
        <v>2560000</v>
      </c>
      <c r="H643" s="11" t="n">
        <v>12</v>
      </c>
      <c r="I643" s="11" t="s">
        <v>86</v>
      </c>
      <c r="J643" s="11" t="s">
        <v>87</v>
      </c>
      <c r="K643" s="11" t="s">
        <v>88</v>
      </c>
      <c r="L643" s="11" t="s">
        <v>89</v>
      </c>
      <c r="M643" s="11" t="s">
        <v>90</v>
      </c>
      <c r="N643" s="11" t="s">
        <v>133</v>
      </c>
      <c r="O643" s="11" t="s">
        <v>60</v>
      </c>
      <c r="P643" s="11" t="s">
        <v>76</v>
      </c>
      <c r="Q643" s="13" t="n">
        <f aca="false">F643*H643</f>
        <v>36587424</v>
      </c>
      <c r="R643" s="13" t="n">
        <f aca="false">G643*H643</f>
        <v>30720000</v>
      </c>
      <c r="S643" s="13" t="n">
        <f aca="false">Q643-R643</f>
        <v>5867424</v>
      </c>
      <c r="T643" s="14" t="n">
        <f aca="false">IFERROR(S643/Q643,0)</f>
        <v>0.160367234380863</v>
      </c>
      <c r="U643" s="15" t="str">
        <f aca="false">TEXT(A643,"yyyy-mm")</f>
        <v>2022-08</v>
      </c>
    </row>
    <row r="644" customFormat="false" ht="15" hidden="false" customHeight="false" outlineLevel="0" collapsed="false">
      <c r="A644" s="10" t="n">
        <v>44791</v>
      </c>
      <c r="B644" s="11" t="s">
        <v>776</v>
      </c>
      <c r="C644" s="11" t="s">
        <v>78</v>
      </c>
      <c r="D644" s="11" t="s">
        <v>67</v>
      </c>
      <c r="E644" s="11" t="s">
        <v>79</v>
      </c>
      <c r="F644" s="12" t="n">
        <v>1870000</v>
      </c>
      <c r="G644" s="12" t="n">
        <v>1650000</v>
      </c>
      <c r="H644" s="11" t="n">
        <v>17</v>
      </c>
      <c r="I644" s="11" t="s">
        <v>69</v>
      </c>
      <c r="J644" s="11" t="s">
        <v>112</v>
      </c>
      <c r="K644" s="11" t="s">
        <v>113</v>
      </c>
      <c r="L644" s="11" t="s">
        <v>82</v>
      </c>
      <c r="M644" s="11" t="s">
        <v>157</v>
      </c>
      <c r="N644" s="11" t="s">
        <v>109</v>
      </c>
      <c r="O644" s="11" t="s">
        <v>75</v>
      </c>
      <c r="P644" s="11" t="s">
        <v>95</v>
      </c>
      <c r="Q644" s="13" t="n">
        <f aca="false">F644*H644</f>
        <v>31790000</v>
      </c>
      <c r="R644" s="13" t="n">
        <f aca="false">G644*H644</f>
        <v>28050000</v>
      </c>
      <c r="S644" s="13" t="n">
        <f aca="false">Q644-R644</f>
        <v>3740000</v>
      </c>
      <c r="T644" s="14" t="n">
        <f aca="false">IFERROR(S644/Q644,0)</f>
        <v>0.117647058823529</v>
      </c>
      <c r="U644" s="15" t="str">
        <f aca="false">TEXT(A644,"yyyy-mm")</f>
        <v>2022-08</v>
      </c>
    </row>
    <row r="645" customFormat="false" ht="15" hidden="false" customHeight="false" outlineLevel="0" collapsed="false">
      <c r="A645" s="10" t="n">
        <v>44791</v>
      </c>
      <c r="B645" s="11" t="s">
        <v>777</v>
      </c>
      <c r="C645" s="11" t="s">
        <v>84</v>
      </c>
      <c r="D645" s="11" t="s">
        <v>67</v>
      </c>
      <c r="E645" s="11" t="s">
        <v>85</v>
      </c>
      <c r="F645" s="12" t="n">
        <v>2600000</v>
      </c>
      <c r="G645" s="12" t="n">
        <v>2300000</v>
      </c>
      <c r="H645" s="11" t="n">
        <v>5</v>
      </c>
      <c r="I645" s="11" t="s">
        <v>69</v>
      </c>
      <c r="J645" s="11" t="s">
        <v>112</v>
      </c>
      <c r="K645" s="11" t="s">
        <v>113</v>
      </c>
      <c r="L645" s="11" t="s">
        <v>82</v>
      </c>
      <c r="M645" s="11" t="s">
        <v>157</v>
      </c>
      <c r="N645" s="11" t="s">
        <v>173</v>
      </c>
      <c r="O645" s="11" t="s">
        <v>174</v>
      </c>
      <c r="P645" s="11" t="s">
        <v>95</v>
      </c>
      <c r="Q645" s="13" t="n">
        <f aca="false">F645*H645</f>
        <v>13000000</v>
      </c>
      <c r="R645" s="13" t="n">
        <f aca="false">G645*H645</f>
        <v>11500000</v>
      </c>
      <c r="S645" s="13" t="n">
        <f aca="false">Q645-R645</f>
        <v>1500000</v>
      </c>
      <c r="T645" s="14" t="n">
        <f aca="false">IFERROR(S645/Q645,0)</f>
        <v>0.115384615384615</v>
      </c>
      <c r="U645" s="15" t="str">
        <f aca="false">TEXT(A645,"yyyy-mm")</f>
        <v>2022-08</v>
      </c>
    </row>
    <row r="646" customFormat="false" ht="15" hidden="false" customHeight="false" outlineLevel="0" collapsed="false">
      <c r="A646" s="10" t="n">
        <v>44791</v>
      </c>
      <c r="B646" s="11" t="s">
        <v>778</v>
      </c>
      <c r="C646" s="11" t="s">
        <v>92</v>
      </c>
      <c r="D646" s="11" t="s">
        <v>67</v>
      </c>
      <c r="E646" s="11" t="s">
        <v>79</v>
      </c>
      <c r="F646" s="12" t="n">
        <v>3577480</v>
      </c>
      <c r="G646" s="12" t="n">
        <v>3100000</v>
      </c>
      <c r="H646" s="11" t="n">
        <v>13</v>
      </c>
      <c r="I646" s="11" t="s">
        <v>86</v>
      </c>
      <c r="J646" s="11" t="s">
        <v>87</v>
      </c>
      <c r="K646" s="11" t="s">
        <v>88</v>
      </c>
      <c r="L646" s="11" t="s">
        <v>89</v>
      </c>
      <c r="M646" s="11" t="s">
        <v>90</v>
      </c>
      <c r="N646" s="11" t="s">
        <v>99</v>
      </c>
      <c r="O646" s="11" t="s">
        <v>100</v>
      </c>
      <c r="P646" s="11" t="s">
        <v>101</v>
      </c>
      <c r="Q646" s="13" t="n">
        <f aca="false">F646*H646</f>
        <v>46507240</v>
      </c>
      <c r="R646" s="13" t="n">
        <f aca="false">G646*H646</f>
        <v>40300000</v>
      </c>
      <c r="S646" s="13" t="n">
        <f aca="false">Q646-R646</f>
        <v>6207240</v>
      </c>
      <c r="T646" s="14" t="n">
        <f aca="false">IFERROR(S646/Q646,0)</f>
        <v>0.133468251394837</v>
      </c>
      <c r="U646" s="15" t="str">
        <f aca="false">TEXT(A646,"yyyy-mm")</f>
        <v>2022-08</v>
      </c>
    </row>
    <row r="647" customFormat="false" ht="15" hidden="false" customHeight="false" outlineLevel="0" collapsed="false">
      <c r="A647" s="10" t="n">
        <v>44791</v>
      </c>
      <c r="B647" s="11" t="s">
        <v>779</v>
      </c>
      <c r="C647" s="11" t="s">
        <v>97</v>
      </c>
      <c r="D647" s="11" t="s">
        <v>67</v>
      </c>
      <c r="E647" s="11" t="s">
        <v>98</v>
      </c>
      <c r="F647" s="12" t="n">
        <v>4969724</v>
      </c>
      <c r="G647" s="12" t="n">
        <v>4121560</v>
      </c>
      <c r="H647" s="11" t="n">
        <v>2</v>
      </c>
      <c r="I647" s="11" t="s">
        <v>69</v>
      </c>
      <c r="J647" s="11" t="s">
        <v>112</v>
      </c>
      <c r="K647" s="11" t="s">
        <v>113</v>
      </c>
      <c r="L647" s="11" t="s">
        <v>82</v>
      </c>
      <c r="M647" s="11" t="s">
        <v>157</v>
      </c>
      <c r="N647" s="11" t="s">
        <v>143</v>
      </c>
      <c r="O647" s="11" t="s">
        <v>144</v>
      </c>
      <c r="P647" s="11" t="s">
        <v>101</v>
      </c>
      <c r="Q647" s="13" t="n">
        <f aca="false">F647*H647</f>
        <v>9939448</v>
      </c>
      <c r="R647" s="13" t="n">
        <f aca="false">G647*H647</f>
        <v>8243120</v>
      </c>
      <c r="S647" s="13" t="n">
        <f aca="false">Q647-R647</f>
        <v>1696328</v>
      </c>
      <c r="T647" s="14" t="n">
        <f aca="false">IFERROR(S647/Q647,0)</f>
        <v>0.170666218083741</v>
      </c>
      <c r="U647" s="15" t="str">
        <f aca="false">TEXT(A647,"yyyy-mm")</f>
        <v>2022-08</v>
      </c>
    </row>
    <row r="648" customFormat="false" ht="15" hidden="false" customHeight="false" outlineLevel="0" collapsed="false">
      <c r="A648" s="10" t="n">
        <v>44791</v>
      </c>
      <c r="B648" s="11" t="s">
        <v>780</v>
      </c>
      <c r="C648" s="11" t="s">
        <v>103</v>
      </c>
      <c r="D648" s="11" t="s">
        <v>67</v>
      </c>
      <c r="E648" s="11" t="s">
        <v>68</v>
      </c>
      <c r="F648" s="12" t="n">
        <v>3319925</v>
      </c>
      <c r="G648" s="12" t="n">
        <v>2800000</v>
      </c>
      <c r="H648" s="11" t="n">
        <v>20</v>
      </c>
      <c r="I648" s="11" t="s">
        <v>69</v>
      </c>
      <c r="J648" s="11" t="s">
        <v>80</v>
      </c>
      <c r="K648" s="11" t="s">
        <v>81</v>
      </c>
      <c r="L648" s="11" t="s">
        <v>82</v>
      </c>
      <c r="M648" s="11" t="s">
        <v>73</v>
      </c>
      <c r="N648" s="11" t="s">
        <v>99</v>
      </c>
      <c r="O648" s="11" t="s">
        <v>100</v>
      </c>
      <c r="P648" s="11" t="s">
        <v>101</v>
      </c>
      <c r="Q648" s="13" t="n">
        <f aca="false">F648*H648</f>
        <v>66398500</v>
      </c>
      <c r="R648" s="13" t="n">
        <f aca="false">G648*H648</f>
        <v>56000000</v>
      </c>
      <c r="S648" s="13" t="n">
        <f aca="false">Q648-R648</f>
        <v>10398500</v>
      </c>
      <c r="T648" s="14" t="n">
        <f aca="false">IFERROR(S648/Q648,0)</f>
        <v>0.15660745348163</v>
      </c>
      <c r="U648" s="15" t="str">
        <f aca="false">TEXT(A648,"yyyy-mm")</f>
        <v>2022-08</v>
      </c>
    </row>
    <row r="649" customFormat="false" ht="15" hidden="false" customHeight="false" outlineLevel="0" collapsed="false">
      <c r="A649" s="10" t="n">
        <v>44792</v>
      </c>
      <c r="B649" s="11" t="s">
        <v>781</v>
      </c>
      <c r="C649" s="11" t="s">
        <v>108</v>
      </c>
      <c r="D649" s="11" t="s">
        <v>67</v>
      </c>
      <c r="E649" s="11" t="s">
        <v>68</v>
      </c>
      <c r="F649" s="12" t="n">
        <v>4757880</v>
      </c>
      <c r="G649" s="12" t="n">
        <v>3450000</v>
      </c>
      <c r="H649" s="11" t="n">
        <v>4</v>
      </c>
      <c r="I649" s="11" t="s">
        <v>69</v>
      </c>
      <c r="J649" s="11" t="s">
        <v>80</v>
      </c>
      <c r="K649" s="11" t="s">
        <v>81</v>
      </c>
      <c r="L649" s="11" t="s">
        <v>82</v>
      </c>
      <c r="M649" s="11" t="s">
        <v>73</v>
      </c>
      <c r="N649" s="11" t="s">
        <v>99</v>
      </c>
      <c r="O649" s="11" t="s">
        <v>100</v>
      </c>
      <c r="P649" s="11" t="s">
        <v>101</v>
      </c>
      <c r="Q649" s="13" t="n">
        <f aca="false">F649*H649</f>
        <v>19031520</v>
      </c>
      <c r="R649" s="13" t="n">
        <f aca="false">G649*H649</f>
        <v>13800000</v>
      </c>
      <c r="S649" s="13" t="n">
        <f aca="false">Q649-R649</f>
        <v>5231520</v>
      </c>
      <c r="T649" s="14" t="n">
        <f aca="false">IFERROR(S649/Q649,0)</f>
        <v>0.274887134606169</v>
      </c>
      <c r="U649" s="15" t="str">
        <f aca="false">TEXT(A649,"yyyy-mm")</f>
        <v>2022-08</v>
      </c>
    </row>
    <row r="650" customFormat="false" ht="15" hidden="false" customHeight="false" outlineLevel="0" collapsed="false">
      <c r="A650" s="10" t="n">
        <v>44793</v>
      </c>
      <c r="B650" s="11" t="s">
        <v>782</v>
      </c>
      <c r="C650" s="11" t="s">
        <v>111</v>
      </c>
      <c r="D650" s="11" t="s">
        <v>67</v>
      </c>
      <c r="E650" s="11" t="s">
        <v>79</v>
      </c>
      <c r="F650" s="12" t="n">
        <v>3545808</v>
      </c>
      <c r="G650" s="12" t="n">
        <v>3350000</v>
      </c>
      <c r="H650" s="11" t="n">
        <v>9</v>
      </c>
      <c r="I650" s="11" t="s">
        <v>69</v>
      </c>
      <c r="J650" s="11" t="s">
        <v>80</v>
      </c>
      <c r="K650" s="11" t="s">
        <v>81</v>
      </c>
      <c r="L650" s="11" t="s">
        <v>82</v>
      </c>
      <c r="M650" s="11" t="s">
        <v>73</v>
      </c>
      <c r="N650" s="11" t="s">
        <v>74</v>
      </c>
      <c r="O650" s="11" t="s">
        <v>75</v>
      </c>
      <c r="P650" s="11" t="s">
        <v>76</v>
      </c>
      <c r="Q650" s="13" t="n">
        <f aca="false">F650*H650</f>
        <v>31912272</v>
      </c>
      <c r="R650" s="13" t="n">
        <f aca="false">G650*H650</f>
        <v>30150000</v>
      </c>
      <c r="S650" s="13" t="n">
        <f aca="false">Q650-R650</f>
        <v>1762272</v>
      </c>
      <c r="T650" s="14" t="n">
        <f aca="false">IFERROR(S650/Q650,0)</f>
        <v>0.0552223921881839</v>
      </c>
      <c r="U650" s="15" t="str">
        <f aca="false">TEXT(A650,"yyyy-mm")</f>
        <v>2022-08</v>
      </c>
    </row>
    <row r="651" customFormat="false" ht="15" hidden="false" customHeight="false" outlineLevel="0" collapsed="false">
      <c r="A651" s="10" t="n">
        <v>44793</v>
      </c>
      <c r="B651" s="11" t="s">
        <v>783</v>
      </c>
      <c r="C651" s="11" t="s">
        <v>115</v>
      </c>
      <c r="D651" s="11" t="s">
        <v>67</v>
      </c>
      <c r="E651" s="11" t="s">
        <v>98</v>
      </c>
      <c r="F651" s="12" t="n">
        <v>4200743</v>
      </c>
      <c r="G651" s="12" t="n">
        <v>4101000</v>
      </c>
      <c r="H651" s="11" t="n">
        <v>5</v>
      </c>
      <c r="I651" s="11" t="s">
        <v>86</v>
      </c>
      <c r="J651" s="11" t="s">
        <v>87</v>
      </c>
      <c r="K651" s="11" t="s">
        <v>88</v>
      </c>
      <c r="L651" s="11" t="s">
        <v>89</v>
      </c>
      <c r="M651" s="11" t="s">
        <v>90</v>
      </c>
      <c r="N651" s="11" t="s">
        <v>143</v>
      </c>
      <c r="O651" s="11" t="s">
        <v>144</v>
      </c>
      <c r="P651" s="11" t="s">
        <v>101</v>
      </c>
      <c r="Q651" s="13" t="n">
        <f aca="false">F651*H651</f>
        <v>21003715</v>
      </c>
      <c r="R651" s="13" t="n">
        <f aca="false">G651*H651</f>
        <v>20505000</v>
      </c>
      <c r="S651" s="13" t="n">
        <f aca="false">Q651-R651</f>
        <v>498715</v>
      </c>
      <c r="T651" s="14" t="n">
        <f aca="false">IFERROR(S651/Q651,0)</f>
        <v>0.023744132883159</v>
      </c>
      <c r="U651" s="15" t="str">
        <f aca="false">TEXT(A651,"yyyy-mm")</f>
        <v>2022-08</v>
      </c>
    </row>
    <row r="652" customFormat="false" ht="15" hidden="false" customHeight="false" outlineLevel="0" collapsed="false">
      <c r="A652" s="10" t="n">
        <v>44794</v>
      </c>
      <c r="B652" s="11" t="s">
        <v>784</v>
      </c>
      <c r="C652" s="11" t="s">
        <v>117</v>
      </c>
      <c r="D652" s="11" t="s">
        <v>118</v>
      </c>
      <c r="E652" s="11" t="s">
        <v>119</v>
      </c>
      <c r="F652" s="12" t="n">
        <v>8220549</v>
      </c>
      <c r="G652" s="12" t="n">
        <v>6500000</v>
      </c>
      <c r="H652" s="11" t="n">
        <v>8</v>
      </c>
      <c r="I652" s="11" t="s">
        <v>69</v>
      </c>
      <c r="J652" s="11" t="s">
        <v>70</v>
      </c>
      <c r="K652" s="11" t="s">
        <v>71</v>
      </c>
      <c r="L652" s="11" t="s">
        <v>72</v>
      </c>
      <c r="M652" s="11" t="s">
        <v>73</v>
      </c>
      <c r="N652" s="11" t="s">
        <v>109</v>
      </c>
      <c r="O652" s="11" t="s">
        <v>75</v>
      </c>
      <c r="P652" s="11" t="s">
        <v>95</v>
      </c>
      <c r="Q652" s="13" t="n">
        <f aca="false">F652*H652</f>
        <v>65764392</v>
      </c>
      <c r="R652" s="13" t="n">
        <f aca="false">G652*H652</f>
        <v>52000000</v>
      </c>
      <c r="S652" s="13" t="n">
        <f aca="false">Q652-R652</f>
        <v>13764392</v>
      </c>
      <c r="T652" s="14" t="n">
        <f aca="false">IFERROR(S652/Q652,0)</f>
        <v>0.209298551714733</v>
      </c>
      <c r="U652" s="15" t="str">
        <f aca="false">TEXT(A652,"yyyy-mm")</f>
        <v>2022-08</v>
      </c>
    </row>
    <row r="653" customFormat="false" ht="15" hidden="false" customHeight="false" outlineLevel="0" collapsed="false">
      <c r="A653" s="10" t="n">
        <v>44794</v>
      </c>
      <c r="B653" s="11" t="s">
        <v>785</v>
      </c>
      <c r="C653" s="11" t="s">
        <v>121</v>
      </c>
      <c r="D653" s="11" t="s">
        <v>118</v>
      </c>
      <c r="E653" s="11" t="s">
        <v>122</v>
      </c>
      <c r="F653" s="12" t="n">
        <v>7687274</v>
      </c>
      <c r="G653" s="12" t="n">
        <v>6500000</v>
      </c>
      <c r="H653" s="11" t="n">
        <v>16</v>
      </c>
      <c r="I653" s="11" t="s">
        <v>69</v>
      </c>
      <c r="J653" s="11" t="s">
        <v>112</v>
      </c>
      <c r="K653" s="11" t="s">
        <v>113</v>
      </c>
      <c r="L653" s="11" t="s">
        <v>82</v>
      </c>
      <c r="M653" s="11" t="s">
        <v>157</v>
      </c>
      <c r="N653" s="11" t="s">
        <v>104</v>
      </c>
      <c r="O653" s="11" t="s">
        <v>105</v>
      </c>
      <c r="P653" s="11" t="s">
        <v>106</v>
      </c>
      <c r="Q653" s="13" t="n">
        <f aca="false">F653*H653</f>
        <v>122996384</v>
      </c>
      <c r="R653" s="13" t="n">
        <f aca="false">G653*H653</f>
        <v>104000000</v>
      </c>
      <c r="S653" s="13" t="n">
        <f aca="false">Q653-R653</f>
        <v>18996384</v>
      </c>
      <c r="T653" s="14" t="n">
        <f aca="false">IFERROR(S653/Q653,0)</f>
        <v>0.154446686822923</v>
      </c>
      <c r="U653" s="15" t="str">
        <f aca="false">TEXT(A653,"yyyy-mm")</f>
        <v>2022-08</v>
      </c>
    </row>
    <row r="654" customFormat="false" ht="15" hidden="false" customHeight="false" outlineLevel="0" collapsed="false">
      <c r="A654" s="10" t="n">
        <v>44795</v>
      </c>
      <c r="B654" s="11" t="s">
        <v>786</v>
      </c>
      <c r="C654" s="11" t="s">
        <v>125</v>
      </c>
      <c r="D654" s="11" t="s">
        <v>118</v>
      </c>
      <c r="E654" s="11" t="s">
        <v>126</v>
      </c>
      <c r="F654" s="12" t="n">
        <v>5684211</v>
      </c>
      <c r="G654" s="12" t="n">
        <v>4300000</v>
      </c>
      <c r="H654" s="11" t="n">
        <v>12</v>
      </c>
      <c r="I654" s="11" t="s">
        <v>69</v>
      </c>
      <c r="J654" s="11" t="s">
        <v>112</v>
      </c>
      <c r="K654" s="11" t="s">
        <v>113</v>
      </c>
      <c r="L654" s="11" t="s">
        <v>82</v>
      </c>
      <c r="M654" s="11" t="s">
        <v>157</v>
      </c>
      <c r="N654" s="11" t="s">
        <v>109</v>
      </c>
      <c r="O654" s="11" t="s">
        <v>75</v>
      </c>
      <c r="P654" s="11" t="s">
        <v>95</v>
      </c>
      <c r="Q654" s="13" t="n">
        <f aca="false">F654*H654</f>
        <v>68210532</v>
      </c>
      <c r="R654" s="13" t="n">
        <f aca="false">G654*H654</f>
        <v>51600000</v>
      </c>
      <c r="S654" s="13" t="n">
        <f aca="false">Q654-R654</f>
        <v>16610532</v>
      </c>
      <c r="T654" s="14" t="n">
        <f aca="false">IFERROR(S654/Q654,0)</f>
        <v>0.243518581558637</v>
      </c>
      <c r="U654" s="15" t="str">
        <f aca="false">TEXT(A654,"yyyy-mm")</f>
        <v>2022-08</v>
      </c>
    </row>
    <row r="655" customFormat="false" ht="15" hidden="false" customHeight="false" outlineLevel="0" collapsed="false">
      <c r="A655" s="10" t="n">
        <v>44796</v>
      </c>
      <c r="B655" s="11" t="s">
        <v>787</v>
      </c>
      <c r="C655" s="11" t="s">
        <v>128</v>
      </c>
      <c r="D655" s="11" t="s">
        <v>118</v>
      </c>
      <c r="E655" s="11" t="s">
        <v>119</v>
      </c>
      <c r="F655" s="12" t="n">
        <v>3370302</v>
      </c>
      <c r="G655" s="12" t="n">
        <v>2100000</v>
      </c>
      <c r="H655" s="11" t="n">
        <v>22</v>
      </c>
      <c r="I655" s="11" t="s">
        <v>86</v>
      </c>
      <c r="J655" s="11" t="s">
        <v>87</v>
      </c>
      <c r="K655" s="11" t="s">
        <v>88</v>
      </c>
      <c r="L655" s="11" t="s">
        <v>89</v>
      </c>
      <c r="M655" s="11" t="s">
        <v>90</v>
      </c>
      <c r="N655" s="11" t="s">
        <v>109</v>
      </c>
      <c r="O655" s="11" t="s">
        <v>75</v>
      </c>
      <c r="P655" s="11" t="s">
        <v>95</v>
      </c>
      <c r="Q655" s="13" t="n">
        <f aca="false">F655*H655</f>
        <v>74146644</v>
      </c>
      <c r="R655" s="13" t="n">
        <f aca="false">G655*H655</f>
        <v>46200000</v>
      </c>
      <c r="S655" s="13" t="n">
        <f aca="false">Q655-R655</f>
        <v>27946644</v>
      </c>
      <c r="T655" s="14" t="n">
        <f aca="false">IFERROR(S655/Q655,0)</f>
        <v>0.37691043710623</v>
      </c>
      <c r="U655" s="15" t="str">
        <f aca="false">TEXT(A655,"yyyy-mm")</f>
        <v>2022-08</v>
      </c>
    </row>
    <row r="656" customFormat="false" ht="15" hidden="false" customHeight="false" outlineLevel="0" collapsed="false">
      <c r="A656" s="10" t="n">
        <v>44796</v>
      </c>
      <c r="B656" s="11" t="s">
        <v>788</v>
      </c>
      <c r="C656" s="11" t="s">
        <v>130</v>
      </c>
      <c r="D656" s="11" t="s">
        <v>118</v>
      </c>
      <c r="E656" s="11" t="s">
        <v>68</v>
      </c>
      <c r="F656" s="12" t="n">
        <v>2852897</v>
      </c>
      <c r="G656" s="12" t="n">
        <v>2450000</v>
      </c>
      <c r="H656" s="11" t="n">
        <v>7</v>
      </c>
      <c r="I656" s="11" t="s">
        <v>86</v>
      </c>
      <c r="J656" s="11" t="s">
        <v>87</v>
      </c>
      <c r="K656" s="11" t="s">
        <v>88</v>
      </c>
      <c r="L656" s="11" t="s">
        <v>89</v>
      </c>
      <c r="M656" s="11" t="s">
        <v>90</v>
      </c>
      <c r="N656" s="11" t="s">
        <v>93</v>
      </c>
      <c r="O656" s="11" t="s">
        <v>94</v>
      </c>
      <c r="P656" s="11" t="s">
        <v>95</v>
      </c>
      <c r="Q656" s="13" t="n">
        <f aca="false">F656*H656</f>
        <v>19970279</v>
      </c>
      <c r="R656" s="13" t="n">
        <f aca="false">G656*H656</f>
        <v>17150000</v>
      </c>
      <c r="S656" s="13" t="n">
        <f aca="false">Q656-R656</f>
        <v>2820279</v>
      </c>
      <c r="T656" s="14" t="n">
        <f aca="false">IFERROR(S656/Q656,0)</f>
        <v>0.141223815651249</v>
      </c>
      <c r="U656" s="15" t="str">
        <f aca="false">TEXT(A656,"yyyy-mm")</f>
        <v>2022-08</v>
      </c>
    </row>
    <row r="657" customFormat="false" ht="15" hidden="false" customHeight="false" outlineLevel="0" collapsed="false">
      <c r="A657" s="10" t="n">
        <v>44796</v>
      </c>
      <c r="B657" s="11" t="s">
        <v>789</v>
      </c>
      <c r="C657" s="11" t="s">
        <v>132</v>
      </c>
      <c r="D657" s="11" t="s">
        <v>118</v>
      </c>
      <c r="E657" s="11" t="s">
        <v>68</v>
      </c>
      <c r="F657" s="12" t="n">
        <v>4803603</v>
      </c>
      <c r="G657" s="12" t="n">
        <v>4121000</v>
      </c>
      <c r="H657" s="11" t="n">
        <v>11</v>
      </c>
      <c r="I657" s="11" t="s">
        <v>69</v>
      </c>
      <c r="J657" s="11" t="s">
        <v>80</v>
      </c>
      <c r="K657" s="11" t="s">
        <v>81</v>
      </c>
      <c r="L657" s="11" t="s">
        <v>82</v>
      </c>
      <c r="M657" s="11" t="s">
        <v>73</v>
      </c>
      <c r="N657" s="11" t="s">
        <v>123</v>
      </c>
      <c r="O657" s="11" t="s">
        <v>60</v>
      </c>
      <c r="P657" s="11" t="s">
        <v>106</v>
      </c>
      <c r="Q657" s="13" t="n">
        <f aca="false">F657*H657</f>
        <v>52839633</v>
      </c>
      <c r="R657" s="13" t="n">
        <f aca="false">G657*H657</f>
        <v>45331000</v>
      </c>
      <c r="S657" s="13" t="n">
        <f aca="false">Q657-R657</f>
        <v>7508633</v>
      </c>
      <c r="T657" s="14" t="n">
        <f aca="false">IFERROR(S657/Q657,0)</f>
        <v>0.142102292799801</v>
      </c>
      <c r="U657" s="15" t="str">
        <f aca="false">TEXT(A657,"yyyy-mm")</f>
        <v>2022-08</v>
      </c>
    </row>
    <row r="658" customFormat="false" ht="15" hidden="false" customHeight="false" outlineLevel="0" collapsed="false">
      <c r="A658" s="10" t="n">
        <v>44796</v>
      </c>
      <c r="B658" s="11" t="s">
        <v>790</v>
      </c>
      <c r="C658" s="11" t="s">
        <v>135</v>
      </c>
      <c r="D658" s="11" t="s">
        <v>118</v>
      </c>
      <c r="E658" s="11" t="s">
        <v>68</v>
      </c>
      <c r="F658" s="12" t="n">
        <v>5689947</v>
      </c>
      <c r="G658" s="12" t="n">
        <v>5235000</v>
      </c>
      <c r="H658" s="11" t="n">
        <v>19</v>
      </c>
      <c r="I658" s="11" t="s">
        <v>69</v>
      </c>
      <c r="J658" s="11" t="s">
        <v>112</v>
      </c>
      <c r="K658" s="11" t="s">
        <v>113</v>
      </c>
      <c r="L658" s="11" t="s">
        <v>82</v>
      </c>
      <c r="M658" s="11" t="s">
        <v>157</v>
      </c>
      <c r="N658" s="11" t="s">
        <v>143</v>
      </c>
      <c r="O658" s="11" t="s">
        <v>144</v>
      </c>
      <c r="P658" s="11" t="s">
        <v>101</v>
      </c>
      <c r="Q658" s="13" t="n">
        <f aca="false">F658*H658</f>
        <v>108108993</v>
      </c>
      <c r="R658" s="13" t="n">
        <f aca="false">G658*H658</f>
        <v>99465000</v>
      </c>
      <c r="S658" s="13" t="n">
        <f aca="false">Q658-R658</f>
        <v>8643993</v>
      </c>
      <c r="T658" s="14" t="n">
        <f aca="false">IFERROR(S658/Q658,0)</f>
        <v>0.0799562807878527</v>
      </c>
      <c r="U658" s="15" t="str">
        <f aca="false">TEXT(A658,"yyyy-mm")</f>
        <v>2022-08</v>
      </c>
    </row>
    <row r="659" customFormat="false" ht="15" hidden="false" customHeight="false" outlineLevel="0" collapsed="false">
      <c r="A659" s="10" t="n">
        <v>44797</v>
      </c>
      <c r="B659" s="11" t="s">
        <v>791</v>
      </c>
      <c r="C659" s="11" t="s">
        <v>137</v>
      </c>
      <c r="D659" s="11" t="s">
        <v>138</v>
      </c>
      <c r="E659" s="11" t="s">
        <v>139</v>
      </c>
      <c r="F659" s="12" t="n">
        <v>5171827</v>
      </c>
      <c r="G659" s="12" t="n">
        <v>4890000</v>
      </c>
      <c r="H659" s="11" t="n">
        <v>17</v>
      </c>
      <c r="I659" s="11" t="s">
        <v>69</v>
      </c>
      <c r="J659" s="11" t="s">
        <v>112</v>
      </c>
      <c r="K659" s="11" t="s">
        <v>113</v>
      </c>
      <c r="L659" s="11" t="s">
        <v>82</v>
      </c>
      <c r="M659" s="11" t="s">
        <v>157</v>
      </c>
      <c r="N659" s="11" t="s">
        <v>143</v>
      </c>
      <c r="O659" s="11" t="s">
        <v>144</v>
      </c>
      <c r="P659" s="11" t="s">
        <v>101</v>
      </c>
      <c r="Q659" s="13" t="n">
        <f aca="false">F659*H659</f>
        <v>87921059</v>
      </c>
      <c r="R659" s="13" t="n">
        <f aca="false">G659*H659</f>
        <v>83130000</v>
      </c>
      <c r="S659" s="13" t="n">
        <f aca="false">Q659-R659</f>
        <v>4791059</v>
      </c>
      <c r="T659" s="14" t="n">
        <f aca="false">IFERROR(S659/Q659,0)</f>
        <v>0.0544927353525166</v>
      </c>
      <c r="U659" s="15" t="str">
        <f aca="false">TEXT(A659,"yyyy-mm")</f>
        <v>2022-08</v>
      </c>
    </row>
    <row r="660" customFormat="false" ht="15" hidden="false" customHeight="false" outlineLevel="0" collapsed="false">
      <c r="A660" s="10" t="n">
        <v>44798</v>
      </c>
      <c r="B660" s="11" t="s">
        <v>792</v>
      </c>
      <c r="C660" s="11" t="s">
        <v>141</v>
      </c>
      <c r="D660" s="11" t="s">
        <v>138</v>
      </c>
      <c r="E660" s="11" t="s">
        <v>142</v>
      </c>
      <c r="F660" s="12" t="n">
        <v>2805124</v>
      </c>
      <c r="G660" s="12" t="n">
        <v>2178000</v>
      </c>
      <c r="H660" s="11" t="n">
        <v>15</v>
      </c>
      <c r="I660" s="11" t="s">
        <v>86</v>
      </c>
      <c r="J660" s="11" t="s">
        <v>87</v>
      </c>
      <c r="K660" s="11" t="s">
        <v>88</v>
      </c>
      <c r="L660" s="11" t="s">
        <v>89</v>
      </c>
      <c r="M660" s="11" t="s">
        <v>90</v>
      </c>
      <c r="N660" s="11" t="s">
        <v>99</v>
      </c>
      <c r="O660" s="11" t="s">
        <v>100</v>
      </c>
      <c r="P660" s="11" t="s">
        <v>101</v>
      </c>
      <c r="Q660" s="13" t="n">
        <f aca="false">F660*H660</f>
        <v>42076860</v>
      </c>
      <c r="R660" s="13" t="n">
        <f aca="false">G660*H660</f>
        <v>32670000</v>
      </c>
      <c r="S660" s="13" t="n">
        <f aca="false">Q660-R660</f>
        <v>9406860</v>
      </c>
      <c r="T660" s="14" t="n">
        <f aca="false">IFERROR(S660/Q660,0)</f>
        <v>0.22356373550688</v>
      </c>
      <c r="U660" s="15" t="str">
        <f aca="false">TEXT(A660,"yyyy-mm")</f>
        <v>2022-08</v>
      </c>
    </row>
    <row r="661" customFormat="false" ht="15" hidden="false" customHeight="false" outlineLevel="0" collapsed="false">
      <c r="A661" s="10" t="n">
        <v>44798</v>
      </c>
      <c r="B661" s="11" t="s">
        <v>793</v>
      </c>
      <c r="C661" s="11" t="s">
        <v>146</v>
      </c>
      <c r="D661" s="11" t="s">
        <v>138</v>
      </c>
      <c r="E661" s="11" t="s">
        <v>139</v>
      </c>
      <c r="F661" s="12" t="n">
        <v>2728100</v>
      </c>
      <c r="G661" s="12" t="n">
        <v>2321000</v>
      </c>
      <c r="H661" s="11" t="n">
        <v>14</v>
      </c>
      <c r="I661" s="11" t="s">
        <v>69</v>
      </c>
      <c r="J661" s="11" t="s">
        <v>80</v>
      </c>
      <c r="K661" s="11" t="s">
        <v>81</v>
      </c>
      <c r="L661" s="11" t="s">
        <v>82</v>
      </c>
      <c r="M661" s="11" t="s">
        <v>73</v>
      </c>
      <c r="N661" s="11" t="s">
        <v>143</v>
      </c>
      <c r="O661" s="11" t="s">
        <v>144</v>
      </c>
      <c r="P661" s="11" t="s">
        <v>101</v>
      </c>
      <c r="Q661" s="13" t="n">
        <f aca="false">F661*H661</f>
        <v>38193400</v>
      </c>
      <c r="R661" s="13" t="n">
        <f aca="false">G661*H661</f>
        <v>32494000</v>
      </c>
      <c r="S661" s="13" t="n">
        <f aca="false">Q661-R661</f>
        <v>5699400</v>
      </c>
      <c r="T661" s="14" t="n">
        <f aca="false">IFERROR(S661/Q661,0)</f>
        <v>0.149224735163667</v>
      </c>
      <c r="U661" s="15" t="str">
        <f aca="false">TEXT(A661,"yyyy-mm")</f>
        <v>2022-08</v>
      </c>
    </row>
    <row r="662" customFormat="false" ht="15" hidden="false" customHeight="false" outlineLevel="0" collapsed="false">
      <c r="A662" s="10" t="n">
        <v>44799</v>
      </c>
      <c r="B662" s="11" t="s">
        <v>794</v>
      </c>
      <c r="C662" s="11" t="s">
        <v>148</v>
      </c>
      <c r="D662" s="11" t="s">
        <v>138</v>
      </c>
      <c r="E662" s="11" t="s">
        <v>122</v>
      </c>
      <c r="F662" s="12" t="n">
        <v>4941716</v>
      </c>
      <c r="G662" s="12" t="n">
        <v>4456000</v>
      </c>
      <c r="H662" s="11" t="n">
        <v>20</v>
      </c>
      <c r="I662" s="11" t="s">
        <v>69</v>
      </c>
      <c r="J662" s="11" t="s">
        <v>80</v>
      </c>
      <c r="K662" s="11" t="s">
        <v>81</v>
      </c>
      <c r="L662" s="11" t="s">
        <v>82</v>
      </c>
      <c r="M662" s="11" t="s">
        <v>73</v>
      </c>
      <c r="N662" s="11" t="s">
        <v>123</v>
      </c>
      <c r="O662" s="11" t="s">
        <v>60</v>
      </c>
      <c r="P662" s="11" t="s">
        <v>106</v>
      </c>
      <c r="Q662" s="13" t="n">
        <f aca="false">F662*H662</f>
        <v>98834320</v>
      </c>
      <c r="R662" s="13" t="n">
        <f aca="false">G662*H662</f>
        <v>89120000</v>
      </c>
      <c r="S662" s="13" t="n">
        <f aca="false">Q662-R662</f>
        <v>9714320</v>
      </c>
      <c r="T662" s="14" t="n">
        <f aca="false">IFERROR(S662/Q662,0)</f>
        <v>0.0982889344511097</v>
      </c>
      <c r="U662" s="15" t="str">
        <f aca="false">TEXT(A662,"yyyy-mm")</f>
        <v>2022-08</v>
      </c>
    </row>
    <row r="663" customFormat="false" ht="15" hidden="false" customHeight="false" outlineLevel="0" collapsed="false">
      <c r="A663" s="10" t="n">
        <v>44799</v>
      </c>
      <c r="B663" s="11" t="s">
        <v>795</v>
      </c>
      <c r="C663" s="11" t="s">
        <v>66</v>
      </c>
      <c r="D663" s="11" t="s">
        <v>67</v>
      </c>
      <c r="E663" s="11" t="s">
        <v>68</v>
      </c>
      <c r="F663" s="12" t="n">
        <v>3048952</v>
      </c>
      <c r="G663" s="12" t="n">
        <v>2560000</v>
      </c>
      <c r="H663" s="11" t="n">
        <v>17</v>
      </c>
      <c r="I663" s="11" t="s">
        <v>69</v>
      </c>
      <c r="J663" s="11" t="s">
        <v>80</v>
      </c>
      <c r="K663" s="11" t="s">
        <v>81</v>
      </c>
      <c r="L663" s="11" t="s">
        <v>82</v>
      </c>
      <c r="M663" s="11" t="s">
        <v>73</v>
      </c>
      <c r="N663" s="11" t="s">
        <v>143</v>
      </c>
      <c r="O663" s="11" t="s">
        <v>144</v>
      </c>
      <c r="P663" s="11" t="s">
        <v>101</v>
      </c>
      <c r="Q663" s="13" t="n">
        <f aca="false">F663*H663</f>
        <v>51832184</v>
      </c>
      <c r="R663" s="13" t="n">
        <f aca="false">G663*H663</f>
        <v>43520000</v>
      </c>
      <c r="S663" s="13" t="n">
        <f aca="false">Q663-R663</f>
        <v>8312184</v>
      </c>
      <c r="T663" s="14" t="n">
        <f aca="false">IFERROR(S663/Q663,0)</f>
        <v>0.160367234380863</v>
      </c>
      <c r="U663" s="15" t="str">
        <f aca="false">TEXT(A663,"yyyy-mm")</f>
        <v>2022-08</v>
      </c>
    </row>
    <row r="664" customFormat="false" ht="15" hidden="false" customHeight="false" outlineLevel="0" collapsed="false">
      <c r="A664" s="10" t="n">
        <v>44799</v>
      </c>
      <c r="B664" s="11" t="s">
        <v>796</v>
      </c>
      <c r="C664" s="11" t="s">
        <v>78</v>
      </c>
      <c r="D664" s="11" t="s">
        <v>67</v>
      </c>
      <c r="E664" s="11" t="s">
        <v>79</v>
      </c>
      <c r="F664" s="12" t="n">
        <v>1870000</v>
      </c>
      <c r="G664" s="12" t="n">
        <v>1650000</v>
      </c>
      <c r="H664" s="11" t="n">
        <v>24</v>
      </c>
      <c r="I664" s="11" t="s">
        <v>69</v>
      </c>
      <c r="J664" s="11" t="s">
        <v>80</v>
      </c>
      <c r="K664" s="11" t="s">
        <v>81</v>
      </c>
      <c r="L664" s="11" t="s">
        <v>82</v>
      </c>
      <c r="M664" s="11" t="s">
        <v>73</v>
      </c>
      <c r="N664" s="11" t="s">
        <v>74</v>
      </c>
      <c r="O664" s="11" t="s">
        <v>75</v>
      </c>
      <c r="P664" s="11" t="s">
        <v>76</v>
      </c>
      <c r="Q664" s="13" t="n">
        <f aca="false">F664*H664</f>
        <v>44880000</v>
      </c>
      <c r="R664" s="13" t="n">
        <f aca="false">G664*H664</f>
        <v>39600000</v>
      </c>
      <c r="S664" s="13" t="n">
        <f aca="false">Q664-R664</f>
        <v>5280000</v>
      </c>
      <c r="T664" s="14" t="n">
        <f aca="false">IFERROR(S664/Q664,0)</f>
        <v>0.117647058823529</v>
      </c>
      <c r="U664" s="15" t="str">
        <f aca="false">TEXT(A664,"yyyy-mm")</f>
        <v>2022-08</v>
      </c>
    </row>
    <row r="665" customFormat="false" ht="15" hidden="false" customHeight="false" outlineLevel="0" collapsed="false">
      <c r="A665" s="10" t="n">
        <v>44799</v>
      </c>
      <c r="B665" s="11" t="s">
        <v>797</v>
      </c>
      <c r="C665" s="11" t="s">
        <v>84</v>
      </c>
      <c r="D665" s="11" t="s">
        <v>67</v>
      </c>
      <c r="E665" s="11" t="s">
        <v>85</v>
      </c>
      <c r="F665" s="12" t="n">
        <v>2600000</v>
      </c>
      <c r="G665" s="12" t="n">
        <v>2300000</v>
      </c>
      <c r="H665" s="11" t="n">
        <v>17</v>
      </c>
      <c r="I665" s="11" t="s">
        <v>69</v>
      </c>
      <c r="J665" s="11" t="s">
        <v>70</v>
      </c>
      <c r="K665" s="11" t="s">
        <v>71</v>
      </c>
      <c r="L665" s="11" t="s">
        <v>72</v>
      </c>
      <c r="M665" s="11" t="s">
        <v>73</v>
      </c>
      <c r="N665" s="11" t="s">
        <v>143</v>
      </c>
      <c r="O665" s="11" t="s">
        <v>144</v>
      </c>
      <c r="P665" s="11" t="s">
        <v>101</v>
      </c>
      <c r="Q665" s="13" t="n">
        <f aca="false">F665*H665</f>
        <v>44200000</v>
      </c>
      <c r="R665" s="13" t="n">
        <f aca="false">G665*H665</f>
        <v>39100000</v>
      </c>
      <c r="S665" s="13" t="n">
        <f aca="false">Q665-R665</f>
        <v>5100000</v>
      </c>
      <c r="T665" s="14" t="n">
        <f aca="false">IFERROR(S665/Q665,0)</f>
        <v>0.115384615384615</v>
      </c>
      <c r="U665" s="15" t="str">
        <f aca="false">TEXT(A665,"yyyy-mm")</f>
        <v>2022-08</v>
      </c>
    </row>
    <row r="666" customFormat="false" ht="15" hidden="false" customHeight="false" outlineLevel="0" collapsed="false">
      <c r="A666" s="10" t="n">
        <v>44800</v>
      </c>
      <c r="B666" s="11" t="s">
        <v>798</v>
      </c>
      <c r="C666" s="11" t="s">
        <v>92</v>
      </c>
      <c r="D666" s="11" t="s">
        <v>67</v>
      </c>
      <c r="E666" s="11" t="s">
        <v>79</v>
      </c>
      <c r="F666" s="12" t="n">
        <v>3577480</v>
      </c>
      <c r="G666" s="12" t="n">
        <v>3100000</v>
      </c>
      <c r="H666" s="11" t="n">
        <v>7</v>
      </c>
      <c r="I666" s="11" t="s">
        <v>69</v>
      </c>
      <c r="J666" s="11" t="s">
        <v>112</v>
      </c>
      <c r="K666" s="11" t="s">
        <v>113</v>
      </c>
      <c r="L666" s="11" t="s">
        <v>82</v>
      </c>
      <c r="M666" s="11" t="s">
        <v>157</v>
      </c>
      <c r="N666" s="11" t="s">
        <v>173</v>
      </c>
      <c r="O666" s="11" t="s">
        <v>174</v>
      </c>
      <c r="P666" s="11" t="s">
        <v>95</v>
      </c>
      <c r="Q666" s="13" t="n">
        <f aca="false">F666*H666</f>
        <v>25042360</v>
      </c>
      <c r="R666" s="13" t="n">
        <f aca="false">G666*H666</f>
        <v>21700000</v>
      </c>
      <c r="S666" s="13" t="n">
        <f aca="false">Q666-R666</f>
        <v>3342360</v>
      </c>
      <c r="T666" s="14" t="n">
        <f aca="false">IFERROR(S666/Q666,0)</f>
        <v>0.133468251394837</v>
      </c>
      <c r="U666" s="15" t="str">
        <f aca="false">TEXT(A666,"yyyy-mm")</f>
        <v>2022-08</v>
      </c>
    </row>
    <row r="667" customFormat="false" ht="15" hidden="false" customHeight="false" outlineLevel="0" collapsed="false">
      <c r="A667" s="10" t="n">
        <v>44801</v>
      </c>
      <c r="B667" s="11" t="s">
        <v>799</v>
      </c>
      <c r="C667" s="11" t="s">
        <v>97</v>
      </c>
      <c r="D667" s="11" t="s">
        <v>67</v>
      </c>
      <c r="E667" s="11" t="s">
        <v>98</v>
      </c>
      <c r="F667" s="12" t="n">
        <v>4969724</v>
      </c>
      <c r="G667" s="12" t="n">
        <v>4121560</v>
      </c>
      <c r="H667" s="11" t="n">
        <v>5</v>
      </c>
      <c r="I667" s="11" t="s">
        <v>69</v>
      </c>
      <c r="J667" s="11" t="s">
        <v>80</v>
      </c>
      <c r="K667" s="11" t="s">
        <v>81</v>
      </c>
      <c r="L667" s="11" t="s">
        <v>82</v>
      </c>
      <c r="M667" s="11" t="s">
        <v>73</v>
      </c>
      <c r="N667" s="11" t="s">
        <v>143</v>
      </c>
      <c r="O667" s="11" t="s">
        <v>144</v>
      </c>
      <c r="P667" s="11" t="s">
        <v>101</v>
      </c>
      <c r="Q667" s="13" t="n">
        <f aca="false">F667*H667</f>
        <v>24848620</v>
      </c>
      <c r="R667" s="13" t="n">
        <f aca="false">G667*H667</f>
        <v>20607800</v>
      </c>
      <c r="S667" s="13" t="n">
        <f aca="false">Q667-R667</f>
        <v>4240820</v>
      </c>
      <c r="T667" s="14" t="n">
        <f aca="false">IFERROR(S667/Q667,0)</f>
        <v>0.170666218083741</v>
      </c>
      <c r="U667" s="15" t="str">
        <f aca="false">TEXT(A667,"yyyy-mm")</f>
        <v>2022-08</v>
      </c>
    </row>
    <row r="668" customFormat="false" ht="15" hidden="false" customHeight="false" outlineLevel="0" collapsed="false">
      <c r="A668" s="10" t="n">
        <v>44801</v>
      </c>
      <c r="B668" s="11" t="s">
        <v>800</v>
      </c>
      <c r="C668" s="11" t="s">
        <v>103</v>
      </c>
      <c r="D668" s="11" t="s">
        <v>67</v>
      </c>
      <c r="E668" s="11" t="s">
        <v>68</v>
      </c>
      <c r="F668" s="12" t="n">
        <v>3319925</v>
      </c>
      <c r="G668" s="12" t="n">
        <v>2800000</v>
      </c>
      <c r="H668" s="11" t="n">
        <v>10</v>
      </c>
      <c r="I668" s="11" t="s">
        <v>86</v>
      </c>
      <c r="J668" s="11" t="s">
        <v>87</v>
      </c>
      <c r="K668" s="11" t="s">
        <v>88</v>
      </c>
      <c r="L668" s="11" t="s">
        <v>89</v>
      </c>
      <c r="M668" s="11" t="s">
        <v>90</v>
      </c>
      <c r="N668" s="11" t="s">
        <v>109</v>
      </c>
      <c r="O668" s="11" t="s">
        <v>75</v>
      </c>
      <c r="P668" s="11" t="s">
        <v>95</v>
      </c>
      <c r="Q668" s="13" t="n">
        <f aca="false">F668*H668</f>
        <v>33199250</v>
      </c>
      <c r="R668" s="13" t="n">
        <f aca="false">G668*H668</f>
        <v>28000000</v>
      </c>
      <c r="S668" s="13" t="n">
        <f aca="false">Q668-R668</f>
        <v>5199250</v>
      </c>
      <c r="T668" s="14" t="n">
        <f aca="false">IFERROR(S668/Q668,0)</f>
        <v>0.15660745348163</v>
      </c>
      <c r="U668" s="15" t="str">
        <f aca="false">TEXT(A668,"yyyy-mm")</f>
        <v>2022-08</v>
      </c>
    </row>
    <row r="669" customFormat="false" ht="15" hidden="false" customHeight="false" outlineLevel="0" collapsed="false">
      <c r="A669" s="10" t="n">
        <v>44802</v>
      </c>
      <c r="B669" s="11" t="s">
        <v>801</v>
      </c>
      <c r="C669" s="11" t="s">
        <v>108</v>
      </c>
      <c r="D669" s="11" t="s">
        <v>67</v>
      </c>
      <c r="E669" s="11" t="s">
        <v>68</v>
      </c>
      <c r="F669" s="12" t="n">
        <v>4757880</v>
      </c>
      <c r="G669" s="12" t="n">
        <v>3450000</v>
      </c>
      <c r="H669" s="11" t="n">
        <v>11</v>
      </c>
      <c r="I669" s="11" t="s">
        <v>69</v>
      </c>
      <c r="J669" s="11" t="s">
        <v>112</v>
      </c>
      <c r="K669" s="11" t="s">
        <v>113</v>
      </c>
      <c r="L669" s="11" t="s">
        <v>82</v>
      </c>
      <c r="M669" s="11" t="s">
        <v>157</v>
      </c>
      <c r="N669" s="11" t="s">
        <v>143</v>
      </c>
      <c r="O669" s="11" t="s">
        <v>144</v>
      </c>
      <c r="P669" s="11" t="s">
        <v>101</v>
      </c>
      <c r="Q669" s="13" t="n">
        <f aca="false">F669*H669</f>
        <v>52336680</v>
      </c>
      <c r="R669" s="13" t="n">
        <f aca="false">G669*H669</f>
        <v>37950000</v>
      </c>
      <c r="S669" s="13" t="n">
        <f aca="false">Q669-R669</f>
        <v>14386680</v>
      </c>
      <c r="T669" s="14" t="n">
        <f aca="false">IFERROR(S669/Q669,0)</f>
        <v>0.274887134606169</v>
      </c>
      <c r="U669" s="15" t="str">
        <f aca="false">TEXT(A669,"yyyy-mm")</f>
        <v>2022-08</v>
      </c>
    </row>
    <row r="670" customFormat="false" ht="15" hidden="false" customHeight="false" outlineLevel="0" collapsed="false">
      <c r="A670" s="10" t="n">
        <v>44803</v>
      </c>
      <c r="B670" s="11" t="s">
        <v>802</v>
      </c>
      <c r="C670" s="11" t="s">
        <v>111</v>
      </c>
      <c r="D670" s="11" t="s">
        <v>67</v>
      </c>
      <c r="E670" s="11" t="s">
        <v>79</v>
      </c>
      <c r="F670" s="12" t="n">
        <v>3545808</v>
      </c>
      <c r="G670" s="12" t="n">
        <v>3350000</v>
      </c>
      <c r="H670" s="11" t="n">
        <v>8</v>
      </c>
      <c r="I670" s="11" t="s">
        <v>86</v>
      </c>
      <c r="J670" s="11" t="s">
        <v>87</v>
      </c>
      <c r="K670" s="11" t="s">
        <v>88</v>
      </c>
      <c r="L670" s="11" t="s">
        <v>89</v>
      </c>
      <c r="M670" s="11" t="s">
        <v>90</v>
      </c>
      <c r="N670" s="11" t="s">
        <v>123</v>
      </c>
      <c r="O670" s="11" t="s">
        <v>60</v>
      </c>
      <c r="P670" s="11" t="s">
        <v>106</v>
      </c>
      <c r="Q670" s="13" t="n">
        <f aca="false">F670*H670</f>
        <v>28366464</v>
      </c>
      <c r="R670" s="13" t="n">
        <f aca="false">G670*H670</f>
        <v>26800000</v>
      </c>
      <c r="S670" s="13" t="n">
        <f aca="false">Q670-R670</f>
        <v>1566464</v>
      </c>
      <c r="T670" s="14" t="n">
        <f aca="false">IFERROR(S670/Q670,0)</f>
        <v>0.0552223921881839</v>
      </c>
      <c r="U670" s="15" t="str">
        <f aca="false">TEXT(A670,"yyyy-mm")</f>
        <v>2022-08</v>
      </c>
    </row>
    <row r="671" customFormat="false" ht="15" hidden="false" customHeight="false" outlineLevel="0" collapsed="false">
      <c r="A671" s="10" t="n">
        <v>44804</v>
      </c>
      <c r="B671" s="11" t="s">
        <v>803</v>
      </c>
      <c r="C671" s="11" t="s">
        <v>115</v>
      </c>
      <c r="D671" s="11" t="s">
        <v>67</v>
      </c>
      <c r="E671" s="11" t="s">
        <v>98</v>
      </c>
      <c r="F671" s="12" t="n">
        <v>4200743</v>
      </c>
      <c r="G671" s="12" t="n">
        <v>4101000</v>
      </c>
      <c r="H671" s="11" t="n">
        <v>15</v>
      </c>
      <c r="I671" s="11" t="s">
        <v>69</v>
      </c>
      <c r="J671" s="11" t="s">
        <v>80</v>
      </c>
      <c r="K671" s="11" t="s">
        <v>81</v>
      </c>
      <c r="L671" s="11" t="s">
        <v>82</v>
      </c>
      <c r="M671" s="11" t="s">
        <v>73</v>
      </c>
      <c r="N671" s="11" t="s">
        <v>143</v>
      </c>
      <c r="O671" s="11" t="s">
        <v>144</v>
      </c>
      <c r="P671" s="11" t="s">
        <v>101</v>
      </c>
      <c r="Q671" s="13" t="n">
        <f aca="false">F671*H671</f>
        <v>63011145</v>
      </c>
      <c r="R671" s="13" t="n">
        <f aca="false">G671*H671</f>
        <v>61515000</v>
      </c>
      <c r="S671" s="13" t="n">
        <f aca="false">Q671-R671</f>
        <v>1496145</v>
      </c>
      <c r="T671" s="14" t="n">
        <f aca="false">IFERROR(S671/Q671,0)</f>
        <v>0.023744132883159</v>
      </c>
      <c r="U671" s="15" t="str">
        <f aca="false">TEXT(A671,"yyyy-mm")</f>
        <v>2022-08</v>
      </c>
    </row>
    <row r="672" customFormat="false" ht="15" hidden="false" customHeight="false" outlineLevel="0" collapsed="false">
      <c r="A672" s="10" t="n">
        <v>44805</v>
      </c>
      <c r="B672" s="11" t="s">
        <v>804</v>
      </c>
      <c r="C672" s="11" t="s">
        <v>117</v>
      </c>
      <c r="D672" s="11" t="s">
        <v>118</v>
      </c>
      <c r="E672" s="11" t="s">
        <v>119</v>
      </c>
      <c r="F672" s="12" t="n">
        <v>8220549</v>
      </c>
      <c r="G672" s="12" t="n">
        <v>6500000</v>
      </c>
      <c r="H672" s="11" t="n">
        <v>22</v>
      </c>
      <c r="I672" s="11" t="s">
        <v>86</v>
      </c>
      <c r="J672" s="11" t="s">
        <v>87</v>
      </c>
      <c r="K672" s="11" t="s">
        <v>88</v>
      </c>
      <c r="L672" s="11" t="s">
        <v>89</v>
      </c>
      <c r="M672" s="11" t="s">
        <v>90</v>
      </c>
      <c r="N672" s="11" t="s">
        <v>133</v>
      </c>
      <c r="O672" s="11" t="s">
        <v>60</v>
      </c>
      <c r="P672" s="11" t="s">
        <v>76</v>
      </c>
      <c r="Q672" s="13" t="n">
        <f aca="false">F672*H672</f>
        <v>180852078</v>
      </c>
      <c r="R672" s="13" t="n">
        <f aca="false">G672*H672</f>
        <v>143000000</v>
      </c>
      <c r="S672" s="13" t="n">
        <f aca="false">Q672-R672</f>
        <v>37852078</v>
      </c>
      <c r="T672" s="14" t="n">
        <f aca="false">IFERROR(S672/Q672,0)</f>
        <v>0.209298551714733</v>
      </c>
      <c r="U672" s="15" t="str">
        <f aca="false">TEXT(A672,"yyyy-mm")</f>
        <v>2022-09</v>
      </c>
    </row>
    <row r="673" customFormat="false" ht="15" hidden="false" customHeight="false" outlineLevel="0" collapsed="false">
      <c r="A673" s="10" t="n">
        <v>44805</v>
      </c>
      <c r="B673" s="11" t="s">
        <v>805</v>
      </c>
      <c r="C673" s="11" t="s">
        <v>121</v>
      </c>
      <c r="D673" s="11" t="s">
        <v>118</v>
      </c>
      <c r="E673" s="11" t="s">
        <v>122</v>
      </c>
      <c r="F673" s="12" t="n">
        <v>7687274</v>
      </c>
      <c r="G673" s="12" t="n">
        <v>6500000</v>
      </c>
      <c r="H673" s="11" t="n">
        <v>4</v>
      </c>
      <c r="I673" s="11" t="s">
        <v>69</v>
      </c>
      <c r="J673" s="11" t="s">
        <v>80</v>
      </c>
      <c r="K673" s="11" t="s">
        <v>81</v>
      </c>
      <c r="L673" s="11" t="s">
        <v>82</v>
      </c>
      <c r="M673" s="11" t="s">
        <v>73</v>
      </c>
      <c r="N673" s="11" t="s">
        <v>173</v>
      </c>
      <c r="O673" s="11" t="s">
        <v>174</v>
      </c>
      <c r="P673" s="11" t="s">
        <v>95</v>
      </c>
      <c r="Q673" s="13" t="n">
        <f aca="false">F673*H673</f>
        <v>30749096</v>
      </c>
      <c r="R673" s="13" t="n">
        <f aca="false">G673*H673</f>
        <v>26000000</v>
      </c>
      <c r="S673" s="13" t="n">
        <f aca="false">Q673-R673</f>
        <v>4749096</v>
      </c>
      <c r="T673" s="14" t="n">
        <f aca="false">IFERROR(S673/Q673,0)</f>
        <v>0.154446686822923</v>
      </c>
      <c r="U673" s="15" t="str">
        <f aca="false">TEXT(A673,"yyyy-mm")</f>
        <v>2022-09</v>
      </c>
    </row>
    <row r="674" customFormat="false" ht="15" hidden="false" customHeight="false" outlineLevel="0" collapsed="false">
      <c r="A674" s="10" t="n">
        <v>44806</v>
      </c>
      <c r="B674" s="11" t="s">
        <v>806</v>
      </c>
      <c r="C674" s="11" t="s">
        <v>125</v>
      </c>
      <c r="D674" s="11" t="s">
        <v>118</v>
      </c>
      <c r="E674" s="11" t="s">
        <v>126</v>
      </c>
      <c r="F674" s="12" t="n">
        <v>5684211</v>
      </c>
      <c r="G674" s="12" t="n">
        <v>4300000</v>
      </c>
      <c r="H674" s="11" t="n">
        <v>6</v>
      </c>
      <c r="I674" s="11" t="s">
        <v>69</v>
      </c>
      <c r="J674" s="11" t="s">
        <v>80</v>
      </c>
      <c r="K674" s="11" t="s">
        <v>81</v>
      </c>
      <c r="L674" s="11" t="s">
        <v>82</v>
      </c>
      <c r="M674" s="11" t="s">
        <v>73</v>
      </c>
      <c r="N674" s="11" t="s">
        <v>173</v>
      </c>
      <c r="O674" s="11" t="s">
        <v>174</v>
      </c>
      <c r="P674" s="11" t="s">
        <v>95</v>
      </c>
      <c r="Q674" s="13" t="n">
        <f aca="false">F674*H674</f>
        <v>34105266</v>
      </c>
      <c r="R674" s="13" t="n">
        <f aca="false">G674*H674</f>
        <v>25800000</v>
      </c>
      <c r="S674" s="13" t="n">
        <f aca="false">Q674-R674</f>
        <v>8305266</v>
      </c>
      <c r="T674" s="14" t="n">
        <f aca="false">IFERROR(S674/Q674,0)</f>
        <v>0.243518581558637</v>
      </c>
      <c r="U674" s="15" t="str">
        <f aca="false">TEXT(A674,"yyyy-mm")</f>
        <v>2022-09</v>
      </c>
    </row>
    <row r="675" customFormat="false" ht="15" hidden="false" customHeight="false" outlineLevel="0" collapsed="false">
      <c r="A675" s="10" t="n">
        <v>44806</v>
      </c>
      <c r="B675" s="11" t="s">
        <v>807</v>
      </c>
      <c r="C675" s="11" t="s">
        <v>128</v>
      </c>
      <c r="D675" s="11" t="s">
        <v>118</v>
      </c>
      <c r="E675" s="11" t="s">
        <v>119</v>
      </c>
      <c r="F675" s="12" t="n">
        <v>3370302</v>
      </c>
      <c r="G675" s="12" t="n">
        <v>2100000</v>
      </c>
      <c r="H675" s="11" t="n">
        <v>6</v>
      </c>
      <c r="I675" s="11" t="s">
        <v>69</v>
      </c>
      <c r="J675" s="11" t="s">
        <v>80</v>
      </c>
      <c r="K675" s="11" t="s">
        <v>81</v>
      </c>
      <c r="L675" s="11" t="s">
        <v>82</v>
      </c>
      <c r="M675" s="11" t="s">
        <v>73</v>
      </c>
      <c r="N675" s="11" t="s">
        <v>74</v>
      </c>
      <c r="O675" s="11" t="s">
        <v>75</v>
      </c>
      <c r="P675" s="11" t="s">
        <v>76</v>
      </c>
      <c r="Q675" s="13" t="n">
        <f aca="false">F675*H675</f>
        <v>20221812</v>
      </c>
      <c r="R675" s="13" t="n">
        <f aca="false">G675*H675</f>
        <v>12600000</v>
      </c>
      <c r="S675" s="13" t="n">
        <f aca="false">Q675-R675</f>
        <v>7621812</v>
      </c>
      <c r="T675" s="14" t="n">
        <f aca="false">IFERROR(S675/Q675,0)</f>
        <v>0.37691043710623</v>
      </c>
      <c r="U675" s="15" t="str">
        <f aca="false">TEXT(A675,"yyyy-mm")</f>
        <v>2022-09</v>
      </c>
    </row>
    <row r="676" customFormat="false" ht="15" hidden="false" customHeight="false" outlineLevel="0" collapsed="false">
      <c r="A676" s="10" t="n">
        <v>44807</v>
      </c>
      <c r="B676" s="11" t="s">
        <v>808</v>
      </c>
      <c r="C676" s="11" t="s">
        <v>130</v>
      </c>
      <c r="D676" s="11" t="s">
        <v>118</v>
      </c>
      <c r="E676" s="11" t="s">
        <v>68</v>
      </c>
      <c r="F676" s="12" t="n">
        <v>2852897</v>
      </c>
      <c r="G676" s="12" t="n">
        <v>2450000</v>
      </c>
      <c r="H676" s="11" t="n">
        <v>14</v>
      </c>
      <c r="I676" s="11" t="s">
        <v>69</v>
      </c>
      <c r="J676" s="11" t="s">
        <v>112</v>
      </c>
      <c r="K676" s="11" t="s">
        <v>113</v>
      </c>
      <c r="L676" s="11" t="s">
        <v>82</v>
      </c>
      <c r="M676" s="11" t="s">
        <v>157</v>
      </c>
      <c r="N676" s="11" t="s">
        <v>93</v>
      </c>
      <c r="O676" s="11" t="s">
        <v>94</v>
      </c>
      <c r="P676" s="11" t="s">
        <v>95</v>
      </c>
      <c r="Q676" s="13" t="n">
        <f aca="false">F676*H676</f>
        <v>39940558</v>
      </c>
      <c r="R676" s="13" t="n">
        <f aca="false">G676*H676</f>
        <v>34300000</v>
      </c>
      <c r="S676" s="13" t="n">
        <f aca="false">Q676-R676</f>
        <v>5640558</v>
      </c>
      <c r="T676" s="14" t="n">
        <f aca="false">IFERROR(S676/Q676,0)</f>
        <v>0.141223815651249</v>
      </c>
      <c r="U676" s="15" t="str">
        <f aca="false">TEXT(A676,"yyyy-mm")</f>
        <v>2022-09</v>
      </c>
    </row>
    <row r="677" customFormat="false" ht="15" hidden="false" customHeight="false" outlineLevel="0" collapsed="false">
      <c r="A677" s="10" t="n">
        <v>44807</v>
      </c>
      <c r="B677" s="11" t="s">
        <v>809</v>
      </c>
      <c r="C677" s="11" t="s">
        <v>132</v>
      </c>
      <c r="D677" s="11" t="s">
        <v>118</v>
      </c>
      <c r="E677" s="11" t="s">
        <v>68</v>
      </c>
      <c r="F677" s="12" t="n">
        <v>4803603</v>
      </c>
      <c r="G677" s="12" t="n">
        <v>4121000</v>
      </c>
      <c r="H677" s="11" t="n">
        <v>9</v>
      </c>
      <c r="I677" s="11" t="s">
        <v>69</v>
      </c>
      <c r="J677" s="11" t="s">
        <v>80</v>
      </c>
      <c r="K677" s="11" t="s">
        <v>81</v>
      </c>
      <c r="L677" s="11" t="s">
        <v>82</v>
      </c>
      <c r="M677" s="11" t="s">
        <v>73</v>
      </c>
      <c r="N677" s="11" t="s">
        <v>123</v>
      </c>
      <c r="O677" s="11" t="s">
        <v>60</v>
      </c>
      <c r="P677" s="11" t="s">
        <v>106</v>
      </c>
      <c r="Q677" s="13" t="n">
        <f aca="false">F677*H677</f>
        <v>43232427</v>
      </c>
      <c r="R677" s="13" t="n">
        <f aca="false">G677*H677</f>
        <v>37089000</v>
      </c>
      <c r="S677" s="13" t="n">
        <f aca="false">Q677-R677</f>
        <v>6143427</v>
      </c>
      <c r="T677" s="14" t="n">
        <f aca="false">IFERROR(S677/Q677,0)</f>
        <v>0.142102292799801</v>
      </c>
      <c r="U677" s="15" t="str">
        <f aca="false">TEXT(A677,"yyyy-mm")</f>
        <v>2022-09</v>
      </c>
    </row>
    <row r="678" customFormat="false" ht="15" hidden="false" customHeight="false" outlineLevel="0" collapsed="false">
      <c r="A678" s="10" t="n">
        <v>44807</v>
      </c>
      <c r="B678" s="11" t="s">
        <v>810</v>
      </c>
      <c r="C678" s="11" t="s">
        <v>135</v>
      </c>
      <c r="D678" s="11" t="s">
        <v>118</v>
      </c>
      <c r="E678" s="11" t="s">
        <v>68</v>
      </c>
      <c r="F678" s="12" t="n">
        <v>5689947</v>
      </c>
      <c r="G678" s="12" t="n">
        <v>5235000</v>
      </c>
      <c r="H678" s="11" t="n">
        <v>10</v>
      </c>
      <c r="I678" s="11" t="s">
        <v>69</v>
      </c>
      <c r="J678" s="11" t="s">
        <v>80</v>
      </c>
      <c r="K678" s="11" t="s">
        <v>81</v>
      </c>
      <c r="L678" s="11" t="s">
        <v>82</v>
      </c>
      <c r="M678" s="11" t="s">
        <v>73</v>
      </c>
      <c r="N678" s="11" t="s">
        <v>133</v>
      </c>
      <c r="O678" s="11" t="s">
        <v>60</v>
      </c>
      <c r="P678" s="11" t="s">
        <v>76</v>
      </c>
      <c r="Q678" s="13" t="n">
        <f aca="false">F678*H678</f>
        <v>56899470</v>
      </c>
      <c r="R678" s="13" t="n">
        <f aca="false">G678*H678</f>
        <v>52350000</v>
      </c>
      <c r="S678" s="13" t="n">
        <f aca="false">Q678-R678</f>
        <v>4549470</v>
      </c>
      <c r="T678" s="14" t="n">
        <f aca="false">IFERROR(S678/Q678,0)</f>
        <v>0.0799562807878527</v>
      </c>
      <c r="U678" s="15" t="str">
        <f aca="false">TEXT(A678,"yyyy-mm")</f>
        <v>2022-09</v>
      </c>
    </row>
    <row r="679" customFormat="false" ht="15" hidden="false" customHeight="false" outlineLevel="0" collapsed="false">
      <c r="A679" s="10" t="n">
        <v>44808</v>
      </c>
      <c r="B679" s="11" t="s">
        <v>811</v>
      </c>
      <c r="C679" s="11" t="s">
        <v>137</v>
      </c>
      <c r="D679" s="11" t="s">
        <v>138</v>
      </c>
      <c r="E679" s="11" t="s">
        <v>139</v>
      </c>
      <c r="F679" s="12" t="n">
        <v>5171827</v>
      </c>
      <c r="G679" s="12" t="n">
        <v>4890000</v>
      </c>
      <c r="H679" s="11" t="n">
        <v>10</v>
      </c>
      <c r="I679" s="11" t="s">
        <v>69</v>
      </c>
      <c r="J679" s="11" t="s">
        <v>80</v>
      </c>
      <c r="K679" s="11" t="s">
        <v>81</v>
      </c>
      <c r="L679" s="11" t="s">
        <v>82</v>
      </c>
      <c r="M679" s="11" t="s">
        <v>73</v>
      </c>
      <c r="N679" s="11" t="s">
        <v>133</v>
      </c>
      <c r="O679" s="11" t="s">
        <v>60</v>
      </c>
      <c r="P679" s="11" t="s">
        <v>76</v>
      </c>
      <c r="Q679" s="13" t="n">
        <f aca="false">F679*H679</f>
        <v>51718270</v>
      </c>
      <c r="R679" s="13" t="n">
        <f aca="false">G679*H679</f>
        <v>48900000</v>
      </c>
      <c r="S679" s="13" t="n">
        <f aca="false">Q679-R679</f>
        <v>2818270</v>
      </c>
      <c r="T679" s="14" t="n">
        <f aca="false">IFERROR(S679/Q679,0)</f>
        <v>0.0544927353525166</v>
      </c>
      <c r="U679" s="15" t="str">
        <f aca="false">TEXT(A679,"yyyy-mm")</f>
        <v>2022-09</v>
      </c>
    </row>
    <row r="680" customFormat="false" ht="15" hidden="false" customHeight="false" outlineLevel="0" collapsed="false">
      <c r="A680" s="10" t="n">
        <v>44808</v>
      </c>
      <c r="B680" s="11" t="s">
        <v>812</v>
      </c>
      <c r="C680" s="11" t="s">
        <v>141</v>
      </c>
      <c r="D680" s="11" t="s">
        <v>138</v>
      </c>
      <c r="E680" s="11" t="s">
        <v>142</v>
      </c>
      <c r="F680" s="12" t="n">
        <v>2805124</v>
      </c>
      <c r="G680" s="12" t="n">
        <v>2178000</v>
      </c>
      <c r="H680" s="11" t="n">
        <v>7</v>
      </c>
      <c r="I680" s="11" t="s">
        <v>86</v>
      </c>
      <c r="J680" s="11" t="s">
        <v>87</v>
      </c>
      <c r="K680" s="11" t="s">
        <v>88</v>
      </c>
      <c r="L680" s="11" t="s">
        <v>89</v>
      </c>
      <c r="M680" s="11" t="s">
        <v>90</v>
      </c>
      <c r="N680" s="11" t="s">
        <v>133</v>
      </c>
      <c r="O680" s="11" t="s">
        <v>60</v>
      </c>
      <c r="P680" s="11" t="s">
        <v>76</v>
      </c>
      <c r="Q680" s="13" t="n">
        <f aca="false">F680*H680</f>
        <v>19635868</v>
      </c>
      <c r="R680" s="13" t="n">
        <f aca="false">G680*H680</f>
        <v>15246000</v>
      </c>
      <c r="S680" s="13" t="n">
        <f aca="false">Q680-R680</f>
        <v>4389868</v>
      </c>
      <c r="T680" s="14" t="n">
        <f aca="false">IFERROR(S680/Q680,0)</f>
        <v>0.22356373550688</v>
      </c>
      <c r="U680" s="15" t="str">
        <f aca="false">TEXT(A680,"yyyy-mm")</f>
        <v>2022-09</v>
      </c>
    </row>
    <row r="681" customFormat="false" ht="15" hidden="false" customHeight="false" outlineLevel="0" collapsed="false">
      <c r="A681" s="10" t="n">
        <v>44808</v>
      </c>
      <c r="B681" s="11" t="s">
        <v>813</v>
      </c>
      <c r="C681" s="11" t="s">
        <v>146</v>
      </c>
      <c r="D681" s="11" t="s">
        <v>138</v>
      </c>
      <c r="E681" s="11" t="s">
        <v>139</v>
      </c>
      <c r="F681" s="12" t="n">
        <v>2728100</v>
      </c>
      <c r="G681" s="12" t="n">
        <v>2321000</v>
      </c>
      <c r="H681" s="11" t="n">
        <v>18</v>
      </c>
      <c r="I681" s="11" t="s">
        <v>86</v>
      </c>
      <c r="J681" s="11" t="s">
        <v>87</v>
      </c>
      <c r="K681" s="11" t="s">
        <v>88</v>
      </c>
      <c r="L681" s="11" t="s">
        <v>89</v>
      </c>
      <c r="M681" s="11" t="s">
        <v>90</v>
      </c>
      <c r="N681" s="11" t="s">
        <v>123</v>
      </c>
      <c r="O681" s="11" t="s">
        <v>60</v>
      </c>
      <c r="P681" s="11" t="s">
        <v>106</v>
      </c>
      <c r="Q681" s="13" t="n">
        <f aca="false">F681*H681</f>
        <v>49105800</v>
      </c>
      <c r="R681" s="13" t="n">
        <f aca="false">G681*H681</f>
        <v>41778000</v>
      </c>
      <c r="S681" s="13" t="n">
        <f aca="false">Q681-R681</f>
        <v>7327800</v>
      </c>
      <c r="T681" s="14" t="n">
        <f aca="false">IFERROR(S681/Q681,0)</f>
        <v>0.149224735163667</v>
      </c>
      <c r="U681" s="15" t="str">
        <f aca="false">TEXT(A681,"yyyy-mm")</f>
        <v>2022-09</v>
      </c>
    </row>
    <row r="682" customFormat="false" ht="15" hidden="false" customHeight="false" outlineLevel="0" collapsed="false">
      <c r="A682" s="10" t="n">
        <v>44808</v>
      </c>
      <c r="B682" s="11" t="s">
        <v>814</v>
      </c>
      <c r="C682" s="11" t="s">
        <v>148</v>
      </c>
      <c r="D682" s="11" t="s">
        <v>138</v>
      </c>
      <c r="E682" s="11" t="s">
        <v>122</v>
      </c>
      <c r="F682" s="12" t="n">
        <v>4941716</v>
      </c>
      <c r="G682" s="12" t="n">
        <v>4456000</v>
      </c>
      <c r="H682" s="11" t="n">
        <v>21</v>
      </c>
      <c r="I682" s="11" t="s">
        <v>86</v>
      </c>
      <c r="J682" s="11" t="s">
        <v>87</v>
      </c>
      <c r="K682" s="11" t="s">
        <v>88</v>
      </c>
      <c r="L682" s="11" t="s">
        <v>89</v>
      </c>
      <c r="M682" s="11" t="s">
        <v>90</v>
      </c>
      <c r="N682" s="11" t="s">
        <v>123</v>
      </c>
      <c r="O682" s="11" t="s">
        <v>60</v>
      </c>
      <c r="P682" s="11" t="s">
        <v>106</v>
      </c>
      <c r="Q682" s="13" t="n">
        <f aca="false">F682*H682</f>
        <v>103776036</v>
      </c>
      <c r="R682" s="13" t="n">
        <f aca="false">G682*H682</f>
        <v>93576000</v>
      </c>
      <c r="S682" s="13" t="n">
        <f aca="false">Q682-R682</f>
        <v>10200036</v>
      </c>
      <c r="T682" s="14" t="n">
        <f aca="false">IFERROR(S682/Q682,0)</f>
        <v>0.0982889344511097</v>
      </c>
      <c r="U682" s="15" t="str">
        <f aca="false">TEXT(A682,"yyyy-mm")</f>
        <v>2022-09</v>
      </c>
    </row>
    <row r="683" customFormat="false" ht="15" hidden="false" customHeight="false" outlineLevel="0" collapsed="false">
      <c r="A683" s="10" t="n">
        <v>44809</v>
      </c>
      <c r="B683" s="11" t="s">
        <v>815</v>
      </c>
      <c r="C683" s="11" t="s">
        <v>66</v>
      </c>
      <c r="D683" s="11" t="s">
        <v>67</v>
      </c>
      <c r="E683" s="11" t="s">
        <v>68</v>
      </c>
      <c r="F683" s="12" t="n">
        <v>3048952</v>
      </c>
      <c r="G683" s="12" t="n">
        <v>2560000</v>
      </c>
      <c r="H683" s="11" t="n">
        <v>3</v>
      </c>
      <c r="I683" s="11" t="s">
        <v>69</v>
      </c>
      <c r="J683" s="11" t="s">
        <v>70</v>
      </c>
      <c r="K683" s="11" t="s">
        <v>71</v>
      </c>
      <c r="L683" s="11" t="s">
        <v>72</v>
      </c>
      <c r="M683" s="11" t="s">
        <v>73</v>
      </c>
      <c r="N683" s="11" t="s">
        <v>149</v>
      </c>
      <c r="O683" s="11" t="s">
        <v>150</v>
      </c>
      <c r="P683" s="11" t="s">
        <v>151</v>
      </c>
      <c r="Q683" s="13" t="n">
        <f aca="false">F683*H683</f>
        <v>9146856</v>
      </c>
      <c r="R683" s="13" t="n">
        <f aca="false">G683*H683</f>
        <v>7680000</v>
      </c>
      <c r="S683" s="13" t="n">
        <f aca="false">Q683-R683</f>
        <v>1466856</v>
      </c>
      <c r="T683" s="14" t="n">
        <f aca="false">IFERROR(S683/Q683,0)</f>
        <v>0.160367234380863</v>
      </c>
      <c r="U683" s="15" t="str">
        <f aca="false">TEXT(A683,"yyyy-mm")</f>
        <v>2022-09</v>
      </c>
    </row>
    <row r="684" customFormat="false" ht="15" hidden="false" customHeight="false" outlineLevel="0" collapsed="false">
      <c r="A684" s="10" t="n">
        <v>44809</v>
      </c>
      <c r="B684" s="11" t="s">
        <v>816</v>
      </c>
      <c r="C684" s="11" t="s">
        <v>78</v>
      </c>
      <c r="D684" s="11" t="s">
        <v>67</v>
      </c>
      <c r="E684" s="11" t="s">
        <v>79</v>
      </c>
      <c r="F684" s="12" t="n">
        <v>1870000</v>
      </c>
      <c r="G684" s="12" t="n">
        <v>1650000</v>
      </c>
      <c r="H684" s="11" t="n">
        <v>23</v>
      </c>
      <c r="I684" s="11" t="s">
        <v>69</v>
      </c>
      <c r="J684" s="11" t="s">
        <v>112</v>
      </c>
      <c r="K684" s="11" t="s">
        <v>113</v>
      </c>
      <c r="L684" s="11" t="s">
        <v>82</v>
      </c>
      <c r="M684" s="11" t="s">
        <v>157</v>
      </c>
      <c r="N684" s="11" t="s">
        <v>133</v>
      </c>
      <c r="O684" s="11" t="s">
        <v>60</v>
      </c>
      <c r="P684" s="11" t="s">
        <v>76</v>
      </c>
      <c r="Q684" s="13" t="n">
        <f aca="false">F684*H684</f>
        <v>43010000</v>
      </c>
      <c r="R684" s="13" t="n">
        <f aca="false">G684*H684</f>
        <v>37950000</v>
      </c>
      <c r="S684" s="13" t="n">
        <f aca="false">Q684-R684</f>
        <v>5060000</v>
      </c>
      <c r="T684" s="14" t="n">
        <f aca="false">IFERROR(S684/Q684,0)</f>
        <v>0.117647058823529</v>
      </c>
      <c r="U684" s="15" t="str">
        <f aca="false">TEXT(A684,"yyyy-mm")</f>
        <v>2022-09</v>
      </c>
    </row>
    <row r="685" customFormat="false" ht="15" hidden="false" customHeight="false" outlineLevel="0" collapsed="false">
      <c r="A685" s="10" t="n">
        <v>44809</v>
      </c>
      <c r="B685" s="11" t="s">
        <v>817</v>
      </c>
      <c r="C685" s="11" t="s">
        <v>84</v>
      </c>
      <c r="D685" s="11" t="s">
        <v>67</v>
      </c>
      <c r="E685" s="11" t="s">
        <v>85</v>
      </c>
      <c r="F685" s="12" t="n">
        <v>2600000</v>
      </c>
      <c r="G685" s="12" t="n">
        <v>2300000</v>
      </c>
      <c r="H685" s="11" t="n">
        <v>13</v>
      </c>
      <c r="I685" s="11" t="s">
        <v>69</v>
      </c>
      <c r="J685" s="11" t="s">
        <v>112</v>
      </c>
      <c r="K685" s="11" t="s">
        <v>113</v>
      </c>
      <c r="L685" s="11" t="s">
        <v>82</v>
      </c>
      <c r="M685" s="11" t="s">
        <v>157</v>
      </c>
      <c r="N685" s="11" t="s">
        <v>99</v>
      </c>
      <c r="O685" s="11" t="s">
        <v>100</v>
      </c>
      <c r="P685" s="11" t="s">
        <v>101</v>
      </c>
      <c r="Q685" s="13" t="n">
        <f aca="false">F685*H685</f>
        <v>33800000</v>
      </c>
      <c r="R685" s="13" t="n">
        <f aca="false">G685*H685</f>
        <v>29900000</v>
      </c>
      <c r="S685" s="13" t="n">
        <f aca="false">Q685-R685</f>
        <v>3900000</v>
      </c>
      <c r="T685" s="14" t="n">
        <f aca="false">IFERROR(S685/Q685,0)</f>
        <v>0.115384615384615</v>
      </c>
      <c r="U685" s="15" t="str">
        <f aca="false">TEXT(A685,"yyyy-mm")</f>
        <v>2022-09</v>
      </c>
    </row>
    <row r="686" customFormat="false" ht="15" hidden="false" customHeight="false" outlineLevel="0" collapsed="false">
      <c r="A686" s="10" t="n">
        <v>44809</v>
      </c>
      <c r="B686" s="11" t="s">
        <v>818</v>
      </c>
      <c r="C686" s="11" t="s">
        <v>92</v>
      </c>
      <c r="D686" s="11" t="s">
        <v>67</v>
      </c>
      <c r="E686" s="11" t="s">
        <v>79</v>
      </c>
      <c r="F686" s="12" t="n">
        <v>3577480</v>
      </c>
      <c r="G686" s="12" t="n">
        <v>3100000</v>
      </c>
      <c r="H686" s="11" t="n">
        <v>21</v>
      </c>
      <c r="I686" s="11" t="s">
        <v>69</v>
      </c>
      <c r="J686" s="11" t="s">
        <v>80</v>
      </c>
      <c r="K686" s="11" t="s">
        <v>81</v>
      </c>
      <c r="L686" s="11" t="s">
        <v>82</v>
      </c>
      <c r="M686" s="11" t="s">
        <v>73</v>
      </c>
      <c r="N686" s="11" t="s">
        <v>149</v>
      </c>
      <c r="O686" s="11" t="s">
        <v>150</v>
      </c>
      <c r="P686" s="11" t="s">
        <v>151</v>
      </c>
      <c r="Q686" s="13" t="n">
        <f aca="false">F686*H686</f>
        <v>75127080</v>
      </c>
      <c r="R686" s="13" t="n">
        <f aca="false">G686*H686</f>
        <v>65100000</v>
      </c>
      <c r="S686" s="13" t="n">
        <f aca="false">Q686-R686</f>
        <v>10027080</v>
      </c>
      <c r="T686" s="14" t="n">
        <f aca="false">IFERROR(S686/Q686,0)</f>
        <v>0.133468251394837</v>
      </c>
      <c r="U686" s="15" t="str">
        <f aca="false">TEXT(A686,"yyyy-mm")</f>
        <v>2022-09</v>
      </c>
    </row>
    <row r="687" customFormat="false" ht="15" hidden="false" customHeight="false" outlineLevel="0" collapsed="false">
      <c r="A687" s="10" t="n">
        <v>44810</v>
      </c>
      <c r="B687" s="11" t="s">
        <v>819</v>
      </c>
      <c r="C687" s="11" t="s">
        <v>97</v>
      </c>
      <c r="D687" s="11" t="s">
        <v>67</v>
      </c>
      <c r="E687" s="11" t="s">
        <v>98</v>
      </c>
      <c r="F687" s="12" t="n">
        <v>4969724</v>
      </c>
      <c r="G687" s="12" t="n">
        <v>4121560</v>
      </c>
      <c r="H687" s="11" t="n">
        <v>12</v>
      </c>
      <c r="I687" s="11" t="s">
        <v>69</v>
      </c>
      <c r="J687" s="11" t="s">
        <v>80</v>
      </c>
      <c r="K687" s="11" t="s">
        <v>81</v>
      </c>
      <c r="L687" s="11" t="s">
        <v>82</v>
      </c>
      <c r="M687" s="11" t="s">
        <v>73</v>
      </c>
      <c r="N687" s="11" t="s">
        <v>123</v>
      </c>
      <c r="O687" s="11" t="s">
        <v>60</v>
      </c>
      <c r="P687" s="11" t="s">
        <v>106</v>
      </c>
      <c r="Q687" s="13" t="n">
        <f aca="false">F687*H687</f>
        <v>59636688</v>
      </c>
      <c r="R687" s="13" t="n">
        <f aca="false">G687*H687</f>
        <v>49458720</v>
      </c>
      <c r="S687" s="13" t="n">
        <f aca="false">Q687-R687</f>
        <v>10177968</v>
      </c>
      <c r="T687" s="14" t="n">
        <f aca="false">IFERROR(S687/Q687,0)</f>
        <v>0.170666218083741</v>
      </c>
      <c r="U687" s="15" t="str">
        <f aca="false">TEXT(A687,"yyyy-mm")</f>
        <v>2022-09</v>
      </c>
    </row>
    <row r="688" customFormat="false" ht="15" hidden="false" customHeight="false" outlineLevel="0" collapsed="false">
      <c r="A688" s="10" t="n">
        <v>44811</v>
      </c>
      <c r="B688" s="11" t="s">
        <v>820</v>
      </c>
      <c r="C688" s="11" t="s">
        <v>103</v>
      </c>
      <c r="D688" s="11" t="s">
        <v>67</v>
      </c>
      <c r="E688" s="11" t="s">
        <v>68</v>
      </c>
      <c r="F688" s="12" t="n">
        <v>3319925</v>
      </c>
      <c r="G688" s="12" t="n">
        <v>2800000</v>
      </c>
      <c r="H688" s="11" t="n">
        <v>6</v>
      </c>
      <c r="I688" s="11" t="s">
        <v>69</v>
      </c>
      <c r="J688" s="11" t="s">
        <v>70</v>
      </c>
      <c r="K688" s="11" t="s">
        <v>71</v>
      </c>
      <c r="L688" s="11" t="s">
        <v>72</v>
      </c>
      <c r="M688" s="11" t="s">
        <v>73</v>
      </c>
      <c r="N688" s="11" t="s">
        <v>149</v>
      </c>
      <c r="O688" s="11" t="s">
        <v>150</v>
      </c>
      <c r="P688" s="11" t="s">
        <v>151</v>
      </c>
      <c r="Q688" s="13" t="n">
        <f aca="false">F688*H688</f>
        <v>19919550</v>
      </c>
      <c r="R688" s="13" t="n">
        <f aca="false">G688*H688</f>
        <v>16800000</v>
      </c>
      <c r="S688" s="13" t="n">
        <f aca="false">Q688-R688</f>
        <v>3119550</v>
      </c>
      <c r="T688" s="14" t="n">
        <f aca="false">IFERROR(S688/Q688,0)</f>
        <v>0.15660745348163</v>
      </c>
      <c r="U688" s="15" t="str">
        <f aca="false">TEXT(A688,"yyyy-mm")</f>
        <v>2022-09</v>
      </c>
    </row>
    <row r="689" customFormat="false" ht="15" hidden="false" customHeight="false" outlineLevel="0" collapsed="false">
      <c r="A689" s="10" t="n">
        <v>44811</v>
      </c>
      <c r="B689" s="11" t="s">
        <v>821</v>
      </c>
      <c r="C689" s="11" t="s">
        <v>108</v>
      </c>
      <c r="D689" s="11" t="s">
        <v>67</v>
      </c>
      <c r="E689" s="11" t="s">
        <v>68</v>
      </c>
      <c r="F689" s="12" t="n">
        <v>4757880</v>
      </c>
      <c r="G689" s="12" t="n">
        <v>3450000</v>
      </c>
      <c r="H689" s="11" t="n">
        <v>12</v>
      </c>
      <c r="I689" s="11" t="s">
        <v>69</v>
      </c>
      <c r="J689" s="11" t="s">
        <v>70</v>
      </c>
      <c r="K689" s="11" t="s">
        <v>71</v>
      </c>
      <c r="L689" s="11" t="s">
        <v>72</v>
      </c>
      <c r="M689" s="11" t="s">
        <v>73</v>
      </c>
      <c r="N689" s="11" t="s">
        <v>149</v>
      </c>
      <c r="O689" s="11" t="s">
        <v>150</v>
      </c>
      <c r="P689" s="11" t="s">
        <v>151</v>
      </c>
      <c r="Q689" s="13" t="n">
        <f aca="false">F689*H689</f>
        <v>57094560</v>
      </c>
      <c r="R689" s="13" t="n">
        <f aca="false">G689*H689</f>
        <v>41400000</v>
      </c>
      <c r="S689" s="13" t="n">
        <f aca="false">Q689-R689</f>
        <v>15694560</v>
      </c>
      <c r="T689" s="14" t="n">
        <f aca="false">IFERROR(S689/Q689,0)</f>
        <v>0.274887134606169</v>
      </c>
      <c r="U689" s="15" t="str">
        <f aca="false">TEXT(A689,"yyyy-mm")</f>
        <v>2022-09</v>
      </c>
    </row>
    <row r="690" customFormat="false" ht="15" hidden="false" customHeight="false" outlineLevel="0" collapsed="false">
      <c r="A690" s="10" t="n">
        <v>44811</v>
      </c>
      <c r="B690" s="11" t="s">
        <v>822</v>
      </c>
      <c r="C690" s="11" t="s">
        <v>111</v>
      </c>
      <c r="D690" s="11" t="s">
        <v>67</v>
      </c>
      <c r="E690" s="11" t="s">
        <v>79</v>
      </c>
      <c r="F690" s="12" t="n">
        <v>3545808</v>
      </c>
      <c r="G690" s="12" t="n">
        <v>3350000</v>
      </c>
      <c r="H690" s="11" t="n">
        <v>7</v>
      </c>
      <c r="I690" s="11" t="s">
        <v>69</v>
      </c>
      <c r="J690" s="11" t="s">
        <v>70</v>
      </c>
      <c r="K690" s="11" t="s">
        <v>71</v>
      </c>
      <c r="L690" s="11" t="s">
        <v>72</v>
      </c>
      <c r="M690" s="11" t="s">
        <v>73</v>
      </c>
      <c r="N690" s="11" t="s">
        <v>123</v>
      </c>
      <c r="O690" s="11" t="s">
        <v>60</v>
      </c>
      <c r="P690" s="11" t="s">
        <v>106</v>
      </c>
      <c r="Q690" s="13" t="n">
        <f aca="false">F690*H690</f>
        <v>24820656</v>
      </c>
      <c r="R690" s="13" t="n">
        <f aca="false">G690*H690</f>
        <v>23450000</v>
      </c>
      <c r="S690" s="13" t="n">
        <f aca="false">Q690-R690</f>
        <v>1370656</v>
      </c>
      <c r="T690" s="14" t="n">
        <f aca="false">IFERROR(S690/Q690,0)</f>
        <v>0.0552223921881839</v>
      </c>
      <c r="U690" s="15" t="str">
        <f aca="false">TEXT(A690,"yyyy-mm")</f>
        <v>2022-09</v>
      </c>
    </row>
    <row r="691" customFormat="false" ht="15" hidden="false" customHeight="false" outlineLevel="0" collapsed="false">
      <c r="A691" s="10" t="n">
        <v>44812</v>
      </c>
      <c r="B691" s="11" t="s">
        <v>823</v>
      </c>
      <c r="C691" s="11" t="s">
        <v>115</v>
      </c>
      <c r="D691" s="11" t="s">
        <v>67</v>
      </c>
      <c r="E691" s="11" t="s">
        <v>98</v>
      </c>
      <c r="F691" s="12" t="n">
        <v>4200743</v>
      </c>
      <c r="G691" s="12" t="n">
        <v>4101000</v>
      </c>
      <c r="H691" s="11" t="n">
        <v>1</v>
      </c>
      <c r="I691" s="11" t="s">
        <v>69</v>
      </c>
      <c r="J691" s="11" t="s">
        <v>80</v>
      </c>
      <c r="K691" s="11" t="s">
        <v>81</v>
      </c>
      <c r="L691" s="11" t="s">
        <v>82</v>
      </c>
      <c r="M691" s="11" t="s">
        <v>73</v>
      </c>
      <c r="N691" s="11" t="s">
        <v>133</v>
      </c>
      <c r="O691" s="11" t="s">
        <v>60</v>
      </c>
      <c r="P691" s="11" t="s">
        <v>76</v>
      </c>
      <c r="Q691" s="13" t="n">
        <f aca="false">F691*H691</f>
        <v>4200743</v>
      </c>
      <c r="R691" s="13" t="n">
        <f aca="false">G691*H691</f>
        <v>4101000</v>
      </c>
      <c r="S691" s="13" t="n">
        <f aca="false">Q691-R691</f>
        <v>99743</v>
      </c>
      <c r="T691" s="14" t="n">
        <f aca="false">IFERROR(S691/Q691,0)</f>
        <v>0.023744132883159</v>
      </c>
      <c r="U691" s="15" t="str">
        <f aca="false">TEXT(A691,"yyyy-mm")</f>
        <v>2022-09</v>
      </c>
    </row>
    <row r="692" customFormat="false" ht="15" hidden="false" customHeight="false" outlineLevel="0" collapsed="false">
      <c r="A692" s="10" t="n">
        <v>44812</v>
      </c>
      <c r="B692" s="11" t="s">
        <v>824</v>
      </c>
      <c r="C692" s="11" t="s">
        <v>117</v>
      </c>
      <c r="D692" s="11" t="s">
        <v>118</v>
      </c>
      <c r="E692" s="11" t="s">
        <v>119</v>
      </c>
      <c r="F692" s="12" t="n">
        <v>8220549</v>
      </c>
      <c r="G692" s="12" t="n">
        <v>6500000</v>
      </c>
      <c r="H692" s="11" t="n">
        <v>6</v>
      </c>
      <c r="I692" s="11" t="s">
        <v>69</v>
      </c>
      <c r="J692" s="11" t="s">
        <v>80</v>
      </c>
      <c r="K692" s="11" t="s">
        <v>81</v>
      </c>
      <c r="L692" s="11" t="s">
        <v>82</v>
      </c>
      <c r="M692" s="11" t="s">
        <v>73</v>
      </c>
      <c r="N692" s="11" t="s">
        <v>143</v>
      </c>
      <c r="O692" s="11" t="s">
        <v>144</v>
      </c>
      <c r="P692" s="11" t="s">
        <v>101</v>
      </c>
      <c r="Q692" s="13" t="n">
        <f aca="false">F692*H692</f>
        <v>49323294</v>
      </c>
      <c r="R692" s="13" t="n">
        <f aca="false">G692*H692</f>
        <v>39000000</v>
      </c>
      <c r="S692" s="13" t="n">
        <f aca="false">Q692-R692</f>
        <v>10323294</v>
      </c>
      <c r="T692" s="14" t="n">
        <f aca="false">IFERROR(S692/Q692,0)</f>
        <v>0.209298551714733</v>
      </c>
      <c r="U692" s="15" t="str">
        <f aca="false">TEXT(A692,"yyyy-mm")</f>
        <v>2022-09</v>
      </c>
    </row>
    <row r="693" customFormat="false" ht="15" hidden="false" customHeight="false" outlineLevel="0" collapsed="false">
      <c r="A693" s="10" t="n">
        <v>44813</v>
      </c>
      <c r="B693" s="11" t="s">
        <v>825</v>
      </c>
      <c r="C693" s="11" t="s">
        <v>121</v>
      </c>
      <c r="D693" s="11" t="s">
        <v>118</v>
      </c>
      <c r="E693" s="11" t="s">
        <v>122</v>
      </c>
      <c r="F693" s="12" t="n">
        <v>7687274</v>
      </c>
      <c r="G693" s="12" t="n">
        <v>6500000</v>
      </c>
      <c r="H693" s="11" t="n">
        <v>14</v>
      </c>
      <c r="I693" s="11" t="s">
        <v>69</v>
      </c>
      <c r="J693" s="11" t="s">
        <v>70</v>
      </c>
      <c r="K693" s="11" t="s">
        <v>71</v>
      </c>
      <c r="L693" s="11" t="s">
        <v>72</v>
      </c>
      <c r="M693" s="11" t="s">
        <v>73</v>
      </c>
      <c r="N693" s="11" t="s">
        <v>123</v>
      </c>
      <c r="O693" s="11" t="s">
        <v>60</v>
      </c>
      <c r="P693" s="11" t="s">
        <v>106</v>
      </c>
      <c r="Q693" s="13" t="n">
        <f aca="false">F693*H693</f>
        <v>107621836</v>
      </c>
      <c r="R693" s="13" t="n">
        <f aca="false">G693*H693</f>
        <v>91000000</v>
      </c>
      <c r="S693" s="13" t="n">
        <f aca="false">Q693-R693</f>
        <v>16621836</v>
      </c>
      <c r="T693" s="14" t="n">
        <f aca="false">IFERROR(S693/Q693,0)</f>
        <v>0.154446686822923</v>
      </c>
      <c r="U693" s="15" t="str">
        <f aca="false">TEXT(A693,"yyyy-mm")</f>
        <v>2022-09</v>
      </c>
    </row>
    <row r="694" customFormat="false" ht="15" hidden="false" customHeight="false" outlineLevel="0" collapsed="false">
      <c r="A694" s="10" t="n">
        <v>44813</v>
      </c>
      <c r="B694" s="11" t="s">
        <v>826</v>
      </c>
      <c r="C694" s="11" t="s">
        <v>125</v>
      </c>
      <c r="D694" s="11" t="s">
        <v>118</v>
      </c>
      <c r="E694" s="11" t="s">
        <v>126</v>
      </c>
      <c r="F694" s="12" t="n">
        <v>5684211</v>
      </c>
      <c r="G694" s="12" t="n">
        <v>4300000</v>
      </c>
      <c r="H694" s="11" t="n">
        <v>3</v>
      </c>
      <c r="I694" s="11" t="s">
        <v>69</v>
      </c>
      <c r="J694" s="11" t="s">
        <v>70</v>
      </c>
      <c r="K694" s="11" t="s">
        <v>71</v>
      </c>
      <c r="L694" s="11" t="s">
        <v>72</v>
      </c>
      <c r="M694" s="11" t="s">
        <v>73</v>
      </c>
      <c r="N694" s="11" t="s">
        <v>99</v>
      </c>
      <c r="O694" s="11" t="s">
        <v>100</v>
      </c>
      <c r="P694" s="11" t="s">
        <v>101</v>
      </c>
      <c r="Q694" s="13" t="n">
        <f aca="false">F694*H694</f>
        <v>17052633</v>
      </c>
      <c r="R694" s="13" t="n">
        <f aca="false">G694*H694</f>
        <v>12900000</v>
      </c>
      <c r="S694" s="13" t="n">
        <f aca="false">Q694-R694</f>
        <v>4152633</v>
      </c>
      <c r="T694" s="14" t="n">
        <f aca="false">IFERROR(S694/Q694,0)</f>
        <v>0.243518581558637</v>
      </c>
      <c r="U694" s="15" t="str">
        <f aca="false">TEXT(A694,"yyyy-mm")</f>
        <v>2022-09</v>
      </c>
    </row>
    <row r="695" customFormat="false" ht="15" hidden="false" customHeight="false" outlineLevel="0" collapsed="false">
      <c r="A695" s="10" t="n">
        <v>44813</v>
      </c>
      <c r="B695" s="11" t="s">
        <v>827</v>
      </c>
      <c r="C695" s="11" t="s">
        <v>128</v>
      </c>
      <c r="D695" s="11" t="s">
        <v>118</v>
      </c>
      <c r="E695" s="11" t="s">
        <v>119</v>
      </c>
      <c r="F695" s="12" t="n">
        <v>3370302</v>
      </c>
      <c r="G695" s="12" t="n">
        <v>2100000</v>
      </c>
      <c r="H695" s="11" t="n">
        <v>26</v>
      </c>
      <c r="I695" s="11" t="s">
        <v>69</v>
      </c>
      <c r="J695" s="11" t="s">
        <v>112</v>
      </c>
      <c r="K695" s="11" t="s">
        <v>113</v>
      </c>
      <c r="L695" s="11" t="s">
        <v>82</v>
      </c>
      <c r="M695" s="11" t="s">
        <v>157</v>
      </c>
      <c r="N695" s="11" t="s">
        <v>149</v>
      </c>
      <c r="O695" s="11" t="s">
        <v>150</v>
      </c>
      <c r="P695" s="11" t="s">
        <v>151</v>
      </c>
      <c r="Q695" s="13" t="n">
        <f aca="false">F695*H695</f>
        <v>87627852</v>
      </c>
      <c r="R695" s="13" t="n">
        <f aca="false">G695*H695</f>
        <v>54600000</v>
      </c>
      <c r="S695" s="13" t="n">
        <f aca="false">Q695-R695</f>
        <v>33027852</v>
      </c>
      <c r="T695" s="14" t="n">
        <f aca="false">IFERROR(S695/Q695,0)</f>
        <v>0.37691043710623</v>
      </c>
      <c r="U695" s="15" t="str">
        <f aca="false">TEXT(A695,"yyyy-mm")</f>
        <v>2022-09</v>
      </c>
    </row>
    <row r="696" customFormat="false" ht="15" hidden="false" customHeight="false" outlineLevel="0" collapsed="false">
      <c r="A696" s="10" t="n">
        <v>44814</v>
      </c>
      <c r="B696" s="11" t="s">
        <v>828</v>
      </c>
      <c r="C696" s="11" t="s">
        <v>130</v>
      </c>
      <c r="D696" s="11" t="s">
        <v>118</v>
      </c>
      <c r="E696" s="11" t="s">
        <v>68</v>
      </c>
      <c r="F696" s="12" t="n">
        <v>2852897</v>
      </c>
      <c r="G696" s="12" t="n">
        <v>2450000</v>
      </c>
      <c r="H696" s="11" t="n">
        <v>15</v>
      </c>
      <c r="I696" s="11" t="s">
        <v>69</v>
      </c>
      <c r="J696" s="11" t="s">
        <v>70</v>
      </c>
      <c r="K696" s="11" t="s">
        <v>71</v>
      </c>
      <c r="L696" s="11" t="s">
        <v>72</v>
      </c>
      <c r="M696" s="11" t="s">
        <v>73</v>
      </c>
      <c r="N696" s="11" t="s">
        <v>149</v>
      </c>
      <c r="O696" s="11" t="s">
        <v>150</v>
      </c>
      <c r="P696" s="11" t="s">
        <v>151</v>
      </c>
      <c r="Q696" s="13" t="n">
        <f aca="false">F696*H696</f>
        <v>42793455</v>
      </c>
      <c r="R696" s="13" t="n">
        <f aca="false">G696*H696</f>
        <v>36750000</v>
      </c>
      <c r="S696" s="13" t="n">
        <f aca="false">Q696-R696</f>
        <v>6043455</v>
      </c>
      <c r="T696" s="14" t="n">
        <f aca="false">IFERROR(S696/Q696,0)</f>
        <v>0.141223815651249</v>
      </c>
      <c r="U696" s="15" t="str">
        <f aca="false">TEXT(A696,"yyyy-mm")</f>
        <v>2022-09</v>
      </c>
    </row>
    <row r="697" customFormat="false" ht="15" hidden="false" customHeight="false" outlineLevel="0" collapsed="false">
      <c r="A697" s="10" t="n">
        <v>44814</v>
      </c>
      <c r="B697" s="11" t="s">
        <v>829</v>
      </c>
      <c r="C697" s="11" t="s">
        <v>132</v>
      </c>
      <c r="D697" s="11" t="s">
        <v>118</v>
      </c>
      <c r="E697" s="11" t="s">
        <v>68</v>
      </c>
      <c r="F697" s="12" t="n">
        <v>4803603</v>
      </c>
      <c r="G697" s="12" t="n">
        <v>4121000</v>
      </c>
      <c r="H697" s="11" t="n">
        <v>21</v>
      </c>
      <c r="I697" s="11" t="s">
        <v>69</v>
      </c>
      <c r="J697" s="11" t="s">
        <v>112</v>
      </c>
      <c r="K697" s="11" t="s">
        <v>113</v>
      </c>
      <c r="L697" s="11" t="s">
        <v>82</v>
      </c>
      <c r="M697" s="11" t="s">
        <v>157</v>
      </c>
      <c r="N697" s="11" t="s">
        <v>173</v>
      </c>
      <c r="O697" s="11" t="s">
        <v>174</v>
      </c>
      <c r="P697" s="11" t="s">
        <v>95</v>
      </c>
      <c r="Q697" s="13" t="n">
        <f aca="false">F697*H697</f>
        <v>100875663</v>
      </c>
      <c r="R697" s="13" t="n">
        <f aca="false">G697*H697</f>
        <v>86541000</v>
      </c>
      <c r="S697" s="13" t="n">
        <f aca="false">Q697-R697</f>
        <v>14334663</v>
      </c>
      <c r="T697" s="14" t="n">
        <f aca="false">IFERROR(S697/Q697,0)</f>
        <v>0.142102292799801</v>
      </c>
      <c r="U697" s="15" t="str">
        <f aca="false">TEXT(A697,"yyyy-mm")</f>
        <v>2022-09</v>
      </c>
    </row>
    <row r="698" customFormat="false" ht="15" hidden="false" customHeight="false" outlineLevel="0" collapsed="false">
      <c r="A698" s="10" t="n">
        <v>44814</v>
      </c>
      <c r="B698" s="11" t="s">
        <v>830</v>
      </c>
      <c r="C698" s="11" t="s">
        <v>135</v>
      </c>
      <c r="D698" s="11" t="s">
        <v>118</v>
      </c>
      <c r="E698" s="11" t="s">
        <v>68</v>
      </c>
      <c r="F698" s="12" t="n">
        <v>5689947</v>
      </c>
      <c r="G698" s="12" t="n">
        <v>5235000</v>
      </c>
      <c r="H698" s="11" t="n">
        <v>16</v>
      </c>
      <c r="I698" s="11" t="s">
        <v>69</v>
      </c>
      <c r="J698" s="11" t="s">
        <v>80</v>
      </c>
      <c r="K698" s="11" t="s">
        <v>81</v>
      </c>
      <c r="L698" s="11" t="s">
        <v>82</v>
      </c>
      <c r="M698" s="11" t="s">
        <v>73</v>
      </c>
      <c r="N698" s="11" t="s">
        <v>93</v>
      </c>
      <c r="O698" s="11" t="s">
        <v>94</v>
      </c>
      <c r="P698" s="11" t="s">
        <v>95</v>
      </c>
      <c r="Q698" s="13" t="n">
        <f aca="false">F698*H698</f>
        <v>91039152</v>
      </c>
      <c r="R698" s="13" t="n">
        <f aca="false">G698*H698</f>
        <v>83760000</v>
      </c>
      <c r="S698" s="13" t="n">
        <f aca="false">Q698-R698</f>
        <v>7279152</v>
      </c>
      <c r="T698" s="14" t="n">
        <f aca="false">IFERROR(S698/Q698,0)</f>
        <v>0.0799562807878527</v>
      </c>
      <c r="U698" s="15" t="str">
        <f aca="false">TEXT(A698,"yyyy-mm")</f>
        <v>2022-09</v>
      </c>
    </row>
    <row r="699" customFormat="false" ht="15" hidden="false" customHeight="false" outlineLevel="0" collapsed="false">
      <c r="A699" s="10" t="n">
        <v>44814</v>
      </c>
      <c r="B699" s="11" t="s">
        <v>831</v>
      </c>
      <c r="C699" s="11" t="s">
        <v>137</v>
      </c>
      <c r="D699" s="11" t="s">
        <v>138</v>
      </c>
      <c r="E699" s="11" t="s">
        <v>139</v>
      </c>
      <c r="F699" s="12" t="n">
        <v>5171827</v>
      </c>
      <c r="G699" s="12" t="n">
        <v>4890000</v>
      </c>
      <c r="H699" s="11" t="n">
        <v>11</v>
      </c>
      <c r="I699" s="11" t="s">
        <v>69</v>
      </c>
      <c r="J699" s="11" t="s">
        <v>80</v>
      </c>
      <c r="K699" s="11" t="s">
        <v>81</v>
      </c>
      <c r="L699" s="11" t="s">
        <v>82</v>
      </c>
      <c r="M699" s="11" t="s">
        <v>73</v>
      </c>
      <c r="N699" s="11" t="s">
        <v>143</v>
      </c>
      <c r="O699" s="11" t="s">
        <v>144</v>
      </c>
      <c r="P699" s="11" t="s">
        <v>101</v>
      </c>
      <c r="Q699" s="13" t="n">
        <f aca="false">F699*H699</f>
        <v>56890097</v>
      </c>
      <c r="R699" s="13" t="n">
        <f aca="false">G699*H699</f>
        <v>53790000</v>
      </c>
      <c r="S699" s="13" t="n">
        <f aca="false">Q699-R699</f>
        <v>3100097</v>
      </c>
      <c r="T699" s="14" t="n">
        <f aca="false">IFERROR(S699/Q699,0)</f>
        <v>0.0544927353525166</v>
      </c>
      <c r="U699" s="15" t="str">
        <f aca="false">TEXT(A699,"yyyy-mm")</f>
        <v>2022-09</v>
      </c>
    </row>
    <row r="700" customFormat="false" ht="15" hidden="false" customHeight="false" outlineLevel="0" collapsed="false">
      <c r="A700" s="10" t="n">
        <v>44814</v>
      </c>
      <c r="B700" s="11" t="s">
        <v>832</v>
      </c>
      <c r="C700" s="11" t="s">
        <v>141</v>
      </c>
      <c r="D700" s="11" t="s">
        <v>138</v>
      </c>
      <c r="E700" s="11" t="s">
        <v>142</v>
      </c>
      <c r="F700" s="12" t="n">
        <v>2805124</v>
      </c>
      <c r="G700" s="12" t="n">
        <v>2178000</v>
      </c>
      <c r="H700" s="11" t="n">
        <v>15</v>
      </c>
      <c r="I700" s="11" t="s">
        <v>69</v>
      </c>
      <c r="J700" s="11" t="s">
        <v>70</v>
      </c>
      <c r="K700" s="11" t="s">
        <v>71</v>
      </c>
      <c r="L700" s="11" t="s">
        <v>72</v>
      </c>
      <c r="M700" s="11" t="s">
        <v>73</v>
      </c>
      <c r="N700" s="11" t="s">
        <v>143</v>
      </c>
      <c r="O700" s="11" t="s">
        <v>144</v>
      </c>
      <c r="P700" s="11" t="s">
        <v>101</v>
      </c>
      <c r="Q700" s="13" t="n">
        <f aca="false">F700*H700</f>
        <v>42076860</v>
      </c>
      <c r="R700" s="13" t="n">
        <f aca="false">G700*H700</f>
        <v>32670000</v>
      </c>
      <c r="S700" s="13" t="n">
        <f aca="false">Q700-R700</f>
        <v>9406860</v>
      </c>
      <c r="T700" s="14" t="n">
        <f aca="false">IFERROR(S700/Q700,0)</f>
        <v>0.22356373550688</v>
      </c>
      <c r="U700" s="15" t="str">
        <f aca="false">TEXT(A700,"yyyy-mm")</f>
        <v>2022-09</v>
      </c>
    </row>
    <row r="701" customFormat="false" ht="15" hidden="false" customHeight="false" outlineLevel="0" collapsed="false">
      <c r="A701" s="10" t="n">
        <v>44815</v>
      </c>
      <c r="B701" s="11" t="s">
        <v>833</v>
      </c>
      <c r="C701" s="11" t="s">
        <v>146</v>
      </c>
      <c r="D701" s="11" t="s">
        <v>138</v>
      </c>
      <c r="E701" s="11" t="s">
        <v>139</v>
      </c>
      <c r="F701" s="12" t="n">
        <v>2728100</v>
      </c>
      <c r="G701" s="12" t="n">
        <v>2321000</v>
      </c>
      <c r="H701" s="11" t="n">
        <v>6</v>
      </c>
      <c r="I701" s="11" t="s">
        <v>69</v>
      </c>
      <c r="J701" s="11" t="s">
        <v>70</v>
      </c>
      <c r="K701" s="11" t="s">
        <v>71</v>
      </c>
      <c r="L701" s="11" t="s">
        <v>72</v>
      </c>
      <c r="M701" s="11" t="s">
        <v>73</v>
      </c>
      <c r="N701" s="11" t="s">
        <v>99</v>
      </c>
      <c r="O701" s="11" t="s">
        <v>100</v>
      </c>
      <c r="P701" s="11" t="s">
        <v>101</v>
      </c>
      <c r="Q701" s="13" t="n">
        <f aca="false">F701*H701</f>
        <v>16368600</v>
      </c>
      <c r="R701" s="13" t="n">
        <f aca="false">G701*H701</f>
        <v>13926000</v>
      </c>
      <c r="S701" s="13" t="n">
        <f aca="false">Q701-R701</f>
        <v>2442600</v>
      </c>
      <c r="T701" s="14" t="n">
        <f aca="false">IFERROR(S701/Q701,0)</f>
        <v>0.149224735163667</v>
      </c>
      <c r="U701" s="15" t="str">
        <f aca="false">TEXT(A701,"yyyy-mm")</f>
        <v>2022-09</v>
      </c>
    </row>
    <row r="702" customFormat="false" ht="15" hidden="false" customHeight="false" outlineLevel="0" collapsed="false">
      <c r="A702" s="10" t="n">
        <v>44815</v>
      </c>
      <c r="B702" s="11" t="s">
        <v>834</v>
      </c>
      <c r="C702" s="11" t="s">
        <v>148</v>
      </c>
      <c r="D702" s="11" t="s">
        <v>138</v>
      </c>
      <c r="E702" s="11" t="s">
        <v>122</v>
      </c>
      <c r="F702" s="12" t="n">
        <v>4941716</v>
      </c>
      <c r="G702" s="12" t="n">
        <v>4456000</v>
      </c>
      <c r="H702" s="11" t="n">
        <v>14</v>
      </c>
      <c r="I702" s="11" t="s">
        <v>69</v>
      </c>
      <c r="J702" s="11" t="s">
        <v>80</v>
      </c>
      <c r="K702" s="11" t="s">
        <v>81</v>
      </c>
      <c r="L702" s="11" t="s">
        <v>82</v>
      </c>
      <c r="M702" s="11" t="s">
        <v>73</v>
      </c>
      <c r="N702" s="11" t="s">
        <v>109</v>
      </c>
      <c r="O702" s="11" t="s">
        <v>75</v>
      </c>
      <c r="P702" s="11" t="s">
        <v>95</v>
      </c>
      <c r="Q702" s="13" t="n">
        <f aca="false">F702*H702</f>
        <v>69184024</v>
      </c>
      <c r="R702" s="13" t="n">
        <f aca="false">G702*H702</f>
        <v>62384000</v>
      </c>
      <c r="S702" s="13" t="n">
        <f aca="false">Q702-R702</f>
        <v>6800024</v>
      </c>
      <c r="T702" s="14" t="n">
        <f aca="false">IFERROR(S702/Q702,0)</f>
        <v>0.0982889344511097</v>
      </c>
      <c r="U702" s="15" t="str">
        <f aca="false">TEXT(A702,"yyyy-mm")</f>
        <v>2022-09</v>
      </c>
    </row>
    <row r="703" customFormat="false" ht="15" hidden="false" customHeight="false" outlineLevel="0" collapsed="false">
      <c r="A703" s="10" t="n">
        <v>44815</v>
      </c>
      <c r="B703" s="11" t="s">
        <v>835</v>
      </c>
      <c r="C703" s="11" t="s">
        <v>66</v>
      </c>
      <c r="D703" s="11" t="s">
        <v>67</v>
      </c>
      <c r="E703" s="11" t="s">
        <v>68</v>
      </c>
      <c r="F703" s="12" t="n">
        <v>3048952</v>
      </c>
      <c r="G703" s="12" t="n">
        <v>2560000</v>
      </c>
      <c r="H703" s="11" t="n">
        <v>12</v>
      </c>
      <c r="I703" s="11" t="s">
        <v>69</v>
      </c>
      <c r="J703" s="11" t="s">
        <v>112</v>
      </c>
      <c r="K703" s="11" t="s">
        <v>113</v>
      </c>
      <c r="L703" s="11" t="s">
        <v>82</v>
      </c>
      <c r="M703" s="11" t="s">
        <v>157</v>
      </c>
      <c r="N703" s="11" t="s">
        <v>123</v>
      </c>
      <c r="O703" s="11" t="s">
        <v>60</v>
      </c>
      <c r="P703" s="11" t="s">
        <v>106</v>
      </c>
      <c r="Q703" s="13" t="n">
        <f aca="false">F703*H703</f>
        <v>36587424</v>
      </c>
      <c r="R703" s="13" t="n">
        <f aca="false">G703*H703</f>
        <v>30720000</v>
      </c>
      <c r="S703" s="13" t="n">
        <f aca="false">Q703-R703</f>
        <v>5867424</v>
      </c>
      <c r="T703" s="14" t="n">
        <f aca="false">IFERROR(S703/Q703,0)</f>
        <v>0.160367234380863</v>
      </c>
      <c r="U703" s="15" t="str">
        <f aca="false">TEXT(A703,"yyyy-mm")</f>
        <v>2022-09</v>
      </c>
    </row>
    <row r="704" customFormat="false" ht="15" hidden="false" customHeight="false" outlineLevel="0" collapsed="false">
      <c r="A704" s="10" t="n">
        <v>44815</v>
      </c>
      <c r="B704" s="11" t="s">
        <v>836</v>
      </c>
      <c r="C704" s="11" t="s">
        <v>78</v>
      </c>
      <c r="D704" s="11" t="s">
        <v>67</v>
      </c>
      <c r="E704" s="11" t="s">
        <v>79</v>
      </c>
      <c r="F704" s="12" t="n">
        <v>1870000</v>
      </c>
      <c r="G704" s="12" t="n">
        <v>1650000</v>
      </c>
      <c r="H704" s="11" t="n">
        <v>12</v>
      </c>
      <c r="I704" s="11" t="s">
        <v>69</v>
      </c>
      <c r="J704" s="11" t="s">
        <v>70</v>
      </c>
      <c r="K704" s="11" t="s">
        <v>71</v>
      </c>
      <c r="L704" s="11" t="s">
        <v>72</v>
      </c>
      <c r="M704" s="11" t="s">
        <v>73</v>
      </c>
      <c r="N704" s="11" t="s">
        <v>99</v>
      </c>
      <c r="O704" s="11" t="s">
        <v>100</v>
      </c>
      <c r="P704" s="11" t="s">
        <v>101</v>
      </c>
      <c r="Q704" s="13" t="n">
        <f aca="false">F704*H704</f>
        <v>22440000</v>
      </c>
      <c r="R704" s="13" t="n">
        <f aca="false">G704*H704</f>
        <v>19800000</v>
      </c>
      <c r="S704" s="13" t="n">
        <f aca="false">Q704-R704</f>
        <v>2640000</v>
      </c>
      <c r="T704" s="14" t="n">
        <f aca="false">IFERROR(S704/Q704,0)</f>
        <v>0.117647058823529</v>
      </c>
      <c r="U704" s="15" t="str">
        <f aca="false">TEXT(A704,"yyyy-mm")</f>
        <v>2022-09</v>
      </c>
    </row>
    <row r="705" customFormat="false" ht="15" hidden="false" customHeight="false" outlineLevel="0" collapsed="false">
      <c r="A705" s="10" t="n">
        <v>44816</v>
      </c>
      <c r="B705" s="11" t="s">
        <v>837</v>
      </c>
      <c r="C705" s="11" t="s">
        <v>84</v>
      </c>
      <c r="D705" s="11" t="s">
        <v>67</v>
      </c>
      <c r="E705" s="11" t="s">
        <v>85</v>
      </c>
      <c r="F705" s="12" t="n">
        <v>2600000</v>
      </c>
      <c r="G705" s="12" t="n">
        <v>2300000</v>
      </c>
      <c r="H705" s="11" t="n">
        <v>2</v>
      </c>
      <c r="I705" s="11" t="s">
        <v>69</v>
      </c>
      <c r="J705" s="11" t="s">
        <v>80</v>
      </c>
      <c r="K705" s="11" t="s">
        <v>81</v>
      </c>
      <c r="L705" s="11" t="s">
        <v>82</v>
      </c>
      <c r="M705" s="11" t="s">
        <v>73</v>
      </c>
      <c r="N705" s="11" t="s">
        <v>109</v>
      </c>
      <c r="O705" s="11" t="s">
        <v>75</v>
      </c>
      <c r="P705" s="11" t="s">
        <v>95</v>
      </c>
      <c r="Q705" s="13" t="n">
        <f aca="false">F705*H705</f>
        <v>5200000</v>
      </c>
      <c r="R705" s="13" t="n">
        <f aca="false">G705*H705</f>
        <v>4600000</v>
      </c>
      <c r="S705" s="13" t="n">
        <f aca="false">Q705-R705</f>
        <v>600000</v>
      </c>
      <c r="T705" s="14" t="n">
        <f aca="false">IFERROR(S705/Q705,0)</f>
        <v>0.115384615384615</v>
      </c>
      <c r="U705" s="15" t="str">
        <f aca="false">TEXT(A705,"yyyy-mm")</f>
        <v>2022-09</v>
      </c>
    </row>
    <row r="706" customFormat="false" ht="15" hidden="false" customHeight="false" outlineLevel="0" collapsed="false">
      <c r="A706" s="10" t="n">
        <v>44816</v>
      </c>
      <c r="B706" s="11" t="s">
        <v>838</v>
      </c>
      <c r="C706" s="11" t="s">
        <v>92</v>
      </c>
      <c r="D706" s="11" t="s">
        <v>67</v>
      </c>
      <c r="E706" s="11" t="s">
        <v>79</v>
      </c>
      <c r="F706" s="12" t="n">
        <v>3577480</v>
      </c>
      <c r="G706" s="12" t="n">
        <v>3100000</v>
      </c>
      <c r="H706" s="11" t="n">
        <v>14</v>
      </c>
      <c r="I706" s="11" t="s">
        <v>69</v>
      </c>
      <c r="J706" s="11" t="s">
        <v>80</v>
      </c>
      <c r="K706" s="11" t="s">
        <v>81</v>
      </c>
      <c r="L706" s="11" t="s">
        <v>82</v>
      </c>
      <c r="M706" s="11" t="s">
        <v>73</v>
      </c>
      <c r="N706" s="11" t="s">
        <v>143</v>
      </c>
      <c r="O706" s="11" t="s">
        <v>144</v>
      </c>
      <c r="P706" s="11" t="s">
        <v>101</v>
      </c>
      <c r="Q706" s="13" t="n">
        <f aca="false">F706*H706</f>
        <v>50084720</v>
      </c>
      <c r="R706" s="13" t="n">
        <f aca="false">G706*H706</f>
        <v>43400000</v>
      </c>
      <c r="S706" s="13" t="n">
        <f aca="false">Q706-R706</f>
        <v>6684720</v>
      </c>
      <c r="T706" s="14" t="n">
        <f aca="false">IFERROR(S706/Q706,0)</f>
        <v>0.133468251394837</v>
      </c>
      <c r="U706" s="15" t="str">
        <f aca="false">TEXT(A706,"yyyy-mm")</f>
        <v>2022-09</v>
      </c>
    </row>
    <row r="707" customFormat="false" ht="15" hidden="false" customHeight="false" outlineLevel="0" collapsed="false">
      <c r="A707" s="10" t="n">
        <v>44816</v>
      </c>
      <c r="B707" s="11" t="s">
        <v>839</v>
      </c>
      <c r="C707" s="11" t="s">
        <v>97</v>
      </c>
      <c r="D707" s="11" t="s">
        <v>67</v>
      </c>
      <c r="E707" s="11" t="s">
        <v>98</v>
      </c>
      <c r="F707" s="12" t="n">
        <v>4969724</v>
      </c>
      <c r="G707" s="12" t="n">
        <v>4121560</v>
      </c>
      <c r="H707" s="11" t="n">
        <v>18</v>
      </c>
      <c r="I707" s="11" t="s">
        <v>69</v>
      </c>
      <c r="J707" s="11" t="s">
        <v>112</v>
      </c>
      <c r="K707" s="11" t="s">
        <v>113</v>
      </c>
      <c r="L707" s="11" t="s">
        <v>82</v>
      </c>
      <c r="M707" s="11" t="s">
        <v>157</v>
      </c>
      <c r="N707" s="11" t="s">
        <v>109</v>
      </c>
      <c r="O707" s="11" t="s">
        <v>75</v>
      </c>
      <c r="P707" s="11" t="s">
        <v>95</v>
      </c>
      <c r="Q707" s="13" t="n">
        <f aca="false">F707*H707</f>
        <v>89455032</v>
      </c>
      <c r="R707" s="13" t="n">
        <f aca="false">G707*H707</f>
        <v>74188080</v>
      </c>
      <c r="S707" s="13" t="n">
        <f aca="false">Q707-R707</f>
        <v>15266952</v>
      </c>
      <c r="T707" s="14" t="n">
        <f aca="false">IFERROR(S707/Q707,0)</f>
        <v>0.170666218083741</v>
      </c>
      <c r="U707" s="15" t="str">
        <f aca="false">TEXT(A707,"yyyy-mm")</f>
        <v>2022-09</v>
      </c>
    </row>
    <row r="708" customFormat="false" ht="15" hidden="false" customHeight="false" outlineLevel="0" collapsed="false">
      <c r="A708" s="10" t="n">
        <v>44816</v>
      </c>
      <c r="B708" s="11" t="s">
        <v>840</v>
      </c>
      <c r="C708" s="11" t="s">
        <v>103</v>
      </c>
      <c r="D708" s="11" t="s">
        <v>67</v>
      </c>
      <c r="E708" s="11" t="s">
        <v>68</v>
      </c>
      <c r="F708" s="12" t="n">
        <v>3319925</v>
      </c>
      <c r="G708" s="12" t="n">
        <v>2800000</v>
      </c>
      <c r="H708" s="11" t="n">
        <v>1</v>
      </c>
      <c r="I708" s="11" t="s">
        <v>69</v>
      </c>
      <c r="J708" s="11" t="s">
        <v>80</v>
      </c>
      <c r="K708" s="11" t="s">
        <v>81</v>
      </c>
      <c r="L708" s="11" t="s">
        <v>82</v>
      </c>
      <c r="M708" s="11" t="s">
        <v>73</v>
      </c>
      <c r="N708" s="11" t="s">
        <v>149</v>
      </c>
      <c r="O708" s="11" t="s">
        <v>150</v>
      </c>
      <c r="P708" s="11" t="s">
        <v>151</v>
      </c>
      <c r="Q708" s="13" t="n">
        <f aca="false">F708*H708</f>
        <v>3319925</v>
      </c>
      <c r="R708" s="13" t="n">
        <f aca="false">G708*H708</f>
        <v>2800000</v>
      </c>
      <c r="S708" s="13" t="n">
        <f aca="false">Q708-R708</f>
        <v>519925</v>
      </c>
      <c r="T708" s="14" t="n">
        <f aca="false">IFERROR(S708/Q708,0)</f>
        <v>0.15660745348163</v>
      </c>
      <c r="U708" s="15" t="str">
        <f aca="false">TEXT(A708,"yyyy-mm")</f>
        <v>2022-09</v>
      </c>
    </row>
    <row r="709" customFormat="false" ht="15" hidden="false" customHeight="false" outlineLevel="0" collapsed="false">
      <c r="A709" s="10" t="n">
        <v>44816</v>
      </c>
      <c r="B709" s="11" t="s">
        <v>841</v>
      </c>
      <c r="C709" s="11" t="s">
        <v>108</v>
      </c>
      <c r="D709" s="11" t="s">
        <v>67</v>
      </c>
      <c r="E709" s="11" t="s">
        <v>68</v>
      </c>
      <c r="F709" s="12" t="n">
        <v>4757880</v>
      </c>
      <c r="G709" s="12" t="n">
        <v>3450000</v>
      </c>
      <c r="H709" s="11" t="n">
        <v>13</v>
      </c>
      <c r="I709" s="11" t="s">
        <v>69</v>
      </c>
      <c r="J709" s="11" t="s">
        <v>70</v>
      </c>
      <c r="K709" s="11" t="s">
        <v>71</v>
      </c>
      <c r="L709" s="11" t="s">
        <v>72</v>
      </c>
      <c r="M709" s="11" t="s">
        <v>73</v>
      </c>
      <c r="N709" s="11" t="s">
        <v>133</v>
      </c>
      <c r="O709" s="11" t="s">
        <v>60</v>
      </c>
      <c r="P709" s="11" t="s">
        <v>76</v>
      </c>
      <c r="Q709" s="13" t="n">
        <f aca="false">F709*H709</f>
        <v>61852440</v>
      </c>
      <c r="R709" s="13" t="n">
        <f aca="false">G709*H709</f>
        <v>44850000</v>
      </c>
      <c r="S709" s="13" t="n">
        <f aca="false">Q709-R709</f>
        <v>17002440</v>
      </c>
      <c r="T709" s="14" t="n">
        <f aca="false">IFERROR(S709/Q709,0)</f>
        <v>0.274887134606169</v>
      </c>
      <c r="U709" s="15" t="str">
        <f aca="false">TEXT(A709,"yyyy-mm")</f>
        <v>2022-09</v>
      </c>
    </row>
    <row r="710" customFormat="false" ht="15" hidden="false" customHeight="false" outlineLevel="0" collapsed="false">
      <c r="A710" s="10" t="n">
        <v>44817</v>
      </c>
      <c r="B710" s="11" t="s">
        <v>842</v>
      </c>
      <c r="C710" s="11" t="s">
        <v>111</v>
      </c>
      <c r="D710" s="11" t="s">
        <v>67</v>
      </c>
      <c r="E710" s="11" t="s">
        <v>79</v>
      </c>
      <c r="F710" s="12" t="n">
        <v>3545808</v>
      </c>
      <c r="G710" s="12" t="n">
        <v>3350000</v>
      </c>
      <c r="H710" s="11" t="n">
        <v>13</v>
      </c>
      <c r="I710" s="11" t="s">
        <v>69</v>
      </c>
      <c r="J710" s="11" t="s">
        <v>80</v>
      </c>
      <c r="K710" s="11" t="s">
        <v>81</v>
      </c>
      <c r="L710" s="11" t="s">
        <v>82</v>
      </c>
      <c r="M710" s="11" t="s">
        <v>73</v>
      </c>
      <c r="N710" s="11" t="s">
        <v>133</v>
      </c>
      <c r="O710" s="11" t="s">
        <v>60</v>
      </c>
      <c r="P710" s="11" t="s">
        <v>76</v>
      </c>
      <c r="Q710" s="13" t="n">
        <f aca="false">F710*H710</f>
        <v>46095504</v>
      </c>
      <c r="R710" s="13" t="n">
        <f aca="false">G710*H710</f>
        <v>43550000</v>
      </c>
      <c r="S710" s="13" t="n">
        <f aca="false">Q710-R710</f>
        <v>2545504</v>
      </c>
      <c r="T710" s="14" t="n">
        <f aca="false">IFERROR(S710/Q710,0)</f>
        <v>0.0552223921881839</v>
      </c>
      <c r="U710" s="15" t="str">
        <f aca="false">TEXT(A710,"yyyy-mm")</f>
        <v>2022-09</v>
      </c>
    </row>
    <row r="711" customFormat="false" ht="15" hidden="false" customHeight="false" outlineLevel="0" collapsed="false">
      <c r="A711" s="10" t="n">
        <v>44817</v>
      </c>
      <c r="B711" s="11" t="s">
        <v>843</v>
      </c>
      <c r="C711" s="11" t="s">
        <v>115</v>
      </c>
      <c r="D711" s="11" t="s">
        <v>67</v>
      </c>
      <c r="E711" s="11" t="s">
        <v>98</v>
      </c>
      <c r="F711" s="12" t="n">
        <v>4200743</v>
      </c>
      <c r="G711" s="12" t="n">
        <v>4101000</v>
      </c>
      <c r="H711" s="11" t="n">
        <v>4</v>
      </c>
      <c r="I711" s="11" t="s">
        <v>69</v>
      </c>
      <c r="J711" s="11" t="s">
        <v>80</v>
      </c>
      <c r="K711" s="11" t="s">
        <v>81</v>
      </c>
      <c r="L711" s="11" t="s">
        <v>82</v>
      </c>
      <c r="M711" s="11" t="s">
        <v>73</v>
      </c>
      <c r="N711" s="11" t="s">
        <v>99</v>
      </c>
      <c r="O711" s="11" t="s">
        <v>100</v>
      </c>
      <c r="P711" s="11" t="s">
        <v>101</v>
      </c>
      <c r="Q711" s="13" t="n">
        <f aca="false">F711*H711</f>
        <v>16802972</v>
      </c>
      <c r="R711" s="13" t="n">
        <f aca="false">G711*H711</f>
        <v>16404000</v>
      </c>
      <c r="S711" s="13" t="n">
        <f aca="false">Q711-R711</f>
        <v>398972</v>
      </c>
      <c r="T711" s="14" t="n">
        <f aca="false">IFERROR(S711/Q711,0)</f>
        <v>0.023744132883159</v>
      </c>
      <c r="U711" s="15" t="str">
        <f aca="false">TEXT(A711,"yyyy-mm")</f>
        <v>2022-09</v>
      </c>
    </row>
    <row r="712" customFormat="false" ht="15" hidden="false" customHeight="false" outlineLevel="0" collapsed="false">
      <c r="A712" s="10" t="n">
        <v>44818</v>
      </c>
      <c r="B712" s="11" t="s">
        <v>844</v>
      </c>
      <c r="C712" s="11" t="s">
        <v>117</v>
      </c>
      <c r="D712" s="11" t="s">
        <v>118</v>
      </c>
      <c r="E712" s="11" t="s">
        <v>119</v>
      </c>
      <c r="F712" s="12" t="n">
        <v>8220549</v>
      </c>
      <c r="G712" s="12" t="n">
        <v>6500000</v>
      </c>
      <c r="H712" s="11" t="n">
        <v>24</v>
      </c>
      <c r="I712" s="11" t="s">
        <v>86</v>
      </c>
      <c r="J712" s="11" t="s">
        <v>87</v>
      </c>
      <c r="K712" s="11" t="s">
        <v>88</v>
      </c>
      <c r="L712" s="11" t="s">
        <v>89</v>
      </c>
      <c r="M712" s="11" t="s">
        <v>90</v>
      </c>
      <c r="N712" s="11" t="s">
        <v>123</v>
      </c>
      <c r="O712" s="11" t="s">
        <v>60</v>
      </c>
      <c r="P712" s="11" t="s">
        <v>106</v>
      </c>
      <c r="Q712" s="13" t="n">
        <f aca="false">F712*H712</f>
        <v>197293176</v>
      </c>
      <c r="R712" s="13" t="n">
        <f aca="false">G712*H712</f>
        <v>156000000</v>
      </c>
      <c r="S712" s="13" t="n">
        <f aca="false">Q712-R712</f>
        <v>41293176</v>
      </c>
      <c r="T712" s="14" t="n">
        <f aca="false">IFERROR(S712/Q712,0)</f>
        <v>0.209298551714733</v>
      </c>
      <c r="U712" s="15" t="str">
        <f aca="false">TEXT(A712,"yyyy-mm")</f>
        <v>2022-09</v>
      </c>
    </row>
    <row r="713" customFormat="false" ht="15" hidden="false" customHeight="false" outlineLevel="0" collapsed="false">
      <c r="A713" s="10" t="n">
        <v>44818</v>
      </c>
      <c r="B713" s="11" t="s">
        <v>845</v>
      </c>
      <c r="C713" s="11" t="s">
        <v>121</v>
      </c>
      <c r="D713" s="11" t="s">
        <v>118</v>
      </c>
      <c r="E713" s="11" t="s">
        <v>122</v>
      </c>
      <c r="F713" s="12" t="n">
        <v>7687274</v>
      </c>
      <c r="G713" s="12" t="n">
        <v>6500000</v>
      </c>
      <c r="H713" s="11" t="n">
        <v>8</v>
      </c>
      <c r="I713" s="11" t="s">
        <v>69</v>
      </c>
      <c r="J713" s="11" t="s">
        <v>70</v>
      </c>
      <c r="K713" s="11" t="s">
        <v>71</v>
      </c>
      <c r="L713" s="11" t="s">
        <v>72</v>
      </c>
      <c r="M713" s="11" t="s">
        <v>73</v>
      </c>
      <c r="N713" s="11" t="s">
        <v>123</v>
      </c>
      <c r="O713" s="11" t="s">
        <v>60</v>
      </c>
      <c r="P713" s="11" t="s">
        <v>106</v>
      </c>
      <c r="Q713" s="13" t="n">
        <f aca="false">F713*H713</f>
        <v>61498192</v>
      </c>
      <c r="R713" s="13" t="n">
        <f aca="false">G713*H713</f>
        <v>52000000</v>
      </c>
      <c r="S713" s="13" t="n">
        <f aca="false">Q713-R713</f>
        <v>9498192</v>
      </c>
      <c r="T713" s="14" t="n">
        <f aca="false">IFERROR(S713/Q713,0)</f>
        <v>0.154446686822923</v>
      </c>
      <c r="U713" s="15" t="str">
        <f aca="false">TEXT(A713,"yyyy-mm")</f>
        <v>2022-09</v>
      </c>
    </row>
    <row r="714" customFormat="false" ht="15" hidden="false" customHeight="false" outlineLevel="0" collapsed="false">
      <c r="A714" s="10" t="n">
        <v>44819</v>
      </c>
      <c r="B714" s="11" t="s">
        <v>846</v>
      </c>
      <c r="C714" s="11" t="s">
        <v>125</v>
      </c>
      <c r="D714" s="11" t="s">
        <v>118</v>
      </c>
      <c r="E714" s="11" t="s">
        <v>126</v>
      </c>
      <c r="F714" s="12" t="n">
        <v>5684211</v>
      </c>
      <c r="G714" s="12" t="n">
        <v>4300000</v>
      </c>
      <c r="H714" s="11" t="n">
        <v>7</v>
      </c>
      <c r="I714" s="11" t="s">
        <v>69</v>
      </c>
      <c r="J714" s="11" t="s">
        <v>112</v>
      </c>
      <c r="K714" s="11" t="s">
        <v>113</v>
      </c>
      <c r="L714" s="11" t="s">
        <v>82</v>
      </c>
      <c r="M714" s="11" t="s">
        <v>157</v>
      </c>
      <c r="N714" s="11" t="s">
        <v>143</v>
      </c>
      <c r="O714" s="11" t="s">
        <v>144</v>
      </c>
      <c r="P714" s="11" t="s">
        <v>101</v>
      </c>
      <c r="Q714" s="13" t="n">
        <f aca="false">F714*H714</f>
        <v>39789477</v>
      </c>
      <c r="R714" s="13" t="n">
        <f aca="false">G714*H714</f>
        <v>30100000</v>
      </c>
      <c r="S714" s="13" t="n">
        <f aca="false">Q714-R714</f>
        <v>9689477</v>
      </c>
      <c r="T714" s="14" t="n">
        <f aca="false">IFERROR(S714/Q714,0)</f>
        <v>0.243518581558637</v>
      </c>
      <c r="U714" s="15" t="str">
        <f aca="false">TEXT(A714,"yyyy-mm")</f>
        <v>2022-09</v>
      </c>
    </row>
    <row r="715" customFormat="false" ht="15" hidden="false" customHeight="false" outlineLevel="0" collapsed="false">
      <c r="A715" s="10" t="n">
        <v>44819</v>
      </c>
      <c r="B715" s="11" t="s">
        <v>847</v>
      </c>
      <c r="C715" s="11" t="s">
        <v>128</v>
      </c>
      <c r="D715" s="11" t="s">
        <v>118</v>
      </c>
      <c r="E715" s="11" t="s">
        <v>119</v>
      </c>
      <c r="F715" s="12" t="n">
        <v>3370302</v>
      </c>
      <c r="G715" s="12" t="n">
        <v>2100000</v>
      </c>
      <c r="H715" s="11" t="n">
        <v>30</v>
      </c>
      <c r="I715" s="11" t="s">
        <v>69</v>
      </c>
      <c r="J715" s="11" t="s">
        <v>80</v>
      </c>
      <c r="K715" s="11" t="s">
        <v>81</v>
      </c>
      <c r="L715" s="11" t="s">
        <v>82</v>
      </c>
      <c r="M715" s="11" t="s">
        <v>73</v>
      </c>
      <c r="N715" s="11" t="s">
        <v>104</v>
      </c>
      <c r="O715" s="11" t="s">
        <v>105</v>
      </c>
      <c r="P715" s="11" t="s">
        <v>106</v>
      </c>
      <c r="Q715" s="13" t="n">
        <f aca="false">F715*H715</f>
        <v>101109060</v>
      </c>
      <c r="R715" s="13" t="n">
        <f aca="false">G715*H715</f>
        <v>63000000</v>
      </c>
      <c r="S715" s="13" t="n">
        <f aca="false">Q715-R715</f>
        <v>38109060</v>
      </c>
      <c r="T715" s="14" t="n">
        <f aca="false">IFERROR(S715/Q715,0)</f>
        <v>0.37691043710623</v>
      </c>
      <c r="U715" s="15" t="str">
        <f aca="false">TEXT(A715,"yyyy-mm")</f>
        <v>2022-09</v>
      </c>
    </row>
    <row r="716" customFormat="false" ht="15" hidden="false" customHeight="false" outlineLevel="0" collapsed="false">
      <c r="A716" s="10" t="n">
        <v>44819</v>
      </c>
      <c r="B716" s="11" t="s">
        <v>848</v>
      </c>
      <c r="C716" s="11" t="s">
        <v>130</v>
      </c>
      <c r="D716" s="11" t="s">
        <v>118</v>
      </c>
      <c r="E716" s="11" t="s">
        <v>68</v>
      </c>
      <c r="F716" s="12" t="n">
        <v>2852897</v>
      </c>
      <c r="G716" s="12" t="n">
        <v>2450000</v>
      </c>
      <c r="H716" s="11" t="n">
        <v>8</v>
      </c>
      <c r="I716" s="11" t="s">
        <v>69</v>
      </c>
      <c r="J716" s="11" t="s">
        <v>80</v>
      </c>
      <c r="K716" s="11" t="s">
        <v>81</v>
      </c>
      <c r="L716" s="11" t="s">
        <v>82</v>
      </c>
      <c r="M716" s="11" t="s">
        <v>73</v>
      </c>
      <c r="N716" s="11" t="s">
        <v>123</v>
      </c>
      <c r="O716" s="11" t="s">
        <v>60</v>
      </c>
      <c r="P716" s="11" t="s">
        <v>106</v>
      </c>
      <c r="Q716" s="13" t="n">
        <f aca="false">F716*H716</f>
        <v>22823176</v>
      </c>
      <c r="R716" s="13" t="n">
        <f aca="false">G716*H716</f>
        <v>19600000</v>
      </c>
      <c r="S716" s="13" t="n">
        <f aca="false">Q716-R716</f>
        <v>3223176</v>
      </c>
      <c r="T716" s="14" t="n">
        <f aca="false">IFERROR(S716/Q716,0)</f>
        <v>0.141223815651249</v>
      </c>
      <c r="U716" s="15" t="str">
        <f aca="false">TEXT(A716,"yyyy-mm")</f>
        <v>2022-09</v>
      </c>
    </row>
    <row r="717" customFormat="false" ht="15" hidden="false" customHeight="false" outlineLevel="0" collapsed="false">
      <c r="A717" s="10" t="n">
        <v>44820</v>
      </c>
      <c r="B717" s="11" t="s">
        <v>849</v>
      </c>
      <c r="C717" s="11" t="s">
        <v>132</v>
      </c>
      <c r="D717" s="11" t="s">
        <v>118</v>
      </c>
      <c r="E717" s="11" t="s">
        <v>68</v>
      </c>
      <c r="F717" s="12" t="n">
        <v>4803603</v>
      </c>
      <c r="G717" s="12" t="n">
        <v>4121000</v>
      </c>
      <c r="H717" s="11" t="n">
        <v>3</v>
      </c>
      <c r="I717" s="11" t="s">
        <v>69</v>
      </c>
      <c r="J717" s="11" t="s">
        <v>80</v>
      </c>
      <c r="K717" s="11" t="s">
        <v>81</v>
      </c>
      <c r="L717" s="11" t="s">
        <v>82</v>
      </c>
      <c r="M717" s="11" t="s">
        <v>73</v>
      </c>
      <c r="N717" s="11" t="s">
        <v>173</v>
      </c>
      <c r="O717" s="11" t="s">
        <v>174</v>
      </c>
      <c r="P717" s="11" t="s">
        <v>95</v>
      </c>
      <c r="Q717" s="13" t="n">
        <f aca="false">F717*H717</f>
        <v>14410809</v>
      </c>
      <c r="R717" s="13" t="n">
        <f aca="false">G717*H717</f>
        <v>12363000</v>
      </c>
      <c r="S717" s="13" t="n">
        <f aca="false">Q717-R717</f>
        <v>2047809</v>
      </c>
      <c r="T717" s="14" t="n">
        <f aca="false">IFERROR(S717/Q717,0)</f>
        <v>0.142102292799801</v>
      </c>
      <c r="U717" s="15" t="str">
        <f aca="false">TEXT(A717,"yyyy-mm")</f>
        <v>2022-09</v>
      </c>
    </row>
    <row r="718" customFormat="false" ht="15" hidden="false" customHeight="false" outlineLevel="0" collapsed="false">
      <c r="A718" s="10" t="n">
        <v>44822</v>
      </c>
      <c r="B718" s="11" t="s">
        <v>850</v>
      </c>
      <c r="C718" s="11" t="s">
        <v>135</v>
      </c>
      <c r="D718" s="11" t="s">
        <v>118</v>
      </c>
      <c r="E718" s="11" t="s">
        <v>68</v>
      </c>
      <c r="F718" s="12" t="n">
        <v>5689947</v>
      </c>
      <c r="G718" s="12" t="n">
        <v>5235000</v>
      </c>
      <c r="H718" s="11" t="n">
        <v>14</v>
      </c>
      <c r="I718" s="11" t="s">
        <v>69</v>
      </c>
      <c r="J718" s="11" t="s">
        <v>80</v>
      </c>
      <c r="K718" s="11" t="s">
        <v>81</v>
      </c>
      <c r="L718" s="11" t="s">
        <v>82</v>
      </c>
      <c r="M718" s="11" t="s">
        <v>73</v>
      </c>
      <c r="N718" s="11" t="s">
        <v>143</v>
      </c>
      <c r="O718" s="11" t="s">
        <v>144</v>
      </c>
      <c r="P718" s="11" t="s">
        <v>101</v>
      </c>
      <c r="Q718" s="13" t="n">
        <f aca="false">F718*H718</f>
        <v>79659258</v>
      </c>
      <c r="R718" s="13" t="n">
        <f aca="false">G718*H718</f>
        <v>73290000</v>
      </c>
      <c r="S718" s="13" t="n">
        <f aca="false">Q718-R718</f>
        <v>6369258</v>
      </c>
      <c r="T718" s="14" t="n">
        <f aca="false">IFERROR(S718/Q718,0)</f>
        <v>0.0799562807878527</v>
      </c>
      <c r="U718" s="15" t="str">
        <f aca="false">TEXT(A718,"yyyy-mm")</f>
        <v>2022-09</v>
      </c>
    </row>
    <row r="719" customFormat="false" ht="15" hidden="false" customHeight="false" outlineLevel="0" collapsed="false">
      <c r="A719" s="10" t="n">
        <v>44822</v>
      </c>
      <c r="B719" s="11" t="s">
        <v>851</v>
      </c>
      <c r="C719" s="11" t="s">
        <v>137</v>
      </c>
      <c r="D719" s="11" t="s">
        <v>138</v>
      </c>
      <c r="E719" s="11" t="s">
        <v>139</v>
      </c>
      <c r="F719" s="12" t="n">
        <v>5171827</v>
      </c>
      <c r="G719" s="12" t="n">
        <v>4890000</v>
      </c>
      <c r="H719" s="11" t="n">
        <v>6</v>
      </c>
      <c r="I719" s="11" t="s">
        <v>69</v>
      </c>
      <c r="J719" s="11" t="s">
        <v>112</v>
      </c>
      <c r="K719" s="11" t="s">
        <v>113</v>
      </c>
      <c r="L719" s="11" t="s">
        <v>82</v>
      </c>
      <c r="M719" s="11" t="s">
        <v>157</v>
      </c>
      <c r="N719" s="11" t="s">
        <v>74</v>
      </c>
      <c r="O719" s="11" t="s">
        <v>75</v>
      </c>
      <c r="P719" s="11" t="s">
        <v>76</v>
      </c>
      <c r="Q719" s="13" t="n">
        <f aca="false">F719*H719</f>
        <v>31030962</v>
      </c>
      <c r="R719" s="13" t="n">
        <f aca="false">G719*H719</f>
        <v>29340000</v>
      </c>
      <c r="S719" s="13" t="n">
        <f aca="false">Q719-R719</f>
        <v>1690962</v>
      </c>
      <c r="T719" s="14" t="n">
        <f aca="false">IFERROR(S719/Q719,0)</f>
        <v>0.0544927353525166</v>
      </c>
      <c r="U719" s="15" t="str">
        <f aca="false">TEXT(A719,"yyyy-mm")</f>
        <v>2022-09</v>
      </c>
    </row>
    <row r="720" customFormat="false" ht="15" hidden="false" customHeight="false" outlineLevel="0" collapsed="false">
      <c r="A720" s="10" t="n">
        <v>44823</v>
      </c>
      <c r="B720" s="11" t="s">
        <v>852</v>
      </c>
      <c r="C720" s="11" t="s">
        <v>141</v>
      </c>
      <c r="D720" s="11" t="s">
        <v>138</v>
      </c>
      <c r="E720" s="11" t="s">
        <v>142</v>
      </c>
      <c r="F720" s="12" t="n">
        <v>2805124</v>
      </c>
      <c r="G720" s="12" t="n">
        <v>2178000</v>
      </c>
      <c r="H720" s="11" t="n">
        <v>18</v>
      </c>
      <c r="I720" s="11" t="s">
        <v>69</v>
      </c>
      <c r="J720" s="11" t="s">
        <v>70</v>
      </c>
      <c r="K720" s="11" t="s">
        <v>71</v>
      </c>
      <c r="L720" s="11" t="s">
        <v>72</v>
      </c>
      <c r="M720" s="11" t="s">
        <v>73</v>
      </c>
      <c r="N720" s="11" t="s">
        <v>109</v>
      </c>
      <c r="O720" s="11" t="s">
        <v>75</v>
      </c>
      <c r="P720" s="11" t="s">
        <v>95</v>
      </c>
      <c r="Q720" s="13" t="n">
        <f aca="false">F720*H720</f>
        <v>50492232</v>
      </c>
      <c r="R720" s="13" t="n">
        <f aca="false">G720*H720</f>
        <v>39204000</v>
      </c>
      <c r="S720" s="13" t="n">
        <f aca="false">Q720-R720</f>
        <v>11288232</v>
      </c>
      <c r="T720" s="14" t="n">
        <f aca="false">IFERROR(S720/Q720,0)</f>
        <v>0.22356373550688</v>
      </c>
      <c r="U720" s="15" t="str">
        <f aca="false">TEXT(A720,"yyyy-mm")</f>
        <v>2022-09</v>
      </c>
    </row>
    <row r="721" customFormat="false" ht="15" hidden="false" customHeight="false" outlineLevel="0" collapsed="false">
      <c r="A721" s="10" t="n">
        <v>44823</v>
      </c>
      <c r="B721" s="11" t="s">
        <v>853</v>
      </c>
      <c r="C721" s="11" t="s">
        <v>146</v>
      </c>
      <c r="D721" s="11" t="s">
        <v>138</v>
      </c>
      <c r="E721" s="11" t="s">
        <v>139</v>
      </c>
      <c r="F721" s="12" t="n">
        <v>2728100</v>
      </c>
      <c r="G721" s="12" t="n">
        <v>2321000</v>
      </c>
      <c r="H721" s="11" t="n">
        <v>23</v>
      </c>
      <c r="I721" s="11" t="s">
        <v>69</v>
      </c>
      <c r="J721" s="11" t="s">
        <v>70</v>
      </c>
      <c r="K721" s="11" t="s">
        <v>71</v>
      </c>
      <c r="L721" s="11" t="s">
        <v>72</v>
      </c>
      <c r="M721" s="11" t="s">
        <v>73</v>
      </c>
      <c r="N721" s="11" t="s">
        <v>104</v>
      </c>
      <c r="O721" s="11" t="s">
        <v>105</v>
      </c>
      <c r="P721" s="11" t="s">
        <v>106</v>
      </c>
      <c r="Q721" s="13" t="n">
        <f aca="false">F721*H721</f>
        <v>62746300</v>
      </c>
      <c r="R721" s="13" t="n">
        <f aca="false">G721*H721</f>
        <v>53383000</v>
      </c>
      <c r="S721" s="13" t="n">
        <f aca="false">Q721-R721</f>
        <v>9363300</v>
      </c>
      <c r="T721" s="14" t="n">
        <f aca="false">IFERROR(S721/Q721,0)</f>
        <v>0.149224735163667</v>
      </c>
      <c r="U721" s="15" t="str">
        <f aca="false">TEXT(A721,"yyyy-mm")</f>
        <v>2022-09</v>
      </c>
    </row>
    <row r="722" customFormat="false" ht="15" hidden="false" customHeight="false" outlineLevel="0" collapsed="false">
      <c r="A722" s="10" t="n">
        <v>44823</v>
      </c>
      <c r="B722" s="11" t="s">
        <v>854</v>
      </c>
      <c r="C722" s="11" t="s">
        <v>148</v>
      </c>
      <c r="D722" s="11" t="s">
        <v>138</v>
      </c>
      <c r="E722" s="11" t="s">
        <v>122</v>
      </c>
      <c r="F722" s="12" t="n">
        <v>4941716</v>
      </c>
      <c r="G722" s="12" t="n">
        <v>4456000</v>
      </c>
      <c r="H722" s="11" t="n">
        <v>21</v>
      </c>
      <c r="I722" s="11" t="s">
        <v>86</v>
      </c>
      <c r="J722" s="11" t="s">
        <v>87</v>
      </c>
      <c r="K722" s="11" t="s">
        <v>88</v>
      </c>
      <c r="L722" s="11" t="s">
        <v>89</v>
      </c>
      <c r="M722" s="11" t="s">
        <v>90</v>
      </c>
      <c r="N722" s="11" t="s">
        <v>74</v>
      </c>
      <c r="O722" s="11" t="s">
        <v>75</v>
      </c>
      <c r="P722" s="11" t="s">
        <v>76</v>
      </c>
      <c r="Q722" s="13" t="n">
        <f aca="false">F722*H722</f>
        <v>103776036</v>
      </c>
      <c r="R722" s="13" t="n">
        <f aca="false">G722*H722</f>
        <v>93576000</v>
      </c>
      <c r="S722" s="13" t="n">
        <f aca="false">Q722-R722</f>
        <v>10200036</v>
      </c>
      <c r="T722" s="14" t="n">
        <f aca="false">IFERROR(S722/Q722,0)</f>
        <v>0.0982889344511097</v>
      </c>
      <c r="U722" s="15" t="str">
        <f aca="false">TEXT(A722,"yyyy-mm")</f>
        <v>2022-09</v>
      </c>
    </row>
    <row r="723" customFormat="false" ht="15" hidden="false" customHeight="false" outlineLevel="0" collapsed="false">
      <c r="A723" s="10" t="n">
        <v>44823</v>
      </c>
      <c r="B723" s="11" t="s">
        <v>855</v>
      </c>
      <c r="C723" s="11" t="s">
        <v>66</v>
      </c>
      <c r="D723" s="11" t="s">
        <v>67</v>
      </c>
      <c r="E723" s="11" t="s">
        <v>68</v>
      </c>
      <c r="F723" s="12" t="n">
        <v>3048952</v>
      </c>
      <c r="G723" s="12" t="n">
        <v>2560000</v>
      </c>
      <c r="H723" s="11" t="n">
        <v>7</v>
      </c>
      <c r="I723" s="11" t="s">
        <v>69</v>
      </c>
      <c r="J723" s="11" t="s">
        <v>70</v>
      </c>
      <c r="K723" s="11" t="s">
        <v>71</v>
      </c>
      <c r="L723" s="11" t="s">
        <v>72</v>
      </c>
      <c r="M723" s="11" t="s">
        <v>73</v>
      </c>
      <c r="N723" s="11" t="s">
        <v>93</v>
      </c>
      <c r="O723" s="11" t="s">
        <v>94</v>
      </c>
      <c r="P723" s="11" t="s">
        <v>95</v>
      </c>
      <c r="Q723" s="13" t="n">
        <f aca="false">F723*H723</f>
        <v>21342664</v>
      </c>
      <c r="R723" s="13" t="n">
        <f aca="false">G723*H723</f>
        <v>17920000</v>
      </c>
      <c r="S723" s="13" t="n">
        <f aca="false">Q723-R723</f>
        <v>3422664</v>
      </c>
      <c r="T723" s="14" t="n">
        <f aca="false">IFERROR(S723/Q723,0)</f>
        <v>0.160367234380863</v>
      </c>
      <c r="U723" s="15" t="str">
        <f aca="false">TEXT(A723,"yyyy-mm")</f>
        <v>2022-09</v>
      </c>
    </row>
    <row r="724" customFormat="false" ht="15" hidden="false" customHeight="false" outlineLevel="0" collapsed="false">
      <c r="A724" s="10" t="n">
        <v>44823</v>
      </c>
      <c r="B724" s="11" t="s">
        <v>856</v>
      </c>
      <c r="C724" s="11" t="s">
        <v>78</v>
      </c>
      <c r="D724" s="11" t="s">
        <v>67</v>
      </c>
      <c r="E724" s="11" t="s">
        <v>79</v>
      </c>
      <c r="F724" s="12" t="n">
        <v>1870000</v>
      </c>
      <c r="G724" s="12" t="n">
        <v>1650000</v>
      </c>
      <c r="H724" s="11" t="n">
        <v>22</v>
      </c>
      <c r="I724" s="11" t="s">
        <v>69</v>
      </c>
      <c r="J724" s="11" t="s">
        <v>80</v>
      </c>
      <c r="K724" s="11" t="s">
        <v>81</v>
      </c>
      <c r="L724" s="11" t="s">
        <v>82</v>
      </c>
      <c r="M724" s="11" t="s">
        <v>73</v>
      </c>
      <c r="N724" s="11" t="s">
        <v>123</v>
      </c>
      <c r="O724" s="11" t="s">
        <v>60</v>
      </c>
      <c r="P724" s="11" t="s">
        <v>106</v>
      </c>
      <c r="Q724" s="13" t="n">
        <f aca="false">F724*H724</f>
        <v>41140000</v>
      </c>
      <c r="R724" s="13" t="n">
        <f aca="false">G724*H724</f>
        <v>36300000</v>
      </c>
      <c r="S724" s="13" t="n">
        <f aca="false">Q724-R724</f>
        <v>4840000</v>
      </c>
      <c r="T724" s="14" t="n">
        <f aca="false">IFERROR(S724/Q724,0)</f>
        <v>0.117647058823529</v>
      </c>
      <c r="U724" s="15" t="str">
        <f aca="false">TEXT(A724,"yyyy-mm")</f>
        <v>2022-09</v>
      </c>
    </row>
    <row r="725" customFormat="false" ht="15" hidden="false" customHeight="false" outlineLevel="0" collapsed="false">
      <c r="A725" s="10" t="n">
        <v>44823</v>
      </c>
      <c r="B725" s="11" t="s">
        <v>857</v>
      </c>
      <c r="C725" s="11" t="s">
        <v>84</v>
      </c>
      <c r="D725" s="11" t="s">
        <v>67</v>
      </c>
      <c r="E725" s="11" t="s">
        <v>85</v>
      </c>
      <c r="F725" s="12" t="n">
        <v>2600000</v>
      </c>
      <c r="G725" s="12" t="n">
        <v>2300000</v>
      </c>
      <c r="H725" s="11" t="n">
        <v>16</v>
      </c>
      <c r="I725" s="11" t="s">
        <v>69</v>
      </c>
      <c r="J725" s="11" t="s">
        <v>80</v>
      </c>
      <c r="K725" s="11" t="s">
        <v>81</v>
      </c>
      <c r="L725" s="11" t="s">
        <v>82</v>
      </c>
      <c r="M725" s="11" t="s">
        <v>73</v>
      </c>
      <c r="N725" s="11" t="s">
        <v>104</v>
      </c>
      <c r="O725" s="11" t="s">
        <v>105</v>
      </c>
      <c r="P725" s="11" t="s">
        <v>106</v>
      </c>
      <c r="Q725" s="13" t="n">
        <f aca="false">F725*H725</f>
        <v>41600000</v>
      </c>
      <c r="R725" s="13" t="n">
        <f aca="false">G725*H725</f>
        <v>36800000</v>
      </c>
      <c r="S725" s="13" t="n">
        <f aca="false">Q725-R725</f>
        <v>4800000</v>
      </c>
      <c r="T725" s="14" t="n">
        <f aca="false">IFERROR(S725/Q725,0)</f>
        <v>0.115384615384615</v>
      </c>
      <c r="U725" s="15" t="str">
        <f aca="false">TEXT(A725,"yyyy-mm")</f>
        <v>2022-09</v>
      </c>
    </row>
    <row r="726" customFormat="false" ht="15" hidden="false" customHeight="false" outlineLevel="0" collapsed="false">
      <c r="A726" s="10" t="n">
        <v>44823</v>
      </c>
      <c r="B726" s="11" t="s">
        <v>858</v>
      </c>
      <c r="C726" s="11" t="s">
        <v>92</v>
      </c>
      <c r="D726" s="11" t="s">
        <v>67</v>
      </c>
      <c r="E726" s="11" t="s">
        <v>79</v>
      </c>
      <c r="F726" s="12" t="n">
        <v>3577480</v>
      </c>
      <c r="G726" s="12" t="n">
        <v>3100000</v>
      </c>
      <c r="H726" s="11" t="n">
        <v>5</v>
      </c>
      <c r="I726" s="11" t="s">
        <v>69</v>
      </c>
      <c r="J726" s="11" t="s">
        <v>80</v>
      </c>
      <c r="K726" s="11" t="s">
        <v>81</v>
      </c>
      <c r="L726" s="11" t="s">
        <v>82</v>
      </c>
      <c r="M726" s="11" t="s">
        <v>73</v>
      </c>
      <c r="N726" s="11" t="s">
        <v>149</v>
      </c>
      <c r="O726" s="11" t="s">
        <v>150</v>
      </c>
      <c r="P726" s="11" t="s">
        <v>151</v>
      </c>
      <c r="Q726" s="13" t="n">
        <f aca="false">F726*H726</f>
        <v>17887400</v>
      </c>
      <c r="R726" s="13" t="n">
        <f aca="false">G726*H726</f>
        <v>15500000</v>
      </c>
      <c r="S726" s="13" t="n">
        <f aca="false">Q726-R726</f>
        <v>2387400</v>
      </c>
      <c r="T726" s="14" t="n">
        <f aca="false">IFERROR(S726/Q726,0)</f>
        <v>0.133468251394837</v>
      </c>
      <c r="U726" s="15" t="str">
        <f aca="false">TEXT(A726,"yyyy-mm")</f>
        <v>2022-09</v>
      </c>
    </row>
    <row r="727" customFormat="false" ht="15" hidden="false" customHeight="false" outlineLevel="0" collapsed="false">
      <c r="A727" s="10" t="n">
        <v>44823</v>
      </c>
      <c r="B727" s="11" t="s">
        <v>859</v>
      </c>
      <c r="C727" s="11" t="s">
        <v>97</v>
      </c>
      <c r="D727" s="11" t="s">
        <v>67</v>
      </c>
      <c r="E727" s="11" t="s">
        <v>98</v>
      </c>
      <c r="F727" s="12" t="n">
        <v>4969724</v>
      </c>
      <c r="G727" s="12" t="n">
        <v>4121560</v>
      </c>
      <c r="H727" s="11" t="n">
        <v>7</v>
      </c>
      <c r="I727" s="11" t="s">
        <v>69</v>
      </c>
      <c r="J727" s="11" t="s">
        <v>112</v>
      </c>
      <c r="K727" s="11" t="s">
        <v>113</v>
      </c>
      <c r="L727" s="11" t="s">
        <v>82</v>
      </c>
      <c r="M727" s="11" t="s">
        <v>157</v>
      </c>
      <c r="N727" s="11" t="s">
        <v>99</v>
      </c>
      <c r="O727" s="11" t="s">
        <v>100</v>
      </c>
      <c r="P727" s="11" t="s">
        <v>101</v>
      </c>
      <c r="Q727" s="13" t="n">
        <f aca="false">F727*H727</f>
        <v>34788068</v>
      </c>
      <c r="R727" s="13" t="n">
        <f aca="false">G727*H727</f>
        <v>28850920</v>
      </c>
      <c r="S727" s="13" t="n">
        <f aca="false">Q727-R727</f>
        <v>5937148</v>
      </c>
      <c r="T727" s="14" t="n">
        <f aca="false">IFERROR(S727/Q727,0)</f>
        <v>0.170666218083741</v>
      </c>
      <c r="U727" s="15" t="str">
        <f aca="false">TEXT(A727,"yyyy-mm")</f>
        <v>2022-09</v>
      </c>
    </row>
    <row r="728" customFormat="false" ht="15" hidden="false" customHeight="false" outlineLevel="0" collapsed="false">
      <c r="A728" s="10" t="n">
        <v>44824</v>
      </c>
      <c r="B728" s="11" t="s">
        <v>860</v>
      </c>
      <c r="C728" s="11" t="s">
        <v>103</v>
      </c>
      <c r="D728" s="11" t="s">
        <v>67</v>
      </c>
      <c r="E728" s="11" t="s">
        <v>68</v>
      </c>
      <c r="F728" s="12" t="n">
        <v>3319925</v>
      </c>
      <c r="G728" s="12" t="n">
        <v>2800000</v>
      </c>
      <c r="H728" s="11" t="n">
        <v>9</v>
      </c>
      <c r="I728" s="11" t="s">
        <v>69</v>
      </c>
      <c r="J728" s="11" t="s">
        <v>80</v>
      </c>
      <c r="K728" s="11" t="s">
        <v>81</v>
      </c>
      <c r="L728" s="11" t="s">
        <v>82</v>
      </c>
      <c r="M728" s="11" t="s">
        <v>73</v>
      </c>
      <c r="N728" s="11" t="s">
        <v>143</v>
      </c>
      <c r="O728" s="11" t="s">
        <v>144</v>
      </c>
      <c r="P728" s="11" t="s">
        <v>101</v>
      </c>
      <c r="Q728" s="13" t="n">
        <f aca="false">F728*H728</f>
        <v>29879325</v>
      </c>
      <c r="R728" s="13" t="n">
        <f aca="false">G728*H728</f>
        <v>25200000</v>
      </c>
      <c r="S728" s="13" t="n">
        <f aca="false">Q728-R728</f>
        <v>4679325</v>
      </c>
      <c r="T728" s="14" t="n">
        <f aca="false">IFERROR(S728/Q728,0)</f>
        <v>0.15660745348163</v>
      </c>
      <c r="U728" s="15" t="str">
        <f aca="false">TEXT(A728,"yyyy-mm")</f>
        <v>2022-09</v>
      </c>
    </row>
    <row r="729" customFormat="false" ht="15" hidden="false" customHeight="false" outlineLevel="0" collapsed="false">
      <c r="A729" s="10" t="n">
        <v>44825</v>
      </c>
      <c r="B729" s="11" t="s">
        <v>861</v>
      </c>
      <c r="C729" s="11" t="s">
        <v>108</v>
      </c>
      <c r="D729" s="11" t="s">
        <v>67</v>
      </c>
      <c r="E729" s="11" t="s">
        <v>68</v>
      </c>
      <c r="F729" s="12" t="n">
        <v>4757880</v>
      </c>
      <c r="G729" s="12" t="n">
        <v>3450000</v>
      </c>
      <c r="H729" s="11" t="n">
        <v>4</v>
      </c>
      <c r="I729" s="11" t="s">
        <v>69</v>
      </c>
      <c r="J729" s="11" t="s">
        <v>80</v>
      </c>
      <c r="K729" s="11" t="s">
        <v>81</v>
      </c>
      <c r="L729" s="11" t="s">
        <v>82</v>
      </c>
      <c r="M729" s="11" t="s">
        <v>73</v>
      </c>
      <c r="N729" s="11" t="s">
        <v>133</v>
      </c>
      <c r="O729" s="11" t="s">
        <v>60</v>
      </c>
      <c r="P729" s="11" t="s">
        <v>76</v>
      </c>
      <c r="Q729" s="13" t="n">
        <f aca="false">F729*H729</f>
        <v>19031520</v>
      </c>
      <c r="R729" s="13" t="n">
        <f aca="false">G729*H729</f>
        <v>13800000</v>
      </c>
      <c r="S729" s="13" t="n">
        <f aca="false">Q729-R729</f>
        <v>5231520</v>
      </c>
      <c r="T729" s="14" t="n">
        <f aca="false">IFERROR(S729/Q729,0)</f>
        <v>0.274887134606169</v>
      </c>
      <c r="U729" s="15" t="str">
        <f aca="false">TEXT(A729,"yyyy-mm")</f>
        <v>2022-09</v>
      </c>
    </row>
    <row r="730" customFormat="false" ht="15" hidden="false" customHeight="false" outlineLevel="0" collapsed="false">
      <c r="A730" s="10" t="n">
        <v>44825</v>
      </c>
      <c r="B730" s="11" t="s">
        <v>862</v>
      </c>
      <c r="C730" s="11" t="s">
        <v>111</v>
      </c>
      <c r="D730" s="11" t="s">
        <v>67</v>
      </c>
      <c r="E730" s="11" t="s">
        <v>79</v>
      </c>
      <c r="F730" s="12" t="n">
        <v>3545808</v>
      </c>
      <c r="G730" s="12" t="n">
        <v>3350000</v>
      </c>
      <c r="H730" s="11" t="n">
        <v>10</v>
      </c>
      <c r="I730" s="11" t="s">
        <v>69</v>
      </c>
      <c r="J730" s="11" t="s">
        <v>80</v>
      </c>
      <c r="K730" s="11" t="s">
        <v>81</v>
      </c>
      <c r="L730" s="11" t="s">
        <v>82</v>
      </c>
      <c r="M730" s="11" t="s">
        <v>73</v>
      </c>
      <c r="N730" s="11" t="s">
        <v>93</v>
      </c>
      <c r="O730" s="11" t="s">
        <v>94</v>
      </c>
      <c r="P730" s="11" t="s">
        <v>95</v>
      </c>
      <c r="Q730" s="13" t="n">
        <f aca="false">F730*H730</f>
        <v>35458080</v>
      </c>
      <c r="R730" s="13" t="n">
        <f aca="false">G730*H730</f>
        <v>33500000</v>
      </c>
      <c r="S730" s="13" t="n">
        <f aca="false">Q730-R730</f>
        <v>1958080</v>
      </c>
      <c r="T730" s="14" t="n">
        <f aca="false">IFERROR(S730/Q730,0)</f>
        <v>0.0552223921881839</v>
      </c>
      <c r="U730" s="15" t="str">
        <f aca="false">TEXT(A730,"yyyy-mm")</f>
        <v>2022-09</v>
      </c>
    </row>
    <row r="731" customFormat="false" ht="15" hidden="false" customHeight="false" outlineLevel="0" collapsed="false">
      <c r="A731" s="10" t="n">
        <v>44826</v>
      </c>
      <c r="B731" s="11" t="s">
        <v>863</v>
      </c>
      <c r="C731" s="11" t="s">
        <v>115</v>
      </c>
      <c r="D731" s="11" t="s">
        <v>67</v>
      </c>
      <c r="E731" s="11" t="s">
        <v>98</v>
      </c>
      <c r="F731" s="12" t="n">
        <v>4200743</v>
      </c>
      <c r="G731" s="12" t="n">
        <v>4101000</v>
      </c>
      <c r="H731" s="11" t="n">
        <v>10</v>
      </c>
      <c r="I731" s="11" t="s">
        <v>69</v>
      </c>
      <c r="J731" s="11" t="s">
        <v>80</v>
      </c>
      <c r="K731" s="11" t="s">
        <v>81</v>
      </c>
      <c r="L731" s="11" t="s">
        <v>82</v>
      </c>
      <c r="M731" s="11" t="s">
        <v>73</v>
      </c>
      <c r="N731" s="11" t="s">
        <v>99</v>
      </c>
      <c r="O731" s="11" t="s">
        <v>100</v>
      </c>
      <c r="P731" s="11" t="s">
        <v>101</v>
      </c>
      <c r="Q731" s="13" t="n">
        <f aca="false">F731*H731</f>
        <v>42007430</v>
      </c>
      <c r="R731" s="13" t="n">
        <f aca="false">G731*H731</f>
        <v>41010000</v>
      </c>
      <c r="S731" s="13" t="n">
        <f aca="false">Q731-R731</f>
        <v>997430</v>
      </c>
      <c r="T731" s="14" t="n">
        <f aca="false">IFERROR(S731/Q731,0)</f>
        <v>0.023744132883159</v>
      </c>
      <c r="U731" s="15" t="str">
        <f aca="false">TEXT(A731,"yyyy-mm")</f>
        <v>2022-09</v>
      </c>
    </row>
    <row r="732" customFormat="false" ht="15" hidden="false" customHeight="false" outlineLevel="0" collapsed="false">
      <c r="A732" s="10" t="n">
        <v>44826</v>
      </c>
      <c r="B732" s="11" t="s">
        <v>864</v>
      </c>
      <c r="C732" s="11" t="s">
        <v>117</v>
      </c>
      <c r="D732" s="11" t="s">
        <v>118</v>
      </c>
      <c r="E732" s="11" t="s">
        <v>119</v>
      </c>
      <c r="F732" s="12" t="n">
        <v>8220549</v>
      </c>
      <c r="G732" s="12" t="n">
        <v>6500000</v>
      </c>
      <c r="H732" s="11" t="n">
        <v>6</v>
      </c>
      <c r="I732" s="11" t="s">
        <v>69</v>
      </c>
      <c r="J732" s="11" t="s">
        <v>70</v>
      </c>
      <c r="K732" s="11" t="s">
        <v>71</v>
      </c>
      <c r="L732" s="11" t="s">
        <v>72</v>
      </c>
      <c r="M732" s="11" t="s">
        <v>73</v>
      </c>
      <c r="N732" s="11" t="s">
        <v>133</v>
      </c>
      <c r="O732" s="11" t="s">
        <v>60</v>
      </c>
      <c r="P732" s="11" t="s">
        <v>76</v>
      </c>
      <c r="Q732" s="13" t="n">
        <f aca="false">F732*H732</f>
        <v>49323294</v>
      </c>
      <c r="R732" s="13" t="n">
        <f aca="false">G732*H732</f>
        <v>39000000</v>
      </c>
      <c r="S732" s="13" t="n">
        <f aca="false">Q732-R732</f>
        <v>10323294</v>
      </c>
      <c r="T732" s="14" t="n">
        <f aca="false">IFERROR(S732/Q732,0)</f>
        <v>0.209298551714733</v>
      </c>
      <c r="U732" s="15" t="str">
        <f aca="false">TEXT(A732,"yyyy-mm")</f>
        <v>2022-09</v>
      </c>
    </row>
    <row r="733" customFormat="false" ht="15" hidden="false" customHeight="false" outlineLevel="0" collapsed="false">
      <c r="A733" s="10" t="n">
        <v>44827</v>
      </c>
      <c r="B733" s="11" t="s">
        <v>865</v>
      </c>
      <c r="C733" s="11" t="s">
        <v>121</v>
      </c>
      <c r="D733" s="11" t="s">
        <v>118</v>
      </c>
      <c r="E733" s="11" t="s">
        <v>122</v>
      </c>
      <c r="F733" s="12" t="n">
        <v>7687274</v>
      </c>
      <c r="G733" s="12" t="n">
        <v>6500000</v>
      </c>
      <c r="H733" s="11" t="n">
        <v>8</v>
      </c>
      <c r="I733" s="11" t="s">
        <v>69</v>
      </c>
      <c r="J733" s="11" t="s">
        <v>112</v>
      </c>
      <c r="K733" s="11" t="s">
        <v>113</v>
      </c>
      <c r="L733" s="11" t="s">
        <v>82</v>
      </c>
      <c r="M733" s="11" t="s">
        <v>157</v>
      </c>
      <c r="N733" s="11" t="s">
        <v>93</v>
      </c>
      <c r="O733" s="11" t="s">
        <v>94</v>
      </c>
      <c r="P733" s="11" t="s">
        <v>95</v>
      </c>
      <c r="Q733" s="13" t="n">
        <f aca="false">F733*H733</f>
        <v>61498192</v>
      </c>
      <c r="R733" s="13" t="n">
        <f aca="false">G733*H733</f>
        <v>52000000</v>
      </c>
      <c r="S733" s="13" t="n">
        <f aca="false">Q733-R733</f>
        <v>9498192</v>
      </c>
      <c r="T733" s="14" t="n">
        <f aca="false">IFERROR(S733/Q733,0)</f>
        <v>0.154446686822923</v>
      </c>
      <c r="U733" s="15" t="str">
        <f aca="false">TEXT(A733,"yyyy-mm")</f>
        <v>2022-09</v>
      </c>
    </row>
    <row r="734" customFormat="false" ht="15" hidden="false" customHeight="false" outlineLevel="0" collapsed="false">
      <c r="A734" s="10" t="n">
        <v>44828</v>
      </c>
      <c r="B734" s="11" t="s">
        <v>866</v>
      </c>
      <c r="C734" s="11" t="s">
        <v>125</v>
      </c>
      <c r="D734" s="11" t="s">
        <v>118</v>
      </c>
      <c r="E734" s="11" t="s">
        <v>126</v>
      </c>
      <c r="F734" s="12" t="n">
        <v>5684211</v>
      </c>
      <c r="G734" s="12" t="n">
        <v>4300000</v>
      </c>
      <c r="H734" s="11" t="n">
        <v>2</v>
      </c>
      <c r="I734" s="11" t="s">
        <v>69</v>
      </c>
      <c r="J734" s="11" t="s">
        <v>80</v>
      </c>
      <c r="K734" s="11" t="s">
        <v>81</v>
      </c>
      <c r="L734" s="11" t="s">
        <v>82</v>
      </c>
      <c r="M734" s="11" t="s">
        <v>73</v>
      </c>
      <c r="N734" s="11" t="s">
        <v>123</v>
      </c>
      <c r="O734" s="11" t="s">
        <v>60</v>
      </c>
      <c r="P734" s="11" t="s">
        <v>106</v>
      </c>
      <c r="Q734" s="13" t="n">
        <f aca="false">F734*H734</f>
        <v>11368422</v>
      </c>
      <c r="R734" s="13" t="n">
        <f aca="false">G734*H734</f>
        <v>8600000</v>
      </c>
      <c r="S734" s="13" t="n">
        <f aca="false">Q734-R734</f>
        <v>2768422</v>
      </c>
      <c r="T734" s="14" t="n">
        <f aca="false">IFERROR(S734/Q734,0)</f>
        <v>0.243518581558637</v>
      </c>
      <c r="U734" s="15" t="str">
        <f aca="false">TEXT(A734,"yyyy-mm")</f>
        <v>2022-09</v>
      </c>
    </row>
    <row r="735" customFormat="false" ht="15" hidden="false" customHeight="false" outlineLevel="0" collapsed="false">
      <c r="A735" s="10" t="n">
        <v>44828</v>
      </c>
      <c r="B735" s="11" t="s">
        <v>867</v>
      </c>
      <c r="C735" s="11" t="s">
        <v>128</v>
      </c>
      <c r="D735" s="11" t="s">
        <v>118</v>
      </c>
      <c r="E735" s="11" t="s">
        <v>119</v>
      </c>
      <c r="F735" s="12" t="n">
        <v>3370302</v>
      </c>
      <c r="G735" s="12" t="n">
        <v>2100000</v>
      </c>
      <c r="H735" s="11" t="n">
        <v>18</v>
      </c>
      <c r="I735" s="11" t="s">
        <v>69</v>
      </c>
      <c r="J735" s="11" t="s">
        <v>112</v>
      </c>
      <c r="K735" s="11" t="s">
        <v>113</v>
      </c>
      <c r="L735" s="11" t="s">
        <v>82</v>
      </c>
      <c r="M735" s="11" t="s">
        <v>157</v>
      </c>
      <c r="N735" s="11" t="s">
        <v>149</v>
      </c>
      <c r="O735" s="11" t="s">
        <v>150</v>
      </c>
      <c r="P735" s="11" t="s">
        <v>151</v>
      </c>
      <c r="Q735" s="13" t="n">
        <f aca="false">F735*H735</f>
        <v>60665436</v>
      </c>
      <c r="R735" s="13" t="n">
        <f aca="false">G735*H735</f>
        <v>37800000</v>
      </c>
      <c r="S735" s="13" t="n">
        <f aca="false">Q735-R735</f>
        <v>22865436</v>
      </c>
      <c r="T735" s="14" t="n">
        <f aca="false">IFERROR(S735/Q735,0)</f>
        <v>0.37691043710623</v>
      </c>
      <c r="U735" s="15" t="str">
        <f aca="false">TEXT(A735,"yyyy-mm")</f>
        <v>2022-09</v>
      </c>
    </row>
    <row r="736" customFormat="false" ht="15" hidden="false" customHeight="false" outlineLevel="0" collapsed="false">
      <c r="A736" s="10" t="n">
        <v>44828</v>
      </c>
      <c r="B736" s="11" t="s">
        <v>868</v>
      </c>
      <c r="C736" s="11" t="s">
        <v>130</v>
      </c>
      <c r="D736" s="11" t="s">
        <v>118</v>
      </c>
      <c r="E736" s="11" t="s">
        <v>68</v>
      </c>
      <c r="F736" s="12" t="n">
        <v>2852897</v>
      </c>
      <c r="G736" s="12" t="n">
        <v>2450000</v>
      </c>
      <c r="H736" s="11" t="n">
        <v>8</v>
      </c>
      <c r="I736" s="11" t="s">
        <v>69</v>
      </c>
      <c r="J736" s="11" t="s">
        <v>112</v>
      </c>
      <c r="K736" s="11" t="s">
        <v>113</v>
      </c>
      <c r="L736" s="11" t="s">
        <v>82</v>
      </c>
      <c r="M736" s="11" t="s">
        <v>157</v>
      </c>
      <c r="N736" s="11" t="s">
        <v>133</v>
      </c>
      <c r="O736" s="11" t="s">
        <v>60</v>
      </c>
      <c r="P736" s="11" t="s">
        <v>76</v>
      </c>
      <c r="Q736" s="13" t="n">
        <f aca="false">F736*H736</f>
        <v>22823176</v>
      </c>
      <c r="R736" s="13" t="n">
        <f aca="false">G736*H736</f>
        <v>19600000</v>
      </c>
      <c r="S736" s="13" t="n">
        <f aca="false">Q736-R736</f>
        <v>3223176</v>
      </c>
      <c r="T736" s="14" t="n">
        <f aca="false">IFERROR(S736/Q736,0)</f>
        <v>0.141223815651249</v>
      </c>
      <c r="U736" s="15" t="str">
        <f aca="false">TEXT(A736,"yyyy-mm")</f>
        <v>2022-09</v>
      </c>
    </row>
    <row r="737" customFormat="false" ht="15" hidden="false" customHeight="false" outlineLevel="0" collapsed="false">
      <c r="A737" s="10" t="n">
        <v>44828</v>
      </c>
      <c r="B737" s="11" t="s">
        <v>869</v>
      </c>
      <c r="C737" s="11" t="s">
        <v>132</v>
      </c>
      <c r="D737" s="11" t="s">
        <v>118</v>
      </c>
      <c r="E737" s="11" t="s">
        <v>68</v>
      </c>
      <c r="F737" s="12" t="n">
        <v>4803603</v>
      </c>
      <c r="G737" s="12" t="n">
        <v>4121000</v>
      </c>
      <c r="H737" s="11" t="n">
        <v>18</v>
      </c>
      <c r="I737" s="11" t="s">
        <v>69</v>
      </c>
      <c r="J737" s="11" t="s">
        <v>80</v>
      </c>
      <c r="K737" s="11" t="s">
        <v>81</v>
      </c>
      <c r="L737" s="11" t="s">
        <v>82</v>
      </c>
      <c r="M737" s="11" t="s">
        <v>73</v>
      </c>
      <c r="N737" s="11" t="s">
        <v>99</v>
      </c>
      <c r="O737" s="11" t="s">
        <v>100</v>
      </c>
      <c r="P737" s="11" t="s">
        <v>101</v>
      </c>
      <c r="Q737" s="13" t="n">
        <f aca="false">F737*H737</f>
        <v>86464854</v>
      </c>
      <c r="R737" s="13" t="n">
        <f aca="false">G737*H737</f>
        <v>74178000</v>
      </c>
      <c r="S737" s="13" t="n">
        <f aca="false">Q737-R737</f>
        <v>12286854</v>
      </c>
      <c r="T737" s="14" t="n">
        <f aca="false">IFERROR(S737/Q737,0)</f>
        <v>0.142102292799801</v>
      </c>
      <c r="U737" s="15" t="str">
        <f aca="false">TEXT(A737,"yyyy-mm")</f>
        <v>2022-09</v>
      </c>
    </row>
    <row r="738" customFormat="false" ht="15" hidden="false" customHeight="false" outlineLevel="0" collapsed="false">
      <c r="A738" s="10" t="n">
        <v>44829</v>
      </c>
      <c r="B738" s="11" t="s">
        <v>870</v>
      </c>
      <c r="C738" s="11" t="s">
        <v>135</v>
      </c>
      <c r="D738" s="11" t="s">
        <v>118</v>
      </c>
      <c r="E738" s="11" t="s">
        <v>68</v>
      </c>
      <c r="F738" s="12" t="n">
        <v>5689947</v>
      </c>
      <c r="G738" s="12" t="n">
        <v>5235000</v>
      </c>
      <c r="H738" s="11" t="n">
        <v>16</v>
      </c>
      <c r="I738" s="11" t="s">
        <v>69</v>
      </c>
      <c r="J738" s="11" t="s">
        <v>70</v>
      </c>
      <c r="K738" s="11" t="s">
        <v>71</v>
      </c>
      <c r="L738" s="11" t="s">
        <v>72</v>
      </c>
      <c r="M738" s="11" t="s">
        <v>73</v>
      </c>
      <c r="N738" s="11" t="s">
        <v>123</v>
      </c>
      <c r="O738" s="11" t="s">
        <v>60</v>
      </c>
      <c r="P738" s="11" t="s">
        <v>106</v>
      </c>
      <c r="Q738" s="13" t="n">
        <f aca="false">F738*H738</f>
        <v>91039152</v>
      </c>
      <c r="R738" s="13" t="n">
        <f aca="false">G738*H738</f>
        <v>83760000</v>
      </c>
      <c r="S738" s="13" t="n">
        <f aca="false">Q738-R738</f>
        <v>7279152</v>
      </c>
      <c r="T738" s="14" t="n">
        <f aca="false">IFERROR(S738/Q738,0)</f>
        <v>0.0799562807878527</v>
      </c>
      <c r="U738" s="15" t="str">
        <f aca="false">TEXT(A738,"yyyy-mm")</f>
        <v>2022-09</v>
      </c>
    </row>
    <row r="739" customFormat="false" ht="15" hidden="false" customHeight="false" outlineLevel="0" collapsed="false">
      <c r="A739" s="10" t="n">
        <v>44829</v>
      </c>
      <c r="B739" s="11" t="s">
        <v>871</v>
      </c>
      <c r="C739" s="11" t="s">
        <v>137</v>
      </c>
      <c r="D739" s="11" t="s">
        <v>138</v>
      </c>
      <c r="E739" s="11" t="s">
        <v>139</v>
      </c>
      <c r="F739" s="12" t="n">
        <v>5171827</v>
      </c>
      <c r="G739" s="12" t="n">
        <v>4890000</v>
      </c>
      <c r="H739" s="11" t="n">
        <v>1</v>
      </c>
      <c r="I739" s="11" t="s">
        <v>69</v>
      </c>
      <c r="J739" s="11" t="s">
        <v>112</v>
      </c>
      <c r="K739" s="11" t="s">
        <v>113</v>
      </c>
      <c r="L739" s="11" t="s">
        <v>82</v>
      </c>
      <c r="M739" s="11" t="s">
        <v>157</v>
      </c>
      <c r="N739" s="11" t="s">
        <v>173</v>
      </c>
      <c r="O739" s="11" t="s">
        <v>174</v>
      </c>
      <c r="P739" s="11" t="s">
        <v>95</v>
      </c>
      <c r="Q739" s="13" t="n">
        <f aca="false">F739*H739</f>
        <v>5171827</v>
      </c>
      <c r="R739" s="13" t="n">
        <f aca="false">G739*H739</f>
        <v>4890000</v>
      </c>
      <c r="S739" s="13" t="n">
        <f aca="false">Q739-R739</f>
        <v>281827</v>
      </c>
      <c r="T739" s="14" t="n">
        <f aca="false">IFERROR(S739/Q739,0)</f>
        <v>0.0544927353525166</v>
      </c>
      <c r="U739" s="15" t="str">
        <f aca="false">TEXT(A739,"yyyy-mm")</f>
        <v>2022-09</v>
      </c>
    </row>
    <row r="740" customFormat="false" ht="15" hidden="false" customHeight="false" outlineLevel="0" collapsed="false">
      <c r="A740" s="10" t="n">
        <v>44829</v>
      </c>
      <c r="B740" s="11" t="s">
        <v>872</v>
      </c>
      <c r="C740" s="11" t="s">
        <v>141</v>
      </c>
      <c r="D740" s="11" t="s">
        <v>138</v>
      </c>
      <c r="E740" s="11" t="s">
        <v>142</v>
      </c>
      <c r="F740" s="12" t="n">
        <v>2805124</v>
      </c>
      <c r="G740" s="12" t="n">
        <v>2178000</v>
      </c>
      <c r="H740" s="11" t="n">
        <v>5</v>
      </c>
      <c r="I740" s="11" t="s">
        <v>69</v>
      </c>
      <c r="J740" s="11" t="s">
        <v>80</v>
      </c>
      <c r="K740" s="11" t="s">
        <v>81</v>
      </c>
      <c r="L740" s="11" t="s">
        <v>82</v>
      </c>
      <c r="M740" s="11" t="s">
        <v>73</v>
      </c>
      <c r="N740" s="11" t="s">
        <v>104</v>
      </c>
      <c r="O740" s="11" t="s">
        <v>105</v>
      </c>
      <c r="P740" s="11" t="s">
        <v>106</v>
      </c>
      <c r="Q740" s="13" t="n">
        <f aca="false">F740*H740</f>
        <v>14025620</v>
      </c>
      <c r="R740" s="13" t="n">
        <f aca="false">G740*H740</f>
        <v>10890000</v>
      </c>
      <c r="S740" s="13" t="n">
        <f aca="false">Q740-R740</f>
        <v>3135620</v>
      </c>
      <c r="T740" s="14" t="n">
        <f aca="false">IFERROR(S740/Q740,0)</f>
        <v>0.22356373550688</v>
      </c>
      <c r="U740" s="15" t="str">
        <f aca="false">TEXT(A740,"yyyy-mm")</f>
        <v>2022-09</v>
      </c>
    </row>
    <row r="741" customFormat="false" ht="15" hidden="false" customHeight="false" outlineLevel="0" collapsed="false">
      <c r="A741" s="10" t="n">
        <v>44831</v>
      </c>
      <c r="B741" s="11" t="s">
        <v>873</v>
      </c>
      <c r="C741" s="11" t="s">
        <v>146</v>
      </c>
      <c r="D741" s="11" t="s">
        <v>138</v>
      </c>
      <c r="E741" s="11" t="s">
        <v>139</v>
      </c>
      <c r="F741" s="12" t="n">
        <v>2728100</v>
      </c>
      <c r="G741" s="12" t="n">
        <v>2321000</v>
      </c>
      <c r="H741" s="11" t="n">
        <v>8</v>
      </c>
      <c r="I741" s="11" t="s">
        <v>69</v>
      </c>
      <c r="J741" s="11" t="s">
        <v>80</v>
      </c>
      <c r="K741" s="11" t="s">
        <v>81</v>
      </c>
      <c r="L741" s="11" t="s">
        <v>82</v>
      </c>
      <c r="M741" s="11" t="s">
        <v>73</v>
      </c>
      <c r="N741" s="11" t="s">
        <v>123</v>
      </c>
      <c r="O741" s="11" t="s">
        <v>60</v>
      </c>
      <c r="P741" s="11" t="s">
        <v>106</v>
      </c>
      <c r="Q741" s="13" t="n">
        <f aca="false">F741*H741</f>
        <v>21824800</v>
      </c>
      <c r="R741" s="13" t="n">
        <f aca="false">G741*H741</f>
        <v>18568000</v>
      </c>
      <c r="S741" s="13" t="n">
        <f aca="false">Q741-R741</f>
        <v>3256800</v>
      </c>
      <c r="T741" s="14" t="n">
        <f aca="false">IFERROR(S741/Q741,0)</f>
        <v>0.149224735163667</v>
      </c>
      <c r="U741" s="15" t="str">
        <f aca="false">TEXT(A741,"yyyy-mm")</f>
        <v>2022-09</v>
      </c>
    </row>
    <row r="742" customFormat="false" ht="15" hidden="false" customHeight="false" outlineLevel="0" collapsed="false">
      <c r="A742" s="10" t="n">
        <v>44832</v>
      </c>
      <c r="B742" s="11" t="s">
        <v>874</v>
      </c>
      <c r="C742" s="11" t="s">
        <v>148</v>
      </c>
      <c r="D742" s="11" t="s">
        <v>138</v>
      </c>
      <c r="E742" s="11" t="s">
        <v>122</v>
      </c>
      <c r="F742" s="12" t="n">
        <v>4941716</v>
      </c>
      <c r="G742" s="12" t="n">
        <v>4456000</v>
      </c>
      <c r="H742" s="11" t="n">
        <v>12</v>
      </c>
      <c r="I742" s="11" t="s">
        <v>69</v>
      </c>
      <c r="J742" s="11" t="s">
        <v>70</v>
      </c>
      <c r="K742" s="11" t="s">
        <v>71</v>
      </c>
      <c r="L742" s="11" t="s">
        <v>72</v>
      </c>
      <c r="M742" s="11" t="s">
        <v>73</v>
      </c>
      <c r="N742" s="11" t="s">
        <v>123</v>
      </c>
      <c r="O742" s="11" t="s">
        <v>60</v>
      </c>
      <c r="P742" s="11" t="s">
        <v>106</v>
      </c>
      <c r="Q742" s="13" t="n">
        <f aca="false">F742*H742</f>
        <v>59300592</v>
      </c>
      <c r="R742" s="13" t="n">
        <f aca="false">G742*H742</f>
        <v>53472000</v>
      </c>
      <c r="S742" s="13" t="n">
        <f aca="false">Q742-R742</f>
        <v>5828592</v>
      </c>
      <c r="T742" s="14" t="n">
        <f aca="false">IFERROR(S742/Q742,0)</f>
        <v>0.0982889344511097</v>
      </c>
      <c r="U742" s="15" t="str">
        <f aca="false">TEXT(A742,"yyyy-mm")</f>
        <v>2022-09</v>
      </c>
    </row>
    <row r="743" customFormat="false" ht="15" hidden="false" customHeight="false" outlineLevel="0" collapsed="false">
      <c r="A743" s="10" t="n">
        <v>44833</v>
      </c>
      <c r="B743" s="11" t="s">
        <v>875</v>
      </c>
      <c r="C743" s="11" t="s">
        <v>66</v>
      </c>
      <c r="D743" s="11" t="s">
        <v>67</v>
      </c>
      <c r="E743" s="11" t="s">
        <v>68</v>
      </c>
      <c r="F743" s="12" t="n">
        <v>3048952</v>
      </c>
      <c r="G743" s="12" t="n">
        <v>2560000</v>
      </c>
      <c r="H743" s="11" t="n">
        <v>11</v>
      </c>
      <c r="I743" s="11" t="s">
        <v>69</v>
      </c>
      <c r="J743" s="11" t="s">
        <v>70</v>
      </c>
      <c r="K743" s="11" t="s">
        <v>71</v>
      </c>
      <c r="L743" s="11" t="s">
        <v>72</v>
      </c>
      <c r="M743" s="11" t="s">
        <v>73</v>
      </c>
      <c r="N743" s="11" t="s">
        <v>143</v>
      </c>
      <c r="O743" s="11" t="s">
        <v>144</v>
      </c>
      <c r="P743" s="11" t="s">
        <v>101</v>
      </c>
      <c r="Q743" s="13" t="n">
        <f aca="false">F743*H743</f>
        <v>33538472</v>
      </c>
      <c r="R743" s="13" t="n">
        <f aca="false">G743*H743</f>
        <v>28160000</v>
      </c>
      <c r="S743" s="13" t="n">
        <f aca="false">Q743-R743</f>
        <v>5378472</v>
      </c>
      <c r="T743" s="14" t="n">
        <f aca="false">IFERROR(S743/Q743,0)</f>
        <v>0.160367234380863</v>
      </c>
      <c r="U743" s="15" t="str">
        <f aca="false">TEXT(A743,"yyyy-mm")</f>
        <v>2022-09</v>
      </c>
    </row>
    <row r="744" customFormat="false" ht="15" hidden="false" customHeight="false" outlineLevel="0" collapsed="false">
      <c r="A744" s="10" t="n">
        <v>44834</v>
      </c>
      <c r="B744" s="11" t="s">
        <v>876</v>
      </c>
      <c r="C744" s="11" t="s">
        <v>78</v>
      </c>
      <c r="D744" s="11" t="s">
        <v>67</v>
      </c>
      <c r="E744" s="11" t="s">
        <v>79</v>
      </c>
      <c r="F744" s="12" t="n">
        <v>1870000</v>
      </c>
      <c r="G744" s="12" t="n">
        <v>1650000</v>
      </c>
      <c r="H744" s="11" t="n">
        <v>24</v>
      </c>
      <c r="I744" s="11" t="s">
        <v>69</v>
      </c>
      <c r="J744" s="11" t="s">
        <v>112</v>
      </c>
      <c r="K744" s="11" t="s">
        <v>113</v>
      </c>
      <c r="L744" s="11" t="s">
        <v>82</v>
      </c>
      <c r="M744" s="11" t="s">
        <v>157</v>
      </c>
      <c r="N744" s="11" t="s">
        <v>109</v>
      </c>
      <c r="O744" s="11" t="s">
        <v>75</v>
      </c>
      <c r="P744" s="11" t="s">
        <v>95</v>
      </c>
      <c r="Q744" s="13" t="n">
        <f aca="false">F744*H744</f>
        <v>44880000</v>
      </c>
      <c r="R744" s="13" t="n">
        <f aca="false">G744*H744</f>
        <v>39600000</v>
      </c>
      <c r="S744" s="13" t="n">
        <f aca="false">Q744-R744</f>
        <v>5280000</v>
      </c>
      <c r="T744" s="14" t="n">
        <f aca="false">IFERROR(S744/Q744,0)</f>
        <v>0.117647058823529</v>
      </c>
      <c r="U744" s="15" t="str">
        <f aca="false">TEXT(A744,"yyyy-mm")</f>
        <v>2022-09</v>
      </c>
    </row>
    <row r="745" customFormat="false" ht="15" hidden="false" customHeight="false" outlineLevel="0" collapsed="false">
      <c r="A745" s="10" t="n">
        <v>44834</v>
      </c>
      <c r="B745" s="11" t="s">
        <v>877</v>
      </c>
      <c r="C745" s="11" t="s">
        <v>84</v>
      </c>
      <c r="D745" s="11" t="s">
        <v>67</v>
      </c>
      <c r="E745" s="11" t="s">
        <v>85</v>
      </c>
      <c r="F745" s="12" t="n">
        <v>2600000</v>
      </c>
      <c r="G745" s="12" t="n">
        <v>2300000</v>
      </c>
      <c r="H745" s="11" t="n">
        <v>9</v>
      </c>
      <c r="I745" s="11" t="s">
        <v>69</v>
      </c>
      <c r="J745" s="11" t="s">
        <v>70</v>
      </c>
      <c r="K745" s="11" t="s">
        <v>71</v>
      </c>
      <c r="L745" s="11" t="s">
        <v>72</v>
      </c>
      <c r="M745" s="11" t="s">
        <v>73</v>
      </c>
      <c r="N745" s="11" t="s">
        <v>104</v>
      </c>
      <c r="O745" s="11" t="s">
        <v>105</v>
      </c>
      <c r="P745" s="11" t="s">
        <v>106</v>
      </c>
      <c r="Q745" s="13" t="n">
        <f aca="false">F745*H745</f>
        <v>23400000</v>
      </c>
      <c r="R745" s="13" t="n">
        <f aca="false">G745*H745</f>
        <v>20700000</v>
      </c>
      <c r="S745" s="13" t="n">
        <f aca="false">Q745-R745</f>
        <v>2700000</v>
      </c>
      <c r="T745" s="14" t="n">
        <f aca="false">IFERROR(S745/Q745,0)</f>
        <v>0.115384615384615</v>
      </c>
      <c r="U745" s="15" t="str">
        <f aca="false">TEXT(A745,"yyyy-mm")</f>
        <v>2022-09</v>
      </c>
    </row>
    <row r="746" customFormat="false" ht="15" hidden="false" customHeight="false" outlineLevel="0" collapsed="false">
      <c r="A746" s="10" t="n">
        <v>44834</v>
      </c>
      <c r="B746" s="11" t="s">
        <v>878</v>
      </c>
      <c r="C746" s="11" t="s">
        <v>92</v>
      </c>
      <c r="D746" s="11" t="s">
        <v>67</v>
      </c>
      <c r="E746" s="11" t="s">
        <v>79</v>
      </c>
      <c r="F746" s="12" t="n">
        <v>3577480</v>
      </c>
      <c r="G746" s="12" t="n">
        <v>3100000</v>
      </c>
      <c r="H746" s="11" t="n">
        <v>19</v>
      </c>
      <c r="I746" s="11" t="s">
        <v>86</v>
      </c>
      <c r="J746" s="11" t="s">
        <v>87</v>
      </c>
      <c r="K746" s="11" t="s">
        <v>88</v>
      </c>
      <c r="L746" s="11" t="s">
        <v>89</v>
      </c>
      <c r="M746" s="11" t="s">
        <v>90</v>
      </c>
      <c r="N746" s="11" t="s">
        <v>123</v>
      </c>
      <c r="O746" s="11" t="s">
        <v>60</v>
      </c>
      <c r="P746" s="11" t="s">
        <v>106</v>
      </c>
      <c r="Q746" s="13" t="n">
        <f aca="false">F746*H746</f>
        <v>67972120</v>
      </c>
      <c r="R746" s="13" t="n">
        <f aca="false">G746*H746</f>
        <v>58900000</v>
      </c>
      <c r="S746" s="13" t="n">
        <f aca="false">Q746-R746</f>
        <v>9072120</v>
      </c>
      <c r="T746" s="14" t="n">
        <f aca="false">IFERROR(S746/Q746,0)</f>
        <v>0.133468251394837</v>
      </c>
      <c r="U746" s="15" t="str">
        <f aca="false">TEXT(A746,"yyyy-mm")</f>
        <v>2022-09</v>
      </c>
    </row>
    <row r="747" customFormat="false" ht="15" hidden="false" customHeight="false" outlineLevel="0" collapsed="false">
      <c r="A747" s="10" t="n">
        <v>44834</v>
      </c>
      <c r="B747" s="11" t="s">
        <v>879</v>
      </c>
      <c r="C747" s="11" t="s">
        <v>97</v>
      </c>
      <c r="D747" s="11" t="s">
        <v>67</v>
      </c>
      <c r="E747" s="11" t="s">
        <v>98</v>
      </c>
      <c r="F747" s="12" t="n">
        <v>4969724</v>
      </c>
      <c r="G747" s="12" t="n">
        <v>4121560</v>
      </c>
      <c r="H747" s="11" t="n">
        <v>4</v>
      </c>
      <c r="I747" s="11" t="s">
        <v>69</v>
      </c>
      <c r="J747" s="11" t="s">
        <v>80</v>
      </c>
      <c r="K747" s="11" t="s">
        <v>81</v>
      </c>
      <c r="L747" s="11" t="s">
        <v>82</v>
      </c>
      <c r="M747" s="11" t="s">
        <v>73</v>
      </c>
      <c r="N747" s="11" t="s">
        <v>143</v>
      </c>
      <c r="O747" s="11" t="s">
        <v>144</v>
      </c>
      <c r="P747" s="11" t="s">
        <v>101</v>
      </c>
      <c r="Q747" s="13" t="n">
        <f aca="false">F747*H747</f>
        <v>19878896</v>
      </c>
      <c r="R747" s="13" t="n">
        <f aca="false">G747*H747</f>
        <v>16486240</v>
      </c>
      <c r="S747" s="13" t="n">
        <f aca="false">Q747-R747</f>
        <v>3392656</v>
      </c>
      <c r="T747" s="14" t="n">
        <f aca="false">IFERROR(S747/Q747,0)</f>
        <v>0.170666218083741</v>
      </c>
      <c r="U747" s="15" t="str">
        <f aca="false">TEXT(A747,"yyyy-mm")</f>
        <v>2022-09</v>
      </c>
    </row>
    <row r="748" customFormat="false" ht="15" hidden="false" customHeight="false" outlineLevel="0" collapsed="false">
      <c r="A748" s="10" t="n">
        <v>44835</v>
      </c>
      <c r="B748" s="11" t="s">
        <v>880</v>
      </c>
      <c r="C748" s="11" t="s">
        <v>103</v>
      </c>
      <c r="D748" s="11" t="s">
        <v>67</v>
      </c>
      <c r="E748" s="11" t="s">
        <v>68</v>
      </c>
      <c r="F748" s="12" t="n">
        <v>3319925</v>
      </c>
      <c r="G748" s="12" t="n">
        <v>2800000</v>
      </c>
      <c r="H748" s="11" t="n">
        <v>7</v>
      </c>
      <c r="I748" s="11" t="s">
        <v>69</v>
      </c>
      <c r="J748" s="11" t="s">
        <v>112</v>
      </c>
      <c r="K748" s="11" t="s">
        <v>113</v>
      </c>
      <c r="L748" s="11" t="s">
        <v>82</v>
      </c>
      <c r="M748" s="11" t="s">
        <v>157</v>
      </c>
      <c r="N748" s="11" t="s">
        <v>99</v>
      </c>
      <c r="O748" s="11" t="s">
        <v>100</v>
      </c>
      <c r="P748" s="11" t="s">
        <v>101</v>
      </c>
      <c r="Q748" s="13" t="n">
        <f aca="false">F748*H748</f>
        <v>23239475</v>
      </c>
      <c r="R748" s="13" t="n">
        <f aca="false">G748*H748</f>
        <v>19600000</v>
      </c>
      <c r="S748" s="13" t="n">
        <f aca="false">Q748-R748</f>
        <v>3639475</v>
      </c>
      <c r="T748" s="14" t="n">
        <f aca="false">IFERROR(S748/Q748,0)</f>
        <v>0.15660745348163</v>
      </c>
      <c r="U748" s="15" t="str">
        <f aca="false">TEXT(A748,"yyyy-mm")</f>
        <v>2022-10</v>
      </c>
    </row>
    <row r="749" customFormat="false" ht="15" hidden="false" customHeight="false" outlineLevel="0" collapsed="false">
      <c r="A749" s="10" t="n">
        <v>44835</v>
      </c>
      <c r="B749" s="11" t="s">
        <v>881</v>
      </c>
      <c r="C749" s="11" t="s">
        <v>108</v>
      </c>
      <c r="D749" s="11" t="s">
        <v>67</v>
      </c>
      <c r="E749" s="11" t="s">
        <v>68</v>
      </c>
      <c r="F749" s="12" t="n">
        <v>4757880</v>
      </c>
      <c r="G749" s="12" t="n">
        <v>3450000</v>
      </c>
      <c r="H749" s="11" t="n">
        <v>14</v>
      </c>
      <c r="I749" s="11" t="s">
        <v>69</v>
      </c>
      <c r="J749" s="11" t="s">
        <v>80</v>
      </c>
      <c r="K749" s="11" t="s">
        <v>81</v>
      </c>
      <c r="L749" s="11" t="s">
        <v>82</v>
      </c>
      <c r="M749" s="11" t="s">
        <v>73</v>
      </c>
      <c r="N749" s="11" t="s">
        <v>74</v>
      </c>
      <c r="O749" s="11" t="s">
        <v>75</v>
      </c>
      <c r="P749" s="11" t="s">
        <v>76</v>
      </c>
      <c r="Q749" s="13" t="n">
        <f aca="false">F749*H749</f>
        <v>66610320</v>
      </c>
      <c r="R749" s="13" t="n">
        <f aca="false">G749*H749</f>
        <v>48300000</v>
      </c>
      <c r="S749" s="13" t="n">
        <f aca="false">Q749-R749</f>
        <v>18310320</v>
      </c>
      <c r="T749" s="14" t="n">
        <f aca="false">IFERROR(S749/Q749,0)</f>
        <v>0.274887134606169</v>
      </c>
      <c r="U749" s="15" t="str">
        <f aca="false">TEXT(A749,"yyyy-mm")</f>
        <v>2022-10</v>
      </c>
    </row>
    <row r="750" customFormat="false" ht="15" hidden="false" customHeight="false" outlineLevel="0" collapsed="false">
      <c r="A750" s="10" t="n">
        <v>44835</v>
      </c>
      <c r="B750" s="11" t="s">
        <v>882</v>
      </c>
      <c r="C750" s="11" t="s">
        <v>111</v>
      </c>
      <c r="D750" s="11" t="s">
        <v>67</v>
      </c>
      <c r="E750" s="11" t="s">
        <v>79</v>
      </c>
      <c r="F750" s="12" t="n">
        <v>3545808</v>
      </c>
      <c r="G750" s="12" t="n">
        <v>3350000</v>
      </c>
      <c r="H750" s="11" t="n">
        <v>9</v>
      </c>
      <c r="I750" s="11" t="s">
        <v>69</v>
      </c>
      <c r="J750" s="11" t="s">
        <v>70</v>
      </c>
      <c r="K750" s="11" t="s">
        <v>71</v>
      </c>
      <c r="L750" s="11" t="s">
        <v>72</v>
      </c>
      <c r="M750" s="11" t="s">
        <v>73</v>
      </c>
      <c r="N750" s="11" t="s">
        <v>173</v>
      </c>
      <c r="O750" s="11" t="s">
        <v>174</v>
      </c>
      <c r="P750" s="11" t="s">
        <v>95</v>
      </c>
      <c r="Q750" s="13" t="n">
        <f aca="false">F750*H750</f>
        <v>31912272</v>
      </c>
      <c r="R750" s="13" t="n">
        <f aca="false">G750*H750</f>
        <v>30150000</v>
      </c>
      <c r="S750" s="13" t="n">
        <f aca="false">Q750-R750</f>
        <v>1762272</v>
      </c>
      <c r="T750" s="14" t="n">
        <f aca="false">IFERROR(S750/Q750,0)</f>
        <v>0.0552223921881839</v>
      </c>
      <c r="U750" s="15" t="str">
        <f aca="false">TEXT(A750,"yyyy-mm")</f>
        <v>2022-10</v>
      </c>
    </row>
    <row r="751" customFormat="false" ht="15" hidden="false" customHeight="false" outlineLevel="0" collapsed="false">
      <c r="A751" s="10" t="n">
        <v>44835</v>
      </c>
      <c r="B751" s="11" t="s">
        <v>883</v>
      </c>
      <c r="C751" s="11" t="s">
        <v>115</v>
      </c>
      <c r="D751" s="11" t="s">
        <v>67</v>
      </c>
      <c r="E751" s="11" t="s">
        <v>98</v>
      </c>
      <c r="F751" s="12" t="n">
        <v>4200743</v>
      </c>
      <c r="G751" s="12" t="n">
        <v>4101000</v>
      </c>
      <c r="H751" s="11" t="n">
        <v>3</v>
      </c>
      <c r="I751" s="11" t="s">
        <v>69</v>
      </c>
      <c r="J751" s="11" t="s">
        <v>80</v>
      </c>
      <c r="K751" s="11" t="s">
        <v>81</v>
      </c>
      <c r="L751" s="11" t="s">
        <v>82</v>
      </c>
      <c r="M751" s="11" t="s">
        <v>73</v>
      </c>
      <c r="N751" s="11" t="s">
        <v>93</v>
      </c>
      <c r="O751" s="11" t="s">
        <v>94</v>
      </c>
      <c r="P751" s="11" t="s">
        <v>95</v>
      </c>
      <c r="Q751" s="13" t="n">
        <f aca="false">F751*H751</f>
        <v>12602229</v>
      </c>
      <c r="R751" s="13" t="n">
        <f aca="false">G751*H751</f>
        <v>12303000</v>
      </c>
      <c r="S751" s="13" t="n">
        <f aca="false">Q751-R751</f>
        <v>299229</v>
      </c>
      <c r="T751" s="14" t="n">
        <f aca="false">IFERROR(S751/Q751,0)</f>
        <v>0.023744132883159</v>
      </c>
      <c r="U751" s="15" t="str">
        <f aca="false">TEXT(A751,"yyyy-mm")</f>
        <v>2022-10</v>
      </c>
    </row>
    <row r="752" customFormat="false" ht="15" hidden="false" customHeight="false" outlineLevel="0" collapsed="false">
      <c r="A752" s="10" t="n">
        <v>44836</v>
      </c>
      <c r="B752" s="11" t="s">
        <v>884</v>
      </c>
      <c r="C752" s="11" t="s">
        <v>117</v>
      </c>
      <c r="D752" s="11" t="s">
        <v>118</v>
      </c>
      <c r="E752" s="11" t="s">
        <v>119</v>
      </c>
      <c r="F752" s="12" t="n">
        <v>8220549</v>
      </c>
      <c r="G752" s="12" t="n">
        <v>6500000</v>
      </c>
      <c r="H752" s="11" t="n">
        <v>18</v>
      </c>
      <c r="I752" s="11" t="s">
        <v>86</v>
      </c>
      <c r="J752" s="11" t="s">
        <v>87</v>
      </c>
      <c r="K752" s="11" t="s">
        <v>88</v>
      </c>
      <c r="L752" s="11" t="s">
        <v>89</v>
      </c>
      <c r="M752" s="11" t="s">
        <v>90</v>
      </c>
      <c r="N752" s="11" t="s">
        <v>133</v>
      </c>
      <c r="O752" s="11" t="s">
        <v>60</v>
      </c>
      <c r="P752" s="11" t="s">
        <v>76</v>
      </c>
      <c r="Q752" s="13" t="n">
        <f aca="false">F752*H752</f>
        <v>147969882</v>
      </c>
      <c r="R752" s="13" t="n">
        <f aca="false">G752*H752</f>
        <v>117000000</v>
      </c>
      <c r="S752" s="13" t="n">
        <f aca="false">Q752-R752</f>
        <v>30969882</v>
      </c>
      <c r="T752" s="14" t="n">
        <f aca="false">IFERROR(S752/Q752,0)</f>
        <v>0.209298551714733</v>
      </c>
      <c r="U752" s="15" t="str">
        <f aca="false">TEXT(A752,"yyyy-mm")</f>
        <v>2022-10</v>
      </c>
    </row>
    <row r="753" customFormat="false" ht="15" hidden="false" customHeight="false" outlineLevel="0" collapsed="false">
      <c r="A753" s="10" t="n">
        <v>44836</v>
      </c>
      <c r="B753" s="11" t="s">
        <v>885</v>
      </c>
      <c r="C753" s="11" t="s">
        <v>121</v>
      </c>
      <c r="D753" s="11" t="s">
        <v>118</v>
      </c>
      <c r="E753" s="11" t="s">
        <v>122</v>
      </c>
      <c r="F753" s="12" t="n">
        <v>7687274</v>
      </c>
      <c r="G753" s="12" t="n">
        <v>6500000</v>
      </c>
      <c r="H753" s="11" t="n">
        <v>2</v>
      </c>
      <c r="I753" s="11" t="s">
        <v>69</v>
      </c>
      <c r="J753" s="11" t="s">
        <v>80</v>
      </c>
      <c r="K753" s="11" t="s">
        <v>81</v>
      </c>
      <c r="L753" s="11" t="s">
        <v>82</v>
      </c>
      <c r="M753" s="11" t="s">
        <v>73</v>
      </c>
      <c r="N753" s="11" t="s">
        <v>93</v>
      </c>
      <c r="O753" s="11" t="s">
        <v>94</v>
      </c>
      <c r="P753" s="11" t="s">
        <v>95</v>
      </c>
      <c r="Q753" s="13" t="n">
        <f aca="false">F753*H753</f>
        <v>15374548</v>
      </c>
      <c r="R753" s="13" t="n">
        <f aca="false">G753*H753</f>
        <v>13000000</v>
      </c>
      <c r="S753" s="13" t="n">
        <f aca="false">Q753-R753</f>
        <v>2374548</v>
      </c>
      <c r="T753" s="14" t="n">
        <f aca="false">IFERROR(S753/Q753,0)</f>
        <v>0.154446686822923</v>
      </c>
      <c r="U753" s="15" t="str">
        <f aca="false">TEXT(A753,"yyyy-mm")</f>
        <v>2022-10</v>
      </c>
    </row>
    <row r="754" customFormat="false" ht="15" hidden="false" customHeight="false" outlineLevel="0" collapsed="false">
      <c r="A754" s="10" t="n">
        <v>44836</v>
      </c>
      <c r="B754" s="11" t="s">
        <v>886</v>
      </c>
      <c r="C754" s="11" t="s">
        <v>125</v>
      </c>
      <c r="D754" s="11" t="s">
        <v>118</v>
      </c>
      <c r="E754" s="11" t="s">
        <v>126</v>
      </c>
      <c r="F754" s="12" t="n">
        <v>5684211</v>
      </c>
      <c r="G754" s="12" t="n">
        <v>4300000</v>
      </c>
      <c r="H754" s="11" t="n">
        <v>10</v>
      </c>
      <c r="I754" s="11" t="s">
        <v>69</v>
      </c>
      <c r="J754" s="11" t="s">
        <v>80</v>
      </c>
      <c r="K754" s="11" t="s">
        <v>81</v>
      </c>
      <c r="L754" s="11" t="s">
        <v>82</v>
      </c>
      <c r="M754" s="11" t="s">
        <v>73</v>
      </c>
      <c r="N754" s="11" t="s">
        <v>123</v>
      </c>
      <c r="O754" s="11" t="s">
        <v>60</v>
      </c>
      <c r="P754" s="11" t="s">
        <v>106</v>
      </c>
      <c r="Q754" s="13" t="n">
        <f aca="false">F754*H754</f>
        <v>56842110</v>
      </c>
      <c r="R754" s="13" t="n">
        <f aca="false">G754*H754</f>
        <v>43000000</v>
      </c>
      <c r="S754" s="13" t="n">
        <f aca="false">Q754-R754</f>
        <v>13842110</v>
      </c>
      <c r="T754" s="14" t="n">
        <f aca="false">IFERROR(S754/Q754,0)</f>
        <v>0.243518581558637</v>
      </c>
      <c r="U754" s="15" t="str">
        <f aca="false">TEXT(A754,"yyyy-mm")</f>
        <v>2022-10</v>
      </c>
    </row>
    <row r="755" customFormat="false" ht="15" hidden="false" customHeight="false" outlineLevel="0" collapsed="false">
      <c r="A755" s="10" t="n">
        <v>44838</v>
      </c>
      <c r="B755" s="11" t="s">
        <v>887</v>
      </c>
      <c r="C755" s="11" t="s">
        <v>128</v>
      </c>
      <c r="D755" s="11" t="s">
        <v>118</v>
      </c>
      <c r="E755" s="11" t="s">
        <v>119</v>
      </c>
      <c r="F755" s="12" t="n">
        <v>3370302</v>
      </c>
      <c r="G755" s="12" t="n">
        <v>2100000</v>
      </c>
      <c r="H755" s="11" t="n">
        <v>30</v>
      </c>
      <c r="I755" s="11" t="s">
        <v>69</v>
      </c>
      <c r="J755" s="11" t="s">
        <v>70</v>
      </c>
      <c r="K755" s="11" t="s">
        <v>71</v>
      </c>
      <c r="L755" s="11" t="s">
        <v>72</v>
      </c>
      <c r="M755" s="11" t="s">
        <v>73</v>
      </c>
      <c r="N755" s="11" t="s">
        <v>109</v>
      </c>
      <c r="O755" s="11" t="s">
        <v>75</v>
      </c>
      <c r="P755" s="11" t="s">
        <v>95</v>
      </c>
      <c r="Q755" s="13" t="n">
        <f aca="false">F755*H755</f>
        <v>101109060</v>
      </c>
      <c r="R755" s="13" t="n">
        <f aca="false">G755*H755</f>
        <v>63000000</v>
      </c>
      <c r="S755" s="13" t="n">
        <f aca="false">Q755-R755</f>
        <v>38109060</v>
      </c>
      <c r="T755" s="14" t="n">
        <f aca="false">IFERROR(S755/Q755,0)</f>
        <v>0.37691043710623</v>
      </c>
      <c r="U755" s="15" t="str">
        <f aca="false">TEXT(A755,"yyyy-mm")</f>
        <v>2022-10</v>
      </c>
    </row>
    <row r="756" customFormat="false" ht="15" hidden="false" customHeight="false" outlineLevel="0" collapsed="false">
      <c r="A756" s="10" t="n">
        <v>44838</v>
      </c>
      <c r="B756" s="11" t="s">
        <v>888</v>
      </c>
      <c r="C756" s="11" t="s">
        <v>130</v>
      </c>
      <c r="D756" s="11" t="s">
        <v>118</v>
      </c>
      <c r="E756" s="11" t="s">
        <v>68</v>
      </c>
      <c r="F756" s="12" t="n">
        <v>2852897</v>
      </c>
      <c r="G756" s="12" t="n">
        <v>2450000</v>
      </c>
      <c r="H756" s="11" t="n">
        <v>4</v>
      </c>
      <c r="I756" s="11" t="s">
        <v>69</v>
      </c>
      <c r="J756" s="11" t="s">
        <v>80</v>
      </c>
      <c r="K756" s="11" t="s">
        <v>81</v>
      </c>
      <c r="L756" s="11" t="s">
        <v>82</v>
      </c>
      <c r="M756" s="11" t="s">
        <v>73</v>
      </c>
      <c r="N756" s="11" t="s">
        <v>104</v>
      </c>
      <c r="O756" s="11" t="s">
        <v>105</v>
      </c>
      <c r="P756" s="11" t="s">
        <v>106</v>
      </c>
      <c r="Q756" s="13" t="n">
        <f aca="false">F756*H756</f>
        <v>11411588</v>
      </c>
      <c r="R756" s="13" t="n">
        <f aca="false">G756*H756</f>
        <v>9800000</v>
      </c>
      <c r="S756" s="13" t="n">
        <f aca="false">Q756-R756</f>
        <v>1611588</v>
      </c>
      <c r="T756" s="14" t="n">
        <f aca="false">IFERROR(S756/Q756,0)</f>
        <v>0.141223815651249</v>
      </c>
      <c r="U756" s="15" t="str">
        <f aca="false">TEXT(A756,"yyyy-mm")</f>
        <v>2022-10</v>
      </c>
    </row>
    <row r="757" customFormat="false" ht="15" hidden="false" customHeight="false" outlineLevel="0" collapsed="false">
      <c r="A757" s="10" t="n">
        <v>44838</v>
      </c>
      <c r="B757" s="11" t="s">
        <v>889</v>
      </c>
      <c r="C757" s="11" t="s">
        <v>132</v>
      </c>
      <c r="D757" s="11" t="s">
        <v>118</v>
      </c>
      <c r="E757" s="11" t="s">
        <v>68</v>
      </c>
      <c r="F757" s="12" t="n">
        <v>4803603</v>
      </c>
      <c r="G757" s="12" t="n">
        <v>4121000</v>
      </c>
      <c r="H757" s="11" t="n">
        <v>7</v>
      </c>
      <c r="I757" s="11" t="s">
        <v>69</v>
      </c>
      <c r="J757" s="11" t="s">
        <v>80</v>
      </c>
      <c r="K757" s="11" t="s">
        <v>81</v>
      </c>
      <c r="L757" s="11" t="s">
        <v>82</v>
      </c>
      <c r="M757" s="11" t="s">
        <v>73</v>
      </c>
      <c r="N757" s="11" t="s">
        <v>74</v>
      </c>
      <c r="O757" s="11" t="s">
        <v>75</v>
      </c>
      <c r="P757" s="11" t="s">
        <v>76</v>
      </c>
      <c r="Q757" s="13" t="n">
        <f aca="false">F757*H757</f>
        <v>33625221</v>
      </c>
      <c r="R757" s="13" t="n">
        <f aca="false">G757*H757</f>
        <v>28847000</v>
      </c>
      <c r="S757" s="13" t="n">
        <f aca="false">Q757-R757</f>
        <v>4778221</v>
      </c>
      <c r="T757" s="14" t="n">
        <f aca="false">IFERROR(S757/Q757,0)</f>
        <v>0.142102292799801</v>
      </c>
      <c r="U757" s="15" t="str">
        <f aca="false">TEXT(A757,"yyyy-mm")</f>
        <v>2022-10</v>
      </c>
    </row>
    <row r="758" customFormat="false" ht="15" hidden="false" customHeight="false" outlineLevel="0" collapsed="false">
      <c r="A758" s="10" t="n">
        <v>44838</v>
      </c>
      <c r="B758" s="11" t="s">
        <v>890</v>
      </c>
      <c r="C758" s="11" t="s">
        <v>135</v>
      </c>
      <c r="D758" s="11" t="s">
        <v>118</v>
      </c>
      <c r="E758" s="11" t="s">
        <v>68</v>
      </c>
      <c r="F758" s="12" t="n">
        <v>5689947</v>
      </c>
      <c r="G758" s="12" t="n">
        <v>5235000</v>
      </c>
      <c r="H758" s="11" t="n">
        <v>21</v>
      </c>
      <c r="I758" s="11" t="s">
        <v>69</v>
      </c>
      <c r="J758" s="11" t="s">
        <v>112</v>
      </c>
      <c r="K758" s="11" t="s">
        <v>113</v>
      </c>
      <c r="L758" s="11" t="s">
        <v>82</v>
      </c>
      <c r="M758" s="11" t="s">
        <v>157</v>
      </c>
      <c r="N758" s="11" t="s">
        <v>74</v>
      </c>
      <c r="O758" s="11" t="s">
        <v>75</v>
      </c>
      <c r="P758" s="11" t="s">
        <v>76</v>
      </c>
      <c r="Q758" s="13" t="n">
        <f aca="false">F758*H758</f>
        <v>119488887</v>
      </c>
      <c r="R758" s="13" t="n">
        <f aca="false">G758*H758</f>
        <v>109935000</v>
      </c>
      <c r="S758" s="13" t="n">
        <f aca="false">Q758-R758</f>
        <v>9553887</v>
      </c>
      <c r="T758" s="14" t="n">
        <f aca="false">IFERROR(S758/Q758,0)</f>
        <v>0.0799562807878527</v>
      </c>
      <c r="U758" s="15" t="str">
        <f aca="false">TEXT(A758,"yyyy-mm")</f>
        <v>2022-10</v>
      </c>
    </row>
    <row r="759" customFormat="false" ht="15" hidden="false" customHeight="false" outlineLevel="0" collapsed="false">
      <c r="A759" s="10" t="n">
        <v>44839</v>
      </c>
      <c r="B759" s="11" t="s">
        <v>891</v>
      </c>
      <c r="C759" s="11" t="s">
        <v>137</v>
      </c>
      <c r="D759" s="11" t="s">
        <v>138</v>
      </c>
      <c r="E759" s="11" t="s">
        <v>139</v>
      </c>
      <c r="F759" s="12" t="n">
        <v>5171827</v>
      </c>
      <c r="G759" s="12" t="n">
        <v>4890000</v>
      </c>
      <c r="H759" s="11" t="n">
        <v>18</v>
      </c>
      <c r="I759" s="11" t="s">
        <v>69</v>
      </c>
      <c r="J759" s="11" t="s">
        <v>80</v>
      </c>
      <c r="K759" s="11" t="s">
        <v>81</v>
      </c>
      <c r="L759" s="11" t="s">
        <v>82</v>
      </c>
      <c r="M759" s="11" t="s">
        <v>73</v>
      </c>
      <c r="N759" s="11" t="s">
        <v>109</v>
      </c>
      <c r="O759" s="11" t="s">
        <v>75</v>
      </c>
      <c r="P759" s="11" t="s">
        <v>95</v>
      </c>
      <c r="Q759" s="13" t="n">
        <f aca="false">F759*H759</f>
        <v>93092886</v>
      </c>
      <c r="R759" s="13" t="n">
        <f aca="false">G759*H759</f>
        <v>88020000</v>
      </c>
      <c r="S759" s="13" t="n">
        <f aca="false">Q759-R759</f>
        <v>5072886</v>
      </c>
      <c r="T759" s="14" t="n">
        <f aca="false">IFERROR(S759/Q759,0)</f>
        <v>0.0544927353525166</v>
      </c>
      <c r="U759" s="15" t="str">
        <f aca="false">TEXT(A759,"yyyy-mm")</f>
        <v>2022-10</v>
      </c>
    </row>
    <row r="760" customFormat="false" ht="15" hidden="false" customHeight="false" outlineLevel="0" collapsed="false">
      <c r="A760" s="10" t="n">
        <v>44839</v>
      </c>
      <c r="B760" s="11" t="s">
        <v>892</v>
      </c>
      <c r="C760" s="11" t="s">
        <v>141</v>
      </c>
      <c r="D760" s="11" t="s">
        <v>138</v>
      </c>
      <c r="E760" s="11" t="s">
        <v>142</v>
      </c>
      <c r="F760" s="12" t="n">
        <v>2805124</v>
      </c>
      <c r="G760" s="12" t="n">
        <v>2178000</v>
      </c>
      <c r="H760" s="11" t="n">
        <v>14</v>
      </c>
      <c r="I760" s="11" t="s">
        <v>86</v>
      </c>
      <c r="J760" s="11" t="s">
        <v>87</v>
      </c>
      <c r="K760" s="11" t="s">
        <v>88</v>
      </c>
      <c r="L760" s="11" t="s">
        <v>89</v>
      </c>
      <c r="M760" s="11" t="s">
        <v>90</v>
      </c>
      <c r="N760" s="11" t="s">
        <v>109</v>
      </c>
      <c r="O760" s="11" t="s">
        <v>75</v>
      </c>
      <c r="P760" s="11" t="s">
        <v>95</v>
      </c>
      <c r="Q760" s="13" t="n">
        <f aca="false">F760*H760</f>
        <v>39271736</v>
      </c>
      <c r="R760" s="13" t="n">
        <f aca="false">G760*H760</f>
        <v>30492000</v>
      </c>
      <c r="S760" s="13" t="n">
        <f aca="false">Q760-R760</f>
        <v>8779736</v>
      </c>
      <c r="T760" s="14" t="n">
        <f aca="false">IFERROR(S760/Q760,0)</f>
        <v>0.22356373550688</v>
      </c>
      <c r="U760" s="15" t="str">
        <f aca="false">TEXT(A760,"yyyy-mm")</f>
        <v>2022-10</v>
      </c>
    </row>
    <row r="761" customFormat="false" ht="15" hidden="false" customHeight="false" outlineLevel="0" collapsed="false">
      <c r="A761" s="10" t="n">
        <v>44840</v>
      </c>
      <c r="B761" s="11" t="s">
        <v>893</v>
      </c>
      <c r="C761" s="11" t="s">
        <v>146</v>
      </c>
      <c r="D761" s="11" t="s">
        <v>138</v>
      </c>
      <c r="E761" s="11" t="s">
        <v>139</v>
      </c>
      <c r="F761" s="12" t="n">
        <v>2728100</v>
      </c>
      <c r="G761" s="12" t="n">
        <v>2321000</v>
      </c>
      <c r="H761" s="11" t="n">
        <v>20</v>
      </c>
      <c r="I761" s="11" t="s">
        <v>86</v>
      </c>
      <c r="J761" s="11" t="s">
        <v>87</v>
      </c>
      <c r="K761" s="11" t="s">
        <v>88</v>
      </c>
      <c r="L761" s="11" t="s">
        <v>89</v>
      </c>
      <c r="M761" s="11" t="s">
        <v>90</v>
      </c>
      <c r="N761" s="11" t="s">
        <v>173</v>
      </c>
      <c r="O761" s="11" t="s">
        <v>174</v>
      </c>
      <c r="P761" s="11" t="s">
        <v>95</v>
      </c>
      <c r="Q761" s="13" t="n">
        <f aca="false">F761*H761</f>
        <v>54562000</v>
      </c>
      <c r="R761" s="13" t="n">
        <f aca="false">G761*H761</f>
        <v>46420000</v>
      </c>
      <c r="S761" s="13" t="n">
        <f aca="false">Q761-R761</f>
        <v>8142000</v>
      </c>
      <c r="T761" s="14" t="n">
        <f aca="false">IFERROR(S761/Q761,0)</f>
        <v>0.149224735163667</v>
      </c>
      <c r="U761" s="15" t="str">
        <f aca="false">TEXT(A761,"yyyy-mm")</f>
        <v>2022-10</v>
      </c>
    </row>
    <row r="762" customFormat="false" ht="15" hidden="false" customHeight="false" outlineLevel="0" collapsed="false">
      <c r="A762" s="10" t="n">
        <v>44840</v>
      </c>
      <c r="B762" s="11" t="s">
        <v>894</v>
      </c>
      <c r="C762" s="11" t="s">
        <v>148</v>
      </c>
      <c r="D762" s="11" t="s">
        <v>138</v>
      </c>
      <c r="E762" s="11" t="s">
        <v>122</v>
      </c>
      <c r="F762" s="12" t="n">
        <v>4941716</v>
      </c>
      <c r="G762" s="12" t="n">
        <v>4456000</v>
      </c>
      <c r="H762" s="11" t="n">
        <v>30</v>
      </c>
      <c r="I762" s="11" t="s">
        <v>69</v>
      </c>
      <c r="J762" s="11" t="s">
        <v>80</v>
      </c>
      <c r="K762" s="11" t="s">
        <v>81</v>
      </c>
      <c r="L762" s="11" t="s">
        <v>82</v>
      </c>
      <c r="M762" s="11" t="s">
        <v>73</v>
      </c>
      <c r="N762" s="11" t="s">
        <v>109</v>
      </c>
      <c r="O762" s="11" t="s">
        <v>75</v>
      </c>
      <c r="P762" s="11" t="s">
        <v>95</v>
      </c>
      <c r="Q762" s="13" t="n">
        <f aca="false">F762*H762</f>
        <v>148251480</v>
      </c>
      <c r="R762" s="13" t="n">
        <f aca="false">G762*H762</f>
        <v>133680000</v>
      </c>
      <c r="S762" s="13" t="n">
        <f aca="false">Q762-R762</f>
        <v>14571480</v>
      </c>
      <c r="T762" s="14" t="n">
        <f aca="false">IFERROR(S762/Q762,0)</f>
        <v>0.0982889344511097</v>
      </c>
      <c r="U762" s="15" t="str">
        <f aca="false">TEXT(A762,"yyyy-mm")</f>
        <v>2022-10</v>
      </c>
    </row>
    <row r="763" customFormat="false" ht="15" hidden="false" customHeight="false" outlineLevel="0" collapsed="false">
      <c r="A763" s="10" t="n">
        <v>44841</v>
      </c>
      <c r="B763" s="11" t="s">
        <v>895</v>
      </c>
      <c r="C763" s="11" t="s">
        <v>66</v>
      </c>
      <c r="D763" s="11" t="s">
        <v>67</v>
      </c>
      <c r="E763" s="11" t="s">
        <v>68</v>
      </c>
      <c r="F763" s="12" t="n">
        <v>3048952</v>
      </c>
      <c r="G763" s="12" t="n">
        <v>2560000</v>
      </c>
      <c r="H763" s="11" t="n">
        <v>10</v>
      </c>
      <c r="I763" s="11" t="s">
        <v>69</v>
      </c>
      <c r="J763" s="11" t="s">
        <v>80</v>
      </c>
      <c r="K763" s="11" t="s">
        <v>81</v>
      </c>
      <c r="L763" s="11" t="s">
        <v>82</v>
      </c>
      <c r="M763" s="11" t="s">
        <v>73</v>
      </c>
      <c r="N763" s="11" t="s">
        <v>149</v>
      </c>
      <c r="O763" s="11" t="s">
        <v>150</v>
      </c>
      <c r="P763" s="11" t="s">
        <v>151</v>
      </c>
      <c r="Q763" s="13" t="n">
        <f aca="false">F763*H763</f>
        <v>30489520</v>
      </c>
      <c r="R763" s="13" t="n">
        <f aca="false">G763*H763</f>
        <v>25600000</v>
      </c>
      <c r="S763" s="13" t="n">
        <f aca="false">Q763-R763</f>
        <v>4889520</v>
      </c>
      <c r="T763" s="14" t="n">
        <f aca="false">IFERROR(S763/Q763,0)</f>
        <v>0.160367234380863</v>
      </c>
      <c r="U763" s="15" t="str">
        <f aca="false">TEXT(A763,"yyyy-mm")</f>
        <v>2022-10</v>
      </c>
    </row>
    <row r="764" customFormat="false" ht="15" hidden="false" customHeight="false" outlineLevel="0" collapsed="false">
      <c r="A764" s="10" t="n">
        <v>44841</v>
      </c>
      <c r="B764" s="11" t="s">
        <v>896</v>
      </c>
      <c r="C764" s="11" t="s">
        <v>78</v>
      </c>
      <c r="D764" s="11" t="s">
        <v>67</v>
      </c>
      <c r="E764" s="11" t="s">
        <v>79</v>
      </c>
      <c r="F764" s="12" t="n">
        <v>1870000</v>
      </c>
      <c r="G764" s="12" t="n">
        <v>1650000</v>
      </c>
      <c r="H764" s="11" t="n">
        <v>9</v>
      </c>
      <c r="I764" s="11" t="s">
        <v>86</v>
      </c>
      <c r="J764" s="11" t="s">
        <v>87</v>
      </c>
      <c r="K764" s="11" t="s">
        <v>88</v>
      </c>
      <c r="L764" s="11" t="s">
        <v>89</v>
      </c>
      <c r="M764" s="11" t="s">
        <v>90</v>
      </c>
      <c r="N764" s="11" t="s">
        <v>104</v>
      </c>
      <c r="O764" s="11" t="s">
        <v>105</v>
      </c>
      <c r="P764" s="11" t="s">
        <v>106</v>
      </c>
      <c r="Q764" s="13" t="n">
        <f aca="false">F764*H764</f>
        <v>16830000</v>
      </c>
      <c r="R764" s="13" t="n">
        <f aca="false">G764*H764</f>
        <v>14850000</v>
      </c>
      <c r="S764" s="13" t="n">
        <f aca="false">Q764-R764</f>
        <v>1980000</v>
      </c>
      <c r="T764" s="14" t="n">
        <f aca="false">IFERROR(S764/Q764,0)</f>
        <v>0.117647058823529</v>
      </c>
      <c r="U764" s="15" t="str">
        <f aca="false">TEXT(A764,"yyyy-mm")</f>
        <v>2022-10</v>
      </c>
    </row>
    <row r="765" customFormat="false" ht="15" hidden="false" customHeight="false" outlineLevel="0" collapsed="false">
      <c r="A765" s="10" t="n">
        <v>44841</v>
      </c>
      <c r="B765" s="11" t="s">
        <v>897</v>
      </c>
      <c r="C765" s="11" t="s">
        <v>84</v>
      </c>
      <c r="D765" s="11" t="s">
        <v>67</v>
      </c>
      <c r="E765" s="11" t="s">
        <v>85</v>
      </c>
      <c r="F765" s="12" t="n">
        <v>2600000</v>
      </c>
      <c r="G765" s="12" t="n">
        <v>2300000</v>
      </c>
      <c r="H765" s="11" t="n">
        <v>14</v>
      </c>
      <c r="I765" s="11" t="s">
        <v>69</v>
      </c>
      <c r="J765" s="11" t="s">
        <v>80</v>
      </c>
      <c r="K765" s="11" t="s">
        <v>81</v>
      </c>
      <c r="L765" s="11" t="s">
        <v>82</v>
      </c>
      <c r="M765" s="11" t="s">
        <v>73</v>
      </c>
      <c r="N765" s="11" t="s">
        <v>99</v>
      </c>
      <c r="O765" s="11" t="s">
        <v>100</v>
      </c>
      <c r="P765" s="11" t="s">
        <v>101</v>
      </c>
      <c r="Q765" s="13" t="n">
        <f aca="false">F765*H765</f>
        <v>36400000</v>
      </c>
      <c r="R765" s="13" t="n">
        <f aca="false">G765*H765</f>
        <v>32200000</v>
      </c>
      <c r="S765" s="13" t="n">
        <f aca="false">Q765-R765</f>
        <v>4200000</v>
      </c>
      <c r="T765" s="14" t="n">
        <f aca="false">IFERROR(S765/Q765,0)</f>
        <v>0.115384615384615</v>
      </c>
      <c r="U765" s="15" t="str">
        <f aca="false">TEXT(A765,"yyyy-mm")</f>
        <v>2022-10</v>
      </c>
    </row>
    <row r="766" customFormat="false" ht="15" hidden="false" customHeight="false" outlineLevel="0" collapsed="false">
      <c r="A766" s="10" t="n">
        <v>44841</v>
      </c>
      <c r="B766" s="11" t="s">
        <v>898</v>
      </c>
      <c r="C766" s="11" t="s">
        <v>92</v>
      </c>
      <c r="D766" s="11" t="s">
        <v>67</v>
      </c>
      <c r="E766" s="11" t="s">
        <v>79</v>
      </c>
      <c r="F766" s="12" t="n">
        <v>3577480</v>
      </c>
      <c r="G766" s="12" t="n">
        <v>3100000</v>
      </c>
      <c r="H766" s="11" t="n">
        <v>13</v>
      </c>
      <c r="I766" s="11" t="s">
        <v>69</v>
      </c>
      <c r="J766" s="11" t="s">
        <v>80</v>
      </c>
      <c r="K766" s="11" t="s">
        <v>81</v>
      </c>
      <c r="L766" s="11" t="s">
        <v>82</v>
      </c>
      <c r="M766" s="11" t="s">
        <v>73</v>
      </c>
      <c r="N766" s="11" t="s">
        <v>104</v>
      </c>
      <c r="O766" s="11" t="s">
        <v>105</v>
      </c>
      <c r="P766" s="11" t="s">
        <v>106</v>
      </c>
      <c r="Q766" s="13" t="n">
        <f aca="false">F766*H766</f>
        <v>46507240</v>
      </c>
      <c r="R766" s="13" t="n">
        <f aca="false">G766*H766</f>
        <v>40300000</v>
      </c>
      <c r="S766" s="13" t="n">
        <f aca="false">Q766-R766</f>
        <v>6207240</v>
      </c>
      <c r="T766" s="14" t="n">
        <f aca="false">IFERROR(S766/Q766,0)</f>
        <v>0.133468251394837</v>
      </c>
      <c r="U766" s="15" t="str">
        <f aca="false">TEXT(A766,"yyyy-mm")</f>
        <v>2022-10</v>
      </c>
    </row>
    <row r="767" customFormat="false" ht="15" hidden="false" customHeight="false" outlineLevel="0" collapsed="false">
      <c r="A767" s="10" t="n">
        <v>44842</v>
      </c>
      <c r="B767" s="11" t="s">
        <v>899</v>
      </c>
      <c r="C767" s="11" t="s">
        <v>97</v>
      </c>
      <c r="D767" s="11" t="s">
        <v>67</v>
      </c>
      <c r="E767" s="11" t="s">
        <v>98</v>
      </c>
      <c r="F767" s="12" t="n">
        <v>4969724</v>
      </c>
      <c r="G767" s="12" t="n">
        <v>4121560</v>
      </c>
      <c r="H767" s="11" t="n">
        <v>6</v>
      </c>
      <c r="I767" s="11" t="s">
        <v>69</v>
      </c>
      <c r="J767" s="11" t="s">
        <v>70</v>
      </c>
      <c r="K767" s="11" t="s">
        <v>71</v>
      </c>
      <c r="L767" s="11" t="s">
        <v>72</v>
      </c>
      <c r="M767" s="11" t="s">
        <v>73</v>
      </c>
      <c r="N767" s="11" t="s">
        <v>99</v>
      </c>
      <c r="O767" s="11" t="s">
        <v>100</v>
      </c>
      <c r="P767" s="11" t="s">
        <v>101</v>
      </c>
      <c r="Q767" s="13" t="n">
        <f aca="false">F767*H767</f>
        <v>29818344</v>
      </c>
      <c r="R767" s="13" t="n">
        <f aca="false">G767*H767</f>
        <v>24729360</v>
      </c>
      <c r="S767" s="13" t="n">
        <f aca="false">Q767-R767</f>
        <v>5088984</v>
      </c>
      <c r="T767" s="14" t="n">
        <f aca="false">IFERROR(S767/Q767,0)</f>
        <v>0.170666218083741</v>
      </c>
      <c r="U767" s="15" t="str">
        <f aca="false">TEXT(A767,"yyyy-mm")</f>
        <v>2022-10</v>
      </c>
    </row>
    <row r="768" customFormat="false" ht="15" hidden="false" customHeight="false" outlineLevel="0" collapsed="false">
      <c r="A768" s="10" t="n">
        <v>44843</v>
      </c>
      <c r="B768" s="11" t="s">
        <v>900</v>
      </c>
      <c r="C768" s="11" t="s">
        <v>103</v>
      </c>
      <c r="D768" s="11" t="s">
        <v>67</v>
      </c>
      <c r="E768" s="11" t="s">
        <v>68</v>
      </c>
      <c r="F768" s="12" t="n">
        <v>3319925</v>
      </c>
      <c r="G768" s="12" t="n">
        <v>2800000</v>
      </c>
      <c r="H768" s="11" t="n">
        <v>18</v>
      </c>
      <c r="I768" s="11" t="s">
        <v>86</v>
      </c>
      <c r="J768" s="11" t="s">
        <v>87</v>
      </c>
      <c r="K768" s="11" t="s">
        <v>88</v>
      </c>
      <c r="L768" s="11" t="s">
        <v>89</v>
      </c>
      <c r="M768" s="11" t="s">
        <v>90</v>
      </c>
      <c r="N768" s="11" t="s">
        <v>109</v>
      </c>
      <c r="O768" s="11" t="s">
        <v>75</v>
      </c>
      <c r="P768" s="11" t="s">
        <v>95</v>
      </c>
      <c r="Q768" s="13" t="n">
        <f aca="false">F768*H768</f>
        <v>59758650</v>
      </c>
      <c r="R768" s="13" t="n">
        <f aca="false">G768*H768</f>
        <v>50400000</v>
      </c>
      <c r="S768" s="13" t="n">
        <f aca="false">Q768-R768</f>
        <v>9358650</v>
      </c>
      <c r="T768" s="14" t="n">
        <f aca="false">IFERROR(S768/Q768,0)</f>
        <v>0.15660745348163</v>
      </c>
      <c r="U768" s="15" t="str">
        <f aca="false">TEXT(A768,"yyyy-mm")</f>
        <v>2022-10</v>
      </c>
    </row>
    <row r="769" customFormat="false" ht="15" hidden="false" customHeight="false" outlineLevel="0" collapsed="false">
      <c r="A769" s="10" t="n">
        <v>44843</v>
      </c>
      <c r="B769" s="11" t="s">
        <v>901</v>
      </c>
      <c r="C769" s="11" t="s">
        <v>108</v>
      </c>
      <c r="D769" s="11" t="s">
        <v>67</v>
      </c>
      <c r="E769" s="11" t="s">
        <v>68</v>
      </c>
      <c r="F769" s="12" t="n">
        <v>4757880</v>
      </c>
      <c r="G769" s="12" t="n">
        <v>3450000</v>
      </c>
      <c r="H769" s="11" t="n">
        <v>14</v>
      </c>
      <c r="I769" s="11" t="s">
        <v>69</v>
      </c>
      <c r="J769" s="11" t="s">
        <v>80</v>
      </c>
      <c r="K769" s="11" t="s">
        <v>81</v>
      </c>
      <c r="L769" s="11" t="s">
        <v>82</v>
      </c>
      <c r="M769" s="11" t="s">
        <v>73</v>
      </c>
      <c r="N769" s="11" t="s">
        <v>123</v>
      </c>
      <c r="O769" s="11" t="s">
        <v>60</v>
      </c>
      <c r="P769" s="11" t="s">
        <v>106</v>
      </c>
      <c r="Q769" s="13" t="n">
        <f aca="false">F769*H769</f>
        <v>66610320</v>
      </c>
      <c r="R769" s="13" t="n">
        <f aca="false">G769*H769</f>
        <v>48300000</v>
      </c>
      <c r="S769" s="13" t="n">
        <f aca="false">Q769-R769</f>
        <v>18310320</v>
      </c>
      <c r="T769" s="14" t="n">
        <f aca="false">IFERROR(S769/Q769,0)</f>
        <v>0.274887134606169</v>
      </c>
      <c r="U769" s="15" t="str">
        <f aca="false">TEXT(A769,"yyyy-mm")</f>
        <v>2022-10</v>
      </c>
    </row>
    <row r="770" customFormat="false" ht="15" hidden="false" customHeight="false" outlineLevel="0" collapsed="false">
      <c r="A770" s="10" t="n">
        <v>44843</v>
      </c>
      <c r="B770" s="11" t="s">
        <v>902</v>
      </c>
      <c r="C770" s="11" t="s">
        <v>111</v>
      </c>
      <c r="D770" s="11" t="s">
        <v>67</v>
      </c>
      <c r="E770" s="11" t="s">
        <v>79</v>
      </c>
      <c r="F770" s="12" t="n">
        <v>3545808</v>
      </c>
      <c r="G770" s="12" t="n">
        <v>3350000</v>
      </c>
      <c r="H770" s="11" t="n">
        <v>7</v>
      </c>
      <c r="I770" s="11" t="s">
        <v>69</v>
      </c>
      <c r="J770" s="11" t="s">
        <v>112</v>
      </c>
      <c r="K770" s="11" t="s">
        <v>113</v>
      </c>
      <c r="L770" s="11" t="s">
        <v>82</v>
      </c>
      <c r="M770" s="11" t="s">
        <v>157</v>
      </c>
      <c r="N770" s="11" t="s">
        <v>109</v>
      </c>
      <c r="O770" s="11" t="s">
        <v>75</v>
      </c>
      <c r="P770" s="11" t="s">
        <v>95</v>
      </c>
      <c r="Q770" s="13" t="n">
        <f aca="false">F770*H770</f>
        <v>24820656</v>
      </c>
      <c r="R770" s="13" t="n">
        <f aca="false">G770*H770</f>
        <v>23450000</v>
      </c>
      <c r="S770" s="13" t="n">
        <f aca="false">Q770-R770</f>
        <v>1370656</v>
      </c>
      <c r="T770" s="14" t="n">
        <f aca="false">IFERROR(S770/Q770,0)</f>
        <v>0.0552223921881839</v>
      </c>
      <c r="U770" s="15" t="str">
        <f aca="false">TEXT(A770,"yyyy-mm")</f>
        <v>2022-10</v>
      </c>
    </row>
    <row r="771" customFormat="false" ht="15" hidden="false" customHeight="false" outlineLevel="0" collapsed="false">
      <c r="A771" s="10" t="n">
        <v>44843</v>
      </c>
      <c r="B771" s="11" t="s">
        <v>903</v>
      </c>
      <c r="C771" s="11" t="s">
        <v>115</v>
      </c>
      <c r="D771" s="11" t="s">
        <v>67</v>
      </c>
      <c r="E771" s="11" t="s">
        <v>98</v>
      </c>
      <c r="F771" s="12" t="n">
        <v>4200743</v>
      </c>
      <c r="G771" s="12" t="n">
        <v>4101000</v>
      </c>
      <c r="H771" s="11" t="n">
        <v>15</v>
      </c>
      <c r="I771" s="11" t="s">
        <v>69</v>
      </c>
      <c r="J771" s="11" t="s">
        <v>70</v>
      </c>
      <c r="K771" s="11" t="s">
        <v>71</v>
      </c>
      <c r="L771" s="11" t="s">
        <v>72</v>
      </c>
      <c r="M771" s="11" t="s">
        <v>73</v>
      </c>
      <c r="N771" s="11" t="s">
        <v>104</v>
      </c>
      <c r="O771" s="11" t="s">
        <v>105</v>
      </c>
      <c r="P771" s="11" t="s">
        <v>106</v>
      </c>
      <c r="Q771" s="13" t="n">
        <f aca="false">F771*H771</f>
        <v>63011145</v>
      </c>
      <c r="R771" s="13" t="n">
        <f aca="false">G771*H771</f>
        <v>61515000</v>
      </c>
      <c r="S771" s="13" t="n">
        <f aca="false">Q771-R771</f>
        <v>1496145</v>
      </c>
      <c r="T771" s="14" t="n">
        <f aca="false">IFERROR(S771/Q771,0)</f>
        <v>0.023744132883159</v>
      </c>
      <c r="U771" s="15" t="str">
        <f aca="false">TEXT(A771,"yyyy-mm")</f>
        <v>2022-10</v>
      </c>
    </row>
    <row r="772" customFormat="false" ht="15" hidden="false" customHeight="false" outlineLevel="0" collapsed="false">
      <c r="A772" s="10" t="n">
        <v>44843</v>
      </c>
      <c r="B772" s="11" t="s">
        <v>904</v>
      </c>
      <c r="C772" s="11" t="s">
        <v>117</v>
      </c>
      <c r="D772" s="11" t="s">
        <v>118</v>
      </c>
      <c r="E772" s="11" t="s">
        <v>119</v>
      </c>
      <c r="F772" s="12" t="n">
        <v>8220549</v>
      </c>
      <c r="G772" s="12" t="n">
        <v>6500000</v>
      </c>
      <c r="H772" s="11" t="n">
        <v>12</v>
      </c>
      <c r="I772" s="11" t="s">
        <v>69</v>
      </c>
      <c r="J772" s="11" t="s">
        <v>80</v>
      </c>
      <c r="K772" s="11" t="s">
        <v>81</v>
      </c>
      <c r="L772" s="11" t="s">
        <v>82</v>
      </c>
      <c r="M772" s="11" t="s">
        <v>73</v>
      </c>
      <c r="N772" s="11" t="s">
        <v>99</v>
      </c>
      <c r="O772" s="11" t="s">
        <v>100</v>
      </c>
      <c r="P772" s="11" t="s">
        <v>101</v>
      </c>
      <c r="Q772" s="13" t="n">
        <f aca="false">F772*H772</f>
        <v>98646588</v>
      </c>
      <c r="R772" s="13" t="n">
        <f aca="false">G772*H772</f>
        <v>78000000</v>
      </c>
      <c r="S772" s="13" t="n">
        <f aca="false">Q772-R772</f>
        <v>20646588</v>
      </c>
      <c r="T772" s="14" t="n">
        <f aca="false">IFERROR(S772/Q772,0)</f>
        <v>0.209298551714733</v>
      </c>
      <c r="U772" s="15" t="str">
        <f aca="false">TEXT(A772,"yyyy-mm")</f>
        <v>2022-10</v>
      </c>
    </row>
    <row r="773" customFormat="false" ht="15" hidden="false" customHeight="false" outlineLevel="0" collapsed="false">
      <c r="A773" s="10" t="n">
        <v>44844</v>
      </c>
      <c r="B773" s="11" t="s">
        <v>905</v>
      </c>
      <c r="C773" s="11" t="s">
        <v>121</v>
      </c>
      <c r="D773" s="11" t="s">
        <v>118</v>
      </c>
      <c r="E773" s="11" t="s">
        <v>122</v>
      </c>
      <c r="F773" s="12" t="n">
        <v>7687274</v>
      </c>
      <c r="G773" s="12" t="n">
        <v>6500000</v>
      </c>
      <c r="H773" s="11" t="n">
        <v>5</v>
      </c>
      <c r="I773" s="11" t="s">
        <v>69</v>
      </c>
      <c r="J773" s="11" t="s">
        <v>80</v>
      </c>
      <c r="K773" s="11" t="s">
        <v>81</v>
      </c>
      <c r="L773" s="11" t="s">
        <v>82</v>
      </c>
      <c r="M773" s="11" t="s">
        <v>73</v>
      </c>
      <c r="N773" s="11" t="s">
        <v>173</v>
      </c>
      <c r="O773" s="11" t="s">
        <v>174</v>
      </c>
      <c r="P773" s="11" t="s">
        <v>95</v>
      </c>
      <c r="Q773" s="13" t="n">
        <f aca="false">F773*H773</f>
        <v>38436370</v>
      </c>
      <c r="R773" s="13" t="n">
        <f aca="false">G773*H773</f>
        <v>32500000</v>
      </c>
      <c r="S773" s="13" t="n">
        <f aca="false">Q773-R773</f>
        <v>5936370</v>
      </c>
      <c r="T773" s="14" t="n">
        <f aca="false">IFERROR(S773/Q773,0)</f>
        <v>0.154446686822923</v>
      </c>
      <c r="U773" s="15" t="str">
        <f aca="false">TEXT(A773,"yyyy-mm")</f>
        <v>2022-10</v>
      </c>
    </row>
    <row r="774" customFormat="false" ht="15" hidden="false" customHeight="false" outlineLevel="0" collapsed="false">
      <c r="A774" s="10" t="n">
        <v>44844</v>
      </c>
      <c r="B774" s="11" t="s">
        <v>906</v>
      </c>
      <c r="C774" s="11" t="s">
        <v>125</v>
      </c>
      <c r="D774" s="11" t="s">
        <v>118</v>
      </c>
      <c r="E774" s="11" t="s">
        <v>126</v>
      </c>
      <c r="F774" s="12" t="n">
        <v>5684211</v>
      </c>
      <c r="G774" s="12" t="n">
        <v>4300000</v>
      </c>
      <c r="H774" s="11" t="n">
        <v>14</v>
      </c>
      <c r="I774" s="11" t="s">
        <v>86</v>
      </c>
      <c r="J774" s="11" t="s">
        <v>87</v>
      </c>
      <c r="K774" s="11" t="s">
        <v>88</v>
      </c>
      <c r="L774" s="11" t="s">
        <v>89</v>
      </c>
      <c r="M774" s="11" t="s">
        <v>90</v>
      </c>
      <c r="N774" s="11" t="s">
        <v>93</v>
      </c>
      <c r="O774" s="11" t="s">
        <v>94</v>
      </c>
      <c r="P774" s="11" t="s">
        <v>95</v>
      </c>
      <c r="Q774" s="13" t="n">
        <f aca="false">F774*H774</f>
        <v>79578954</v>
      </c>
      <c r="R774" s="13" t="n">
        <f aca="false">G774*H774</f>
        <v>60200000</v>
      </c>
      <c r="S774" s="13" t="n">
        <f aca="false">Q774-R774</f>
        <v>19378954</v>
      </c>
      <c r="T774" s="14" t="n">
        <f aca="false">IFERROR(S774/Q774,0)</f>
        <v>0.243518581558637</v>
      </c>
      <c r="U774" s="15" t="str">
        <f aca="false">TEXT(A774,"yyyy-mm")</f>
        <v>2022-10</v>
      </c>
    </row>
    <row r="775" customFormat="false" ht="15" hidden="false" customHeight="false" outlineLevel="0" collapsed="false">
      <c r="A775" s="10" t="n">
        <v>44845</v>
      </c>
      <c r="B775" s="11" t="s">
        <v>907</v>
      </c>
      <c r="C775" s="11" t="s">
        <v>128</v>
      </c>
      <c r="D775" s="11" t="s">
        <v>118</v>
      </c>
      <c r="E775" s="11" t="s">
        <v>119</v>
      </c>
      <c r="F775" s="12" t="n">
        <v>3370302</v>
      </c>
      <c r="G775" s="12" t="n">
        <v>2100000</v>
      </c>
      <c r="H775" s="11" t="n">
        <v>14</v>
      </c>
      <c r="I775" s="11" t="s">
        <v>69</v>
      </c>
      <c r="J775" s="11" t="s">
        <v>80</v>
      </c>
      <c r="K775" s="11" t="s">
        <v>81</v>
      </c>
      <c r="L775" s="11" t="s">
        <v>82</v>
      </c>
      <c r="M775" s="11" t="s">
        <v>73</v>
      </c>
      <c r="N775" s="11" t="s">
        <v>123</v>
      </c>
      <c r="O775" s="11" t="s">
        <v>60</v>
      </c>
      <c r="P775" s="11" t="s">
        <v>106</v>
      </c>
      <c r="Q775" s="13" t="n">
        <f aca="false">F775*H775</f>
        <v>47184228</v>
      </c>
      <c r="R775" s="13" t="n">
        <f aca="false">G775*H775</f>
        <v>29400000</v>
      </c>
      <c r="S775" s="13" t="n">
        <f aca="false">Q775-R775</f>
        <v>17784228</v>
      </c>
      <c r="T775" s="14" t="n">
        <f aca="false">IFERROR(S775/Q775,0)</f>
        <v>0.37691043710623</v>
      </c>
      <c r="U775" s="15" t="str">
        <f aca="false">TEXT(A775,"yyyy-mm")</f>
        <v>2022-10</v>
      </c>
    </row>
    <row r="776" customFormat="false" ht="15" hidden="false" customHeight="false" outlineLevel="0" collapsed="false">
      <c r="A776" s="10" t="n">
        <v>44845</v>
      </c>
      <c r="B776" s="11" t="s">
        <v>908</v>
      </c>
      <c r="C776" s="11" t="s">
        <v>130</v>
      </c>
      <c r="D776" s="11" t="s">
        <v>118</v>
      </c>
      <c r="E776" s="11" t="s">
        <v>68</v>
      </c>
      <c r="F776" s="12" t="n">
        <v>2852897</v>
      </c>
      <c r="G776" s="12" t="n">
        <v>2450000</v>
      </c>
      <c r="H776" s="11" t="n">
        <v>3</v>
      </c>
      <c r="I776" s="11" t="s">
        <v>69</v>
      </c>
      <c r="J776" s="11" t="s">
        <v>70</v>
      </c>
      <c r="K776" s="11" t="s">
        <v>71</v>
      </c>
      <c r="L776" s="11" t="s">
        <v>72</v>
      </c>
      <c r="M776" s="11" t="s">
        <v>73</v>
      </c>
      <c r="N776" s="11" t="s">
        <v>74</v>
      </c>
      <c r="O776" s="11" t="s">
        <v>75</v>
      </c>
      <c r="P776" s="11" t="s">
        <v>76</v>
      </c>
      <c r="Q776" s="13" t="n">
        <f aca="false">F776*H776</f>
        <v>8558691</v>
      </c>
      <c r="R776" s="13" t="n">
        <f aca="false">G776*H776</f>
        <v>7350000</v>
      </c>
      <c r="S776" s="13" t="n">
        <f aca="false">Q776-R776</f>
        <v>1208691</v>
      </c>
      <c r="T776" s="14" t="n">
        <f aca="false">IFERROR(S776/Q776,0)</f>
        <v>0.141223815651249</v>
      </c>
      <c r="U776" s="15" t="str">
        <f aca="false">TEXT(A776,"yyyy-mm")</f>
        <v>2022-10</v>
      </c>
    </row>
    <row r="777" customFormat="false" ht="15" hidden="false" customHeight="false" outlineLevel="0" collapsed="false">
      <c r="A777" s="10" t="n">
        <v>44845</v>
      </c>
      <c r="B777" s="11" t="s">
        <v>909</v>
      </c>
      <c r="C777" s="11" t="s">
        <v>132</v>
      </c>
      <c r="D777" s="11" t="s">
        <v>118</v>
      </c>
      <c r="E777" s="11" t="s">
        <v>68</v>
      </c>
      <c r="F777" s="12" t="n">
        <v>4803603</v>
      </c>
      <c r="G777" s="12" t="n">
        <v>4121000</v>
      </c>
      <c r="H777" s="11" t="n">
        <v>6</v>
      </c>
      <c r="I777" s="11" t="s">
        <v>69</v>
      </c>
      <c r="J777" s="11" t="s">
        <v>70</v>
      </c>
      <c r="K777" s="11" t="s">
        <v>71</v>
      </c>
      <c r="L777" s="11" t="s">
        <v>72</v>
      </c>
      <c r="M777" s="11" t="s">
        <v>73</v>
      </c>
      <c r="N777" s="11" t="s">
        <v>123</v>
      </c>
      <c r="O777" s="11" t="s">
        <v>60</v>
      </c>
      <c r="P777" s="11" t="s">
        <v>106</v>
      </c>
      <c r="Q777" s="13" t="n">
        <f aca="false">F777*H777</f>
        <v>28821618</v>
      </c>
      <c r="R777" s="13" t="n">
        <f aca="false">G777*H777</f>
        <v>24726000</v>
      </c>
      <c r="S777" s="13" t="n">
        <f aca="false">Q777-R777</f>
        <v>4095618</v>
      </c>
      <c r="T777" s="14" t="n">
        <f aca="false">IFERROR(S777/Q777,0)</f>
        <v>0.142102292799801</v>
      </c>
      <c r="U777" s="15" t="str">
        <f aca="false">TEXT(A777,"yyyy-mm")</f>
        <v>2022-10</v>
      </c>
    </row>
    <row r="778" customFormat="false" ht="15" hidden="false" customHeight="false" outlineLevel="0" collapsed="false">
      <c r="A778" s="10" t="n">
        <v>44846</v>
      </c>
      <c r="B778" s="11" t="s">
        <v>910</v>
      </c>
      <c r="C778" s="11" t="s">
        <v>135</v>
      </c>
      <c r="D778" s="11" t="s">
        <v>118</v>
      </c>
      <c r="E778" s="11" t="s">
        <v>68</v>
      </c>
      <c r="F778" s="12" t="n">
        <v>5689947</v>
      </c>
      <c r="G778" s="12" t="n">
        <v>5235000</v>
      </c>
      <c r="H778" s="11" t="n">
        <v>16</v>
      </c>
      <c r="I778" s="11" t="s">
        <v>69</v>
      </c>
      <c r="J778" s="11" t="s">
        <v>70</v>
      </c>
      <c r="K778" s="11" t="s">
        <v>71</v>
      </c>
      <c r="L778" s="11" t="s">
        <v>72</v>
      </c>
      <c r="M778" s="11" t="s">
        <v>73</v>
      </c>
      <c r="N778" s="11" t="s">
        <v>173</v>
      </c>
      <c r="O778" s="11" t="s">
        <v>174</v>
      </c>
      <c r="P778" s="11" t="s">
        <v>95</v>
      </c>
      <c r="Q778" s="13" t="n">
        <f aca="false">F778*H778</f>
        <v>91039152</v>
      </c>
      <c r="R778" s="13" t="n">
        <f aca="false">G778*H778</f>
        <v>83760000</v>
      </c>
      <c r="S778" s="13" t="n">
        <f aca="false">Q778-R778</f>
        <v>7279152</v>
      </c>
      <c r="T778" s="14" t="n">
        <f aca="false">IFERROR(S778/Q778,0)</f>
        <v>0.0799562807878527</v>
      </c>
      <c r="U778" s="15" t="str">
        <f aca="false">TEXT(A778,"yyyy-mm")</f>
        <v>2022-10</v>
      </c>
    </row>
    <row r="779" customFormat="false" ht="15" hidden="false" customHeight="false" outlineLevel="0" collapsed="false">
      <c r="A779" s="10" t="n">
        <v>44846</v>
      </c>
      <c r="B779" s="11" t="s">
        <v>911</v>
      </c>
      <c r="C779" s="11" t="s">
        <v>137</v>
      </c>
      <c r="D779" s="11" t="s">
        <v>138</v>
      </c>
      <c r="E779" s="11" t="s">
        <v>139</v>
      </c>
      <c r="F779" s="12" t="n">
        <v>5171827</v>
      </c>
      <c r="G779" s="12" t="n">
        <v>4890000</v>
      </c>
      <c r="H779" s="11" t="n">
        <v>2</v>
      </c>
      <c r="I779" s="11" t="s">
        <v>69</v>
      </c>
      <c r="J779" s="11" t="s">
        <v>80</v>
      </c>
      <c r="K779" s="11" t="s">
        <v>81</v>
      </c>
      <c r="L779" s="11" t="s">
        <v>82</v>
      </c>
      <c r="M779" s="11" t="s">
        <v>73</v>
      </c>
      <c r="N779" s="11" t="s">
        <v>99</v>
      </c>
      <c r="O779" s="11" t="s">
        <v>100</v>
      </c>
      <c r="P779" s="11" t="s">
        <v>101</v>
      </c>
      <c r="Q779" s="13" t="n">
        <f aca="false">F779*H779</f>
        <v>10343654</v>
      </c>
      <c r="R779" s="13" t="n">
        <f aca="false">G779*H779</f>
        <v>9780000</v>
      </c>
      <c r="S779" s="13" t="n">
        <f aca="false">Q779-R779</f>
        <v>563654</v>
      </c>
      <c r="T779" s="14" t="n">
        <f aca="false">IFERROR(S779/Q779,0)</f>
        <v>0.0544927353525166</v>
      </c>
      <c r="U779" s="15" t="str">
        <f aca="false">TEXT(A779,"yyyy-mm")</f>
        <v>2022-10</v>
      </c>
    </row>
    <row r="780" customFormat="false" ht="15" hidden="false" customHeight="false" outlineLevel="0" collapsed="false">
      <c r="A780" s="10" t="n">
        <v>44846</v>
      </c>
      <c r="B780" s="11" t="s">
        <v>912</v>
      </c>
      <c r="C780" s="11" t="s">
        <v>141</v>
      </c>
      <c r="D780" s="11" t="s">
        <v>138</v>
      </c>
      <c r="E780" s="11" t="s">
        <v>142</v>
      </c>
      <c r="F780" s="12" t="n">
        <v>2805124</v>
      </c>
      <c r="G780" s="12" t="n">
        <v>2178000</v>
      </c>
      <c r="H780" s="11" t="n">
        <v>22</v>
      </c>
      <c r="I780" s="11" t="s">
        <v>69</v>
      </c>
      <c r="J780" s="11" t="s">
        <v>80</v>
      </c>
      <c r="K780" s="11" t="s">
        <v>81</v>
      </c>
      <c r="L780" s="11" t="s">
        <v>82</v>
      </c>
      <c r="M780" s="11" t="s">
        <v>73</v>
      </c>
      <c r="N780" s="11" t="s">
        <v>173</v>
      </c>
      <c r="O780" s="11" t="s">
        <v>174</v>
      </c>
      <c r="P780" s="11" t="s">
        <v>95</v>
      </c>
      <c r="Q780" s="13" t="n">
        <f aca="false">F780*H780</f>
        <v>61712728</v>
      </c>
      <c r="R780" s="13" t="n">
        <f aca="false">G780*H780</f>
        <v>47916000</v>
      </c>
      <c r="S780" s="13" t="n">
        <f aca="false">Q780-R780</f>
        <v>13796728</v>
      </c>
      <c r="T780" s="14" t="n">
        <f aca="false">IFERROR(S780/Q780,0)</f>
        <v>0.22356373550688</v>
      </c>
      <c r="U780" s="15" t="str">
        <f aca="false">TEXT(A780,"yyyy-mm")</f>
        <v>2022-10</v>
      </c>
    </row>
    <row r="781" customFormat="false" ht="15" hidden="false" customHeight="false" outlineLevel="0" collapsed="false">
      <c r="A781" s="10" t="n">
        <v>44847</v>
      </c>
      <c r="B781" s="11" t="s">
        <v>913</v>
      </c>
      <c r="C781" s="11" t="s">
        <v>146</v>
      </c>
      <c r="D781" s="11" t="s">
        <v>138</v>
      </c>
      <c r="E781" s="11" t="s">
        <v>139</v>
      </c>
      <c r="F781" s="12" t="n">
        <v>2728100</v>
      </c>
      <c r="G781" s="12" t="n">
        <v>2321000</v>
      </c>
      <c r="H781" s="11" t="n">
        <v>23</v>
      </c>
      <c r="I781" s="11" t="s">
        <v>69</v>
      </c>
      <c r="J781" s="11" t="s">
        <v>80</v>
      </c>
      <c r="K781" s="11" t="s">
        <v>81</v>
      </c>
      <c r="L781" s="11" t="s">
        <v>82</v>
      </c>
      <c r="M781" s="11" t="s">
        <v>73</v>
      </c>
      <c r="N781" s="11" t="s">
        <v>99</v>
      </c>
      <c r="O781" s="11" t="s">
        <v>100</v>
      </c>
      <c r="P781" s="11" t="s">
        <v>101</v>
      </c>
      <c r="Q781" s="13" t="n">
        <f aca="false">F781*H781</f>
        <v>62746300</v>
      </c>
      <c r="R781" s="13" t="n">
        <f aca="false">G781*H781</f>
        <v>53383000</v>
      </c>
      <c r="S781" s="13" t="n">
        <f aca="false">Q781-R781</f>
        <v>9363300</v>
      </c>
      <c r="T781" s="14" t="n">
        <f aca="false">IFERROR(S781/Q781,0)</f>
        <v>0.149224735163667</v>
      </c>
      <c r="U781" s="15" t="str">
        <f aca="false">TEXT(A781,"yyyy-mm")</f>
        <v>2022-10</v>
      </c>
    </row>
    <row r="782" customFormat="false" ht="15" hidden="false" customHeight="false" outlineLevel="0" collapsed="false">
      <c r="A782" s="10" t="n">
        <v>44847</v>
      </c>
      <c r="B782" s="11" t="s">
        <v>914</v>
      </c>
      <c r="C782" s="11" t="s">
        <v>148</v>
      </c>
      <c r="D782" s="11" t="s">
        <v>138</v>
      </c>
      <c r="E782" s="11" t="s">
        <v>122</v>
      </c>
      <c r="F782" s="12" t="n">
        <v>4941716</v>
      </c>
      <c r="G782" s="12" t="n">
        <v>4456000</v>
      </c>
      <c r="H782" s="11" t="n">
        <v>22</v>
      </c>
      <c r="I782" s="11" t="s">
        <v>69</v>
      </c>
      <c r="J782" s="11" t="s">
        <v>80</v>
      </c>
      <c r="K782" s="11" t="s">
        <v>81</v>
      </c>
      <c r="L782" s="11" t="s">
        <v>82</v>
      </c>
      <c r="M782" s="11" t="s">
        <v>73</v>
      </c>
      <c r="N782" s="11" t="s">
        <v>99</v>
      </c>
      <c r="O782" s="11" t="s">
        <v>100</v>
      </c>
      <c r="P782" s="11" t="s">
        <v>101</v>
      </c>
      <c r="Q782" s="13" t="n">
        <f aca="false">F782*H782</f>
        <v>108717752</v>
      </c>
      <c r="R782" s="13" t="n">
        <f aca="false">G782*H782</f>
        <v>98032000</v>
      </c>
      <c r="S782" s="13" t="n">
        <f aca="false">Q782-R782</f>
        <v>10685752</v>
      </c>
      <c r="T782" s="14" t="n">
        <f aca="false">IFERROR(S782/Q782,0)</f>
        <v>0.0982889344511097</v>
      </c>
      <c r="U782" s="15" t="str">
        <f aca="false">TEXT(A782,"yyyy-mm")</f>
        <v>2022-10</v>
      </c>
    </row>
    <row r="783" customFormat="false" ht="15" hidden="false" customHeight="false" outlineLevel="0" collapsed="false">
      <c r="A783" s="10" t="n">
        <v>44848</v>
      </c>
      <c r="B783" s="11" t="s">
        <v>915</v>
      </c>
      <c r="C783" s="11" t="s">
        <v>66</v>
      </c>
      <c r="D783" s="11" t="s">
        <v>67</v>
      </c>
      <c r="E783" s="11" t="s">
        <v>68</v>
      </c>
      <c r="F783" s="12" t="n">
        <v>3048952</v>
      </c>
      <c r="G783" s="12" t="n">
        <v>2560000</v>
      </c>
      <c r="H783" s="11" t="n">
        <v>4</v>
      </c>
      <c r="I783" s="11" t="s">
        <v>69</v>
      </c>
      <c r="J783" s="11" t="s">
        <v>80</v>
      </c>
      <c r="K783" s="11" t="s">
        <v>81</v>
      </c>
      <c r="L783" s="11" t="s">
        <v>82</v>
      </c>
      <c r="M783" s="11" t="s">
        <v>73</v>
      </c>
      <c r="N783" s="11" t="s">
        <v>143</v>
      </c>
      <c r="O783" s="11" t="s">
        <v>144</v>
      </c>
      <c r="P783" s="11" t="s">
        <v>101</v>
      </c>
      <c r="Q783" s="13" t="n">
        <f aca="false">F783*H783</f>
        <v>12195808</v>
      </c>
      <c r="R783" s="13" t="n">
        <f aca="false">G783*H783</f>
        <v>10240000</v>
      </c>
      <c r="S783" s="13" t="n">
        <f aca="false">Q783-R783</f>
        <v>1955808</v>
      </c>
      <c r="T783" s="14" t="n">
        <f aca="false">IFERROR(S783/Q783,0)</f>
        <v>0.160367234380863</v>
      </c>
      <c r="U783" s="15" t="str">
        <f aca="false">TEXT(A783,"yyyy-mm")</f>
        <v>2022-10</v>
      </c>
    </row>
    <row r="784" customFormat="false" ht="15" hidden="false" customHeight="false" outlineLevel="0" collapsed="false">
      <c r="A784" s="10" t="n">
        <v>44848</v>
      </c>
      <c r="B784" s="11" t="s">
        <v>916</v>
      </c>
      <c r="C784" s="11" t="s">
        <v>78</v>
      </c>
      <c r="D784" s="11" t="s">
        <v>67</v>
      </c>
      <c r="E784" s="11" t="s">
        <v>79</v>
      </c>
      <c r="F784" s="12" t="n">
        <v>1870000</v>
      </c>
      <c r="G784" s="12" t="n">
        <v>1650000</v>
      </c>
      <c r="H784" s="11" t="n">
        <v>1</v>
      </c>
      <c r="I784" s="11" t="s">
        <v>69</v>
      </c>
      <c r="J784" s="11" t="s">
        <v>112</v>
      </c>
      <c r="K784" s="11" t="s">
        <v>113</v>
      </c>
      <c r="L784" s="11" t="s">
        <v>82</v>
      </c>
      <c r="M784" s="11" t="s">
        <v>157</v>
      </c>
      <c r="N784" s="11" t="s">
        <v>123</v>
      </c>
      <c r="O784" s="11" t="s">
        <v>60</v>
      </c>
      <c r="P784" s="11" t="s">
        <v>106</v>
      </c>
      <c r="Q784" s="13" t="n">
        <f aca="false">F784*H784</f>
        <v>1870000</v>
      </c>
      <c r="R784" s="13" t="n">
        <f aca="false">G784*H784</f>
        <v>1650000</v>
      </c>
      <c r="S784" s="13" t="n">
        <f aca="false">Q784-R784</f>
        <v>220000</v>
      </c>
      <c r="T784" s="14" t="n">
        <f aca="false">IFERROR(S784/Q784,0)</f>
        <v>0.117647058823529</v>
      </c>
      <c r="U784" s="15" t="str">
        <f aca="false">TEXT(A784,"yyyy-mm")</f>
        <v>2022-10</v>
      </c>
    </row>
    <row r="785" customFormat="false" ht="15" hidden="false" customHeight="false" outlineLevel="0" collapsed="false">
      <c r="A785" s="10" t="n">
        <v>44848</v>
      </c>
      <c r="B785" s="11" t="s">
        <v>917</v>
      </c>
      <c r="C785" s="11" t="s">
        <v>84</v>
      </c>
      <c r="D785" s="11" t="s">
        <v>67</v>
      </c>
      <c r="E785" s="11" t="s">
        <v>85</v>
      </c>
      <c r="F785" s="12" t="n">
        <v>2600000</v>
      </c>
      <c r="G785" s="12" t="n">
        <v>2300000</v>
      </c>
      <c r="H785" s="11" t="n">
        <v>7</v>
      </c>
      <c r="I785" s="11" t="s">
        <v>86</v>
      </c>
      <c r="J785" s="11" t="s">
        <v>87</v>
      </c>
      <c r="K785" s="11" t="s">
        <v>88</v>
      </c>
      <c r="L785" s="11" t="s">
        <v>89</v>
      </c>
      <c r="M785" s="11" t="s">
        <v>90</v>
      </c>
      <c r="N785" s="11" t="s">
        <v>173</v>
      </c>
      <c r="O785" s="11" t="s">
        <v>174</v>
      </c>
      <c r="P785" s="11" t="s">
        <v>95</v>
      </c>
      <c r="Q785" s="13" t="n">
        <f aca="false">F785*H785</f>
        <v>18200000</v>
      </c>
      <c r="R785" s="13" t="n">
        <f aca="false">G785*H785</f>
        <v>16100000</v>
      </c>
      <c r="S785" s="13" t="n">
        <f aca="false">Q785-R785</f>
        <v>2100000</v>
      </c>
      <c r="T785" s="14" t="n">
        <f aca="false">IFERROR(S785/Q785,0)</f>
        <v>0.115384615384615</v>
      </c>
      <c r="U785" s="15" t="str">
        <f aca="false">TEXT(A785,"yyyy-mm")</f>
        <v>2022-10</v>
      </c>
    </row>
    <row r="786" customFormat="false" ht="15" hidden="false" customHeight="false" outlineLevel="0" collapsed="false">
      <c r="A786" s="10" t="n">
        <v>44848</v>
      </c>
      <c r="B786" s="11" t="s">
        <v>918</v>
      </c>
      <c r="C786" s="11" t="s">
        <v>92</v>
      </c>
      <c r="D786" s="11" t="s">
        <v>67</v>
      </c>
      <c r="E786" s="11" t="s">
        <v>79</v>
      </c>
      <c r="F786" s="12" t="n">
        <v>3577480</v>
      </c>
      <c r="G786" s="12" t="n">
        <v>3100000</v>
      </c>
      <c r="H786" s="11" t="n">
        <v>8</v>
      </c>
      <c r="I786" s="11" t="s">
        <v>69</v>
      </c>
      <c r="J786" s="11" t="s">
        <v>112</v>
      </c>
      <c r="K786" s="11" t="s">
        <v>113</v>
      </c>
      <c r="L786" s="11" t="s">
        <v>82</v>
      </c>
      <c r="M786" s="11" t="s">
        <v>157</v>
      </c>
      <c r="N786" s="11" t="s">
        <v>143</v>
      </c>
      <c r="O786" s="11" t="s">
        <v>144</v>
      </c>
      <c r="P786" s="11" t="s">
        <v>101</v>
      </c>
      <c r="Q786" s="13" t="n">
        <f aca="false">F786*H786</f>
        <v>28619840</v>
      </c>
      <c r="R786" s="13" t="n">
        <f aca="false">G786*H786</f>
        <v>24800000</v>
      </c>
      <c r="S786" s="13" t="n">
        <f aca="false">Q786-R786</f>
        <v>3819840</v>
      </c>
      <c r="T786" s="14" t="n">
        <f aca="false">IFERROR(S786/Q786,0)</f>
        <v>0.133468251394837</v>
      </c>
      <c r="U786" s="15" t="str">
        <f aca="false">TEXT(A786,"yyyy-mm")</f>
        <v>2022-10</v>
      </c>
    </row>
    <row r="787" customFormat="false" ht="15" hidden="false" customHeight="false" outlineLevel="0" collapsed="false">
      <c r="A787" s="10" t="n">
        <v>44849</v>
      </c>
      <c r="B787" s="11" t="s">
        <v>919</v>
      </c>
      <c r="C787" s="11" t="s">
        <v>97</v>
      </c>
      <c r="D787" s="11" t="s">
        <v>67</v>
      </c>
      <c r="E787" s="11" t="s">
        <v>98</v>
      </c>
      <c r="F787" s="12" t="n">
        <v>4969724</v>
      </c>
      <c r="G787" s="12" t="n">
        <v>4121560</v>
      </c>
      <c r="H787" s="11" t="n">
        <v>18</v>
      </c>
      <c r="I787" s="11" t="s">
        <v>69</v>
      </c>
      <c r="J787" s="11" t="s">
        <v>112</v>
      </c>
      <c r="K787" s="11" t="s">
        <v>113</v>
      </c>
      <c r="L787" s="11" t="s">
        <v>82</v>
      </c>
      <c r="M787" s="11" t="s">
        <v>157</v>
      </c>
      <c r="N787" s="11" t="s">
        <v>173</v>
      </c>
      <c r="O787" s="11" t="s">
        <v>174</v>
      </c>
      <c r="P787" s="11" t="s">
        <v>95</v>
      </c>
      <c r="Q787" s="13" t="n">
        <f aca="false">F787*H787</f>
        <v>89455032</v>
      </c>
      <c r="R787" s="13" t="n">
        <f aca="false">G787*H787</f>
        <v>74188080</v>
      </c>
      <c r="S787" s="13" t="n">
        <f aca="false">Q787-R787</f>
        <v>15266952</v>
      </c>
      <c r="T787" s="14" t="n">
        <f aca="false">IFERROR(S787/Q787,0)</f>
        <v>0.170666218083741</v>
      </c>
      <c r="U787" s="15" t="str">
        <f aca="false">TEXT(A787,"yyyy-mm")</f>
        <v>2022-10</v>
      </c>
    </row>
    <row r="788" customFormat="false" ht="15" hidden="false" customHeight="false" outlineLevel="0" collapsed="false">
      <c r="A788" s="10" t="n">
        <v>44850</v>
      </c>
      <c r="B788" s="11" t="s">
        <v>920</v>
      </c>
      <c r="C788" s="11" t="s">
        <v>103</v>
      </c>
      <c r="D788" s="11" t="s">
        <v>67</v>
      </c>
      <c r="E788" s="11" t="s">
        <v>68</v>
      </c>
      <c r="F788" s="12" t="n">
        <v>3319925</v>
      </c>
      <c r="G788" s="12" t="n">
        <v>2800000</v>
      </c>
      <c r="H788" s="11" t="n">
        <v>14</v>
      </c>
      <c r="I788" s="11" t="s">
        <v>69</v>
      </c>
      <c r="J788" s="11" t="s">
        <v>70</v>
      </c>
      <c r="K788" s="11" t="s">
        <v>71</v>
      </c>
      <c r="L788" s="11" t="s">
        <v>72</v>
      </c>
      <c r="M788" s="11" t="s">
        <v>73</v>
      </c>
      <c r="N788" s="11" t="s">
        <v>143</v>
      </c>
      <c r="O788" s="11" t="s">
        <v>144</v>
      </c>
      <c r="P788" s="11" t="s">
        <v>101</v>
      </c>
      <c r="Q788" s="13" t="n">
        <f aca="false">F788*H788</f>
        <v>46478950</v>
      </c>
      <c r="R788" s="13" t="n">
        <f aca="false">G788*H788</f>
        <v>39200000</v>
      </c>
      <c r="S788" s="13" t="n">
        <f aca="false">Q788-R788</f>
        <v>7278950</v>
      </c>
      <c r="T788" s="14" t="n">
        <f aca="false">IFERROR(S788/Q788,0)</f>
        <v>0.15660745348163</v>
      </c>
      <c r="U788" s="15" t="str">
        <f aca="false">TEXT(A788,"yyyy-mm")</f>
        <v>2022-10</v>
      </c>
    </row>
    <row r="789" customFormat="false" ht="15" hidden="false" customHeight="false" outlineLevel="0" collapsed="false">
      <c r="A789" s="10" t="n">
        <v>44850</v>
      </c>
      <c r="B789" s="11" t="s">
        <v>921</v>
      </c>
      <c r="C789" s="11" t="s">
        <v>108</v>
      </c>
      <c r="D789" s="11" t="s">
        <v>67</v>
      </c>
      <c r="E789" s="11" t="s">
        <v>68</v>
      </c>
      <c r="F789" s="12" t="n">
        <v>4757880</v>
      </c>
      <c r="G789" s="12" t="n">
        <v>3450000</v>
      </c>
      <c r="H789" s="11" t="n">
        <v>2</v>
      </c>
      <c r="I789" s="11" t="s">
        <v>69</v>
      </c>
      <c r="J789" s="11" t="s">
        <v>80</v>
      </c>
      <c r="K789" s="11" t="s">
        <v>81</v>
      </c>
      <c r="L789" s="11" t="s">
        <v>82</v>
      </c>
      <c r="M789" s="11" t="s">
        <v>73</v>
      </c>
      <c r="N789" s="11" t="s">
        <v>143</v>
      </c>
      <c r="O789" s="11" t="s">
        <v>144</v>
      </c>
      <c r="P789" s="11" t="s">
        <v>101</v>
      </c>
      <c r="Q789" s="13" t="n">
        <f aca="false">F789*H789</f>
        <v>9515760</v>
      </c>
      <c r="R789" s="13" t="n">
        <f aca="false">G789*H789</f>
        <v>6900000</v>
      </c>
      <c r="S789" s="13" t="n">
        <f aca="false">Q789-R789</f>
        <v>2615760</v>
      </c>
      <c r="T789" s="14" t="n">
        <f aca="false">IFERROR(S789/Q789,0)</f>
        <v>0.274887134606169</v>
      </c>
      <c r="U789" s="15" t="str">
        <f aca="false">TEXT(A789,"yyyy-mm")</f>
        <v>2022-10</v>
      </c>
    </row>
    <row r="790" customFormat="false" ht="15" hidden="false" customHeight="false" outlineLevel="0" collapsed="false">
      <c r="A790" s="10" t="n">
        <v>44850</v>
      </c>
      <c r="B790" s="11" t="s">
        <v>922</v>
      </c>
      <c r="C790" s="11" t="s">
        <v>111</v>
      </c>
      <c r="D790" s="11" t="s">
        <v>67</v>
      </c>
      <c r="E790" s="11" t="s">
        <v>79</v>
      </c>
      <c r="F790" s="12" t="n">
        <v>3545808</v>
      </c>
      <c r="G790" s="12" t="n">
        <v>3350000</v>
      </c>
      <c r="H790" s="11" t="n">
        <v>19</v>
      </c>
      <c r="I790" s="11" t="s">
        <v>86</v>
      </c>
      <c r="J790" s="11" t="s">
        <v>87</v>
      </c>
      <c r="K790" s="11" t="s">
        <v>88</v>
      </c>
      <c r="L790" s="11" t="s">
        <v>89</v>
      </c>
      <c r="M790" s="11" t="s">
        <v>90</v>
      </c>
      <c r="N790" s="11" t="s">
        <v>109</v>
      </c>
      <c r="O790" s="11" t="s">
        <v>75</v>
      </c>
      <c r="P790" s="11" t="s">
        <v>95</v>
      </c>
      <c r="Q790" s="13" t="n">
        <f aca="false">F790*H790</f>
        <v>67370352</v>
      </c>
      <c r="R790" s="13" t="n">
        <f aca="false">G790*H790</f>
        <v>63650000</v>
      </c>
      <c r="S790" s="13" t="n">
        <f aca="false">Q790-R790</f>
        <v>3720352</v>
      </c>
      <c r="T790" s="14" t="n">
        <f aca="false">IFERROR(S790/Q790,0)</f>
        <v>0.0552223921881839</v>
      </c>
      <c r="U790" s="15" t="str">
        <f aca="false">TEXT(A790,"yyyy-mm")</f>
        <v>2022-10</v>
      </c>
    </row>
    <row r="791" customFormat="false" ht="15" hidden="false" customHeight="false" outlineLevel="0" collapsed="false">
      <c r="A791" s="10" t="n">
        <v>44850</v>
      </c>
      <c r="B791" s="11" t="s">
        <v>923</v>
      </c>
      <c r="C791" s="11" t="s">
        <v>115</v>
      </c>
      <c r="D791" s="11" t="s">
        <v>67</v>
      </c>
      <c r="E791" s="11" t="s">
        <v>98</v>
      </c>
      <c r="F791" s="12" t="n">
        <v>4200743</v>
      </c>
      <c r="G791" s="12" t="n">
        <v>4101000</v>
      </c>
      <c r="H791" s="11" t="n">
        <v>3</v>
      </c>
      <c r="I791" s="11" t="s">
        <v>69</v>
      </c>
      <c r="J791" s="11" t="s">
        <v>80</v>
      </c>
      <c r="K791" s="11" t="s">
        <v>81</v>
      </c>
      <c r="L791" s="11" t="s">
        <v>82</v>
      </c>
      <c r="M791" s="11" t="s">
        <v>73</v>
      </c>
      <c r="N791" s="11" t="s">
        <v>143</v>
      </c>
      <c r="O791" s="11" t="s">
        <v>144</v>
      </c>
      <c r="P791" s="11" t="s">
        <v>101</v>
      </c>
      <c r="Q791" s="13" t="n">
        <f aca="false">F791*H791</f>
        <v>12602229</v>
      </c>
      <c r="R791" s="13" t="n">
        <f aca="false">G791*H791</f>
        <v>12303000</v>
      </c>
      <c r="S791" s="13" t="n">
        <f aca="false">Q791-R791</f>
        <v>299229</v>
      </c>
      <c r="T791" s="14" t="n">
        <f aca="false">IFERROR(S791/Q791,0)</f>
        <v>0.023744132883159</v>
      </c>
      <c r="U791" s="15" t="str">
        <f aca="false">TEXT(A791,"yyyy-mm")</f>
        <v>2022-10</v>
      </c>
    </row>
    <row r="792" customFormat="false" ht="15" hidden="false" customHeight="false" outlineLevel="0" collapsed="false">
      <c r="A792" s="10" t="n">
        <v>44851</v>
      </c>
      <c r="B792" s="11" t="s">
        <v>924</v>
      </c>
      <c r="C792" s="11" t="s">
        <v>117</v>
      </c>
      <c r="D792" s="11" t="s">
        <v>118</v>
      </c>
      <c r="E792" s="11" t="s">
        <v>119</v>
      </c>
      <c r="F792" s="12" t="n">
        <v>8220549</v>
      </c>
      <c r="G792" s="12" t="n">
        <v>6500000</v>
      </c>
      <c r="H792" s="11" t="n">
        <v>19</v>
      </c>
      <c r="I792" s="11" t="s">
        <v>69</v>
      </c>
      <c r="J792" s="11" t="s">
        <v>70</v>
      </c>
      <c r="K792" s="11" t="s">
        <v>71</v>
      </c>
      <c r="L792" s="11" t="s">
        <v>72</v>
      </c>
      <c r="M792" s="11" t="s">
        <v>73</v>
      </c>
      <c r="N792" s="11" t="s">
        <v>149</v>
      </c>
      <c r="O792" s="11" t="s">
        <v>150</v>
      </c>
      <c r="P792" s="11" t="s">
        <v>151</v>
      </c>
      <c r="Q792" s="13" t="n">
        <f aca="false">F792*H792</f>
        <v>156190431</v>
      </c>
      <c r="R792" s="13" t="n">
        <f aca="false">G792*H792</f>
        <v>123500000</v>
      </c>
      <c r="S792" s="13" t="n">
        <f aca="false">Q792-R792</f>
        <v>32690431</v>
      </c>
      <c r="T792" s="14" t="n">
        <f aca="false">IFERROR(S792/Q792,0)</f>
        <v>0.209298551714733</v>
      </c>
      <c r="U792" s="15" t="str">
        <f aca="false">TEXT(A792,"yyyy-mm")</f>
        <v>2022-10</v>
      </c>
    </row>
    <row r="793" customFormat="false" ht="15" hidden="false" customHeight="false" outlineLevel="0" collapsed="false">
      <c r="A793" s="10" t="n">
        <v>44852</v>
      </c>
      <c r="B793" s="11" t="s">
        <v>925</v>
      </c>
      <c r="C793" s="11" t="s">
        <v>121</v>
      </c>
      <c r="D793" s="11" t="s">
        <v>118</v>
      </c>
      <c r="E793" s="11" t="s">
        <v>122</v>
      </c>
      <c r="F793" s="12" t="n">
        <v>7687274</v>
      </c>
      <c r="G793" s="12" t="n">
        <v>6500000</v>
      </c>
      <c r="H793" s="11" t="n">
        <v>13</v>
      </c>
      <c r="I793" s="11" t="s">
        <v>69</v>
      </c>
      <c r="J793" s="11" t="s">
        <v>80</v>
      </c>
      <c r="K793" s="11" t="s">
        <v>81</v>
      </c>
      <c r="L793" s="11" t="s">
        <v>82</v>
      </c>
      <c r="M793" s="11" t="s">
        <v>73</v>
      </c>
      <c r="N793" s="11" t="s">
        <v>123</v>
      </c>
      <c r="O793" s="11" t="s">
        <v>60</v>
      </c>
      <c r="P793" s="11" t="s">
        <v>106</v>
      </c>
      <c r="Q793" s="13" t="n">
        <f aca="false">F793*H793</f>
        <v>99934562</v>
      </c>
      <c r="R793" s="13" t="n">
        <f aca="false">G793*H793</f>
        <v>84500000</v>
      </c>
      <c r="S793" s="13" t="n">
        <f aca="false">Q793-R793</f>
        <v>15434562</v>
      </c>
      <c r="T793" s="14" t="n">
        <f aca="false">IFERROR(S793/Q793,0)</f>
        <v>0.154446686822923</v>
      </c>
      <c r="U793" s="15" t="str">
        <f aca="false">TEXT(A793,"yyyy-mm")</f>
        <v>2022-10</v>
      </c>
    </row>
    <row r="794" customFormat="false" ht="15" hidden="false" customHeight="false" outlineLevel="0" collapsed="false">
      <c r="A794" s="10" t="n">
        <v>44852</v>
      </c>
      <c r="B794" s="11" t="s">
        <v>926</v>
      </c>
      <c r="C794" s="11" t="s">
        <v>125</v>
      </c>
      <c r="D794" s="11" t="s">
        <v>118</v>
      </c>
      <c r="E794" s="11" t="s">
        <v>126</v>
      </c>
      <c r="F794" s="12" t="n">
        <v>5684211</v>
      </c>
      <c r="G794" s="12" t="n">
        <v>4300000</v>
      </c>
      <c r="H794" s="11" t="n">
        <v>9</v>
      </c>
      <c r="I794" s="11" t="s">
        <v>69</v>
      </c>
      <c r="J794" s="11" t="s">
        <v>80</v>
      </c>
      <c r="K794" s="11" t="s">
        <v>81</v>
      </c>
      <c r="L794" s="11" t="s">
        <v>82</v>
      </c>
      <c r="M794" s="11" t="s">
        <v>73</v>
      </c>
      <c r="N794" s="11" t="s">
        <v>133</v>
      </c>
      <c r="O794" s="11" t="s">
        <v>60</v>
      </c>
      <c r="P794" s="11" t="s">
        <v>76</v>
      </c>
      <c r="Q794" s="13" t="n">
        <f aca="false">F794*H794</f>
        <v>51157899</v>
      </c>
      <c r="R794" s="13" t="n">
        <f aca="false">G794*H794</f>
        <v>38700000</v>
      </c>
      <c r="S794" s="13" t="n">
        <f aca="false">Q794-R794</f>
        <v>12457899</v>
      </c>
      <c r="T794" s="14" t="n">
        <f aca="false">IFERROR(S794/Q794,0)</f>
        <v>0.243518581558637</v>
      </c>
      <c r="U794" s="15" t="str">
        <f aca="false">TEXT(A794,"yyyy-mm")</f>
        <v>2022-10</v>
      </c>
    </row>
    <row r="795" customFormat="false" ht="15" hidden="false" customHeight="false" outlineLevel="0" collapsed="false">
      <c r="A795" s="10" t="n">
        <v>44852</v>
      </c>
      <c r="B795" s="11" t="s">
        <v>927</v>
      </c>
      <c r="C795" s="11" t="s">
        <v>128</v>
      </c>
      <c r="D795" s="11" t="s">
        <v>118</v>
      </c>
      <c r="E795" s="11" t="s">
        <v>119</v>
      </c>
      <c r="F795" s="12" t="n">
        <v>3370302</v>
      </c>
      <c r="G795" s="12" t="n">
        <v>2100000</v>
      </c>
      <c r="H795" s="11" t="n">
        <v>32</v>
      </c>
      <c r="I795" s="11" t="s">
        <v>69</v>
      </c>
      <c r="J795" s="11" t="s">
        <v>80</v>
      </c>
      <c r="K795" s="11" t="s">
        <v>81</v>
      </c>
      <c r="L795" s="11" t="s">
        <v>82</v>
      </c>
      <c r="M795" s="11" t="s">
        <v>73</v>
      </c>
      <c r="N795" s="11" t="s">
        <v>123</v>
      </c>
      <c r="O795" s="11" t="s">
        <v>60</v>
      </c>
      <c r="P795" s="11" t="s">
        <v>106</v>
      </c>
      <c r="Q795" s="13" t="n">
        <f aca="false">F795*H795</f>
        <v>107849664</v>
      </c>
      <c r="R795" s="13" t="n">
        <f aca="false">G795*H795</f>
        <v>67200000</v>
      </c>
      <c r="S795" s="13" t="n">
        <f aca="false">Q795-R795</f>
        <v>40649664</v>
      </c>
      <c r="T795" s="14" t="n">
        <f aca="false">IFERROR(S795/Q795,0)</f>
        <v>0.37691043710623</v>
      </c>
      <c r="U795" s="15" t="str">
        <f aca="false">TEXT(A795,"yyyy-mm")</f>
        <v>2022-10</v>
      </c>
    </row>
    <row r="796" customFormat="false" ht="15" hidden="false" customHeight="false" outlineLevel="0" collapsed="false">
      <c r="A796" s="10" t="n">
        <v>44852</v>
      </c>
      <c r="B796" s="11" t="s">
        <v>928</v>
      </c>
      <c r="C796" s="11" t="s">
        <v>130</v>
      </c>
      <c r="D796" s="11" t="s">
        <v>118</v>
      </c>
      <c r="E796" s="11" t="s">
        <v>68</v>
      </c>
      <c r="F796" s="12" t="n">
        <v>2852897</v>
      </c>
      <c r="G796" s="12" t="n">
        <v>2450000</v>
      </c>
      <c r="H796" s="11" t="n">
        <v>4</v>
      </c>
      <c r="I796" s="11" t="s">
        <v>69</v>
      </c>
      <c r="J796" s="11" t="s">
        <v>112</v>
      </c>
      <c r="K796" s="11" t="s">
        <v>113</v>
      </c>
      <c r="L796" s="11" t="s">
        <v>82</v>
      </c>
      <c r="M796" s="11" t="s">
        <v>157</v>
      </c>
      <c r="N796" s="11" t="s">
        <v>74</v>
      </c>
      <c r="O796" s="11" t="s">
        <v>75</v>
      </c>
      <c r="P796" s="11" t="s">
        <v>76</v>
      </c>
      <c r="Q796" s="13" t="n">
        <f aca="false">F796*H796</f>
        <v>11411588</v>
      </c>
      <c r="R796" s="13" t="n">
        <f aca="false">G796*H796</f>
        <v>9800000</v>
      </c>
      <c r="S796" s="13" t="n">
        <f aca="false">Q796-R796</f>
        <v>1611588</v>
      </c>
      <c r="T796" s="14" t="n">
        <f aca="false">IFERROR(S796/Q796,0)</f>
        <v>0.141223815651249</v>
      </c>
      <c r="U796" s="15" t="str">
        <f aca="false">TEXT(A796,"yyyy-mm")</f>
        <v>2022-10</v>
      </c>
    </row>
    <row r="797" customFormat="false" ht="15" hidden="false" customHeight="false" outlineLevel="0" collapsed="false">
      <c r="A797" s="10" t="n">
        <v>44853</v>
      </c>
      <c r="B797" s="11" t="s">
        <v>929</v>
      </c>
      <c r="C797" s="11" t="s">
        <v>132</v>
      </c>
      <c r="D797" s="11" t="s">
        <v>118</v>
      </c>
      <c r="E797" s="11" t="s">
        <v>68</v>
      </c>
      <c r="F797" s="12" t="n">
        <v>4803603</v>
      </c>
      <c r="G797" s="12" t="n">
        <v>4121000</v>
      </c>
      <c r="H797" s="11" t="n">
        <v>5</v>
      </c>
      <c r="I797" s="11" t="s">
        <v>86</v>
      </c>
      <c r="J797" s="11" t="s">
        <v>87</v>
      </c>
      <c r="K797" s="11" t="s">
        <v>88</v>
      </c>
      <c r="L797" s="11" t="s">
        <v>89</v>
      </c>
      <c r="M797" s="11" t="s">
        <v>90</v>
      </c>
      <c r="N797" s="11" t="s">
        <v>99</v>
      </c>
      <c r="O797" s="11" t="s">
        <v>100</v>
      </c>
      <c r="P797" s="11" t="s">
        <v>101</v>
      </c>
      <c r="Q797" s="13" t="n">
        <f aca="false">F797*H797</f>
        <v>24018015</v>
      </c>
      <c r="R797" s="13" t="n">
        <f aca="false">G797*H797</f>
        <v>20605000</v>
      </c>
      <c r="S797" s="13" t="n">
        <f aca="false">Q797-R797</f>
        <v>3413015</v>
      </c>
      <c r="T797" s="14" t="n">
        <f aca="false">IFERROR(S797/Q797,0)</f>
        <v>0.142102292799801</v>
      </c>
      <c r="U797" s="15" t="str">
        <f aca="false">TEXT(A797,"yyyy-mm")</f>
        <v>2022-10</v>
      </c>
    </row>
    <row r="798" customFormat="false" ht="15" hidden="false" customHeight="false" outlineLevel="0" collapsed="false">
      <c r="A798" s="10" t="n">
        <v>44853</v>
      </c>
      <c r="B798" s="11" t="s">
        <v>930</v>
      </c>
      <c r="C798" s="11" t="s">
        <v>135</v>
      </c>
      <c r="D798" s="11" t="s">
        <v>118</v>
      </c>
      <c r="E798" s="11" t="s">
        <v>68</v>
      </c>
      <c r="F798" s="12" t="n">
        <v>5689947</v>
      </c>
      <c r="G798" s="12" t="n">
        <v>5235000</v>
      </c>
      <c r="H798" s="11" t="n">
        <v>19</v>
      </c>
      <c r="I798" s="11" t="s">
        <v>69</v>
      </c>
      <c r="J798" s="11" t="s">
        <v>70</v>
      </c>
      <c r="K798" s="11" t="s">
        <v>71</v>
      </c>
      <c r="L798" s="11" t="s">
        <v>72</v>
      </c>
      <c r="M798" s="11" t="s">
        <v>73</v>
      </c>
      <c r="N798" s="11" t="s">
        <v>104</v>
      </c>
      <c r="O798" s="11" t="s">
        <v>105</v>
      </c>
      <c r="P798" s="11" t="s">
        <v>106</v>
      </c>
      <c r="Q798" s="13" t="n">
        <f aca="false">F798*H798</f>
        <v>108108993</v>
      </c>
      <c r="R798" s="13" t="n">
        <f aca="false">G798*H798</f>
        <v>99465000</v>
      </c>
      <c r="S798" s="13" t="n">
        <f aca="false">Q798-R798</f>
        <v>8643993</v>
      </c>
      <c r="T798" s="14" t="n">
        <f aca="false">IFERROR(S798/Q798,0)</f>
        <v>0.0799562807878527</v>
      </c>
      <c r="U798" s="15" t="str">
        <f aca="false">TEXT(A798,"yyyy-mm")</f>
        <v>2022-10</v>
      </c>
    </row>
    <row r="799" customFormat="false" ht="15" hidden="false" customHeight="false" outlineLevel="0" collapsed="false">
      <c r="A799" s="10" t="n">
        <v>44853</v>
      </c>
      <c r="B799" s="11" t="s">
        <v>931</v>
      </c>
      <c r="C799" s="11" t="s">
        <v>137</v>
      </c>
      <c r="D799" s="11" t="s">
        <v>138</v>
      </c>
      <c r="E799" s="11" t="s">
        <v>139</v>
      </c>
      <c r="F799" s="12" t="n">
        <v>5171827</v>
      </c>
      <c r="G799" s="12" t="n">
        <v>4890000</v>
      </c>
      <c r="H799" s="11" t="n">
        <v>15</v>
      </c>
      <c r="I799" s="11" t="s">
        <v>69</v>
      </c>
      <c r="J799" s="11" t="s">
        <v>80</v>
      </c>
      <c r="K799" s="11" t="s">
        <v>81</v>
      </c>
      <c r="L799" s="11" t="s">
        <v>82</v>
      </c>
      <c r="M799" s="11" t="s">
        <v>73</v>
      </c>
      <c r="N799" s="11" t="s">
        <v>149</v>
      </c>
      <c r="O799" s="11" t="s">
        <v>150</v>
      </c>
      <c r="P799" s="11" t="s">
        <v>151</v>
      </c>
      <c r="Q799" s="13" t="n">
        <f aca="false">F799*H799</f>
        <v>77577405</v>
      </c>
      <c r="R799" s="13" t="n">
        <f aca="false">G799*H799</f>
        <v>73350000</v>
      </c>
      <c r="S799" s="13" t="n">
        <f aca="false">Q799-R799</f>
        <v>4227405</v>
      </c>
      <c r="T799" s="14" t="n">
        <f aca="false">IFERROR(S799/Q799,0)</f>
        <v>0.0544927353525166</v>
      </c>
      <c r="U799" s="15" t="str">
        <f aca="false">TEXT(A799,"yyyy-mm")</f>
        <v>2022-10</v>
      </c>
    </row>
    <row r="800" customFormat="false" ht="15" hidden="false" customHeight="false" outlineLevel="0" collapsed="false">
      <c r="A800" s="10" t="n">
        <v>44854</v>
      </c>
      <c r="B800" s="11" t="s">
        <v>932</v>
      </c>
      <c r="C800" s="11" t="s">
        <v>141</v>
      </c>
      <c r="D800" s="11" t="s">
        <v>138</v>
      </c>
      <c r="E800" s="11" t="s">
        <v>142</v>
      </c>
      <c r="F800" s="12" t="n">
        <v>2805124</v>
      </c>
      <c r="G800" s="12" t="n">
        <v>2178000</v>
      </c>
      <c r="H800" s="11" t="n">
        <v>14</v>
      </c>
      <c r="I800" s="11" t="s">
        <v>69</v>
      </c>
      <c r="J800" s="11" t="s">
        <v>70</v>
      </c>
      <c r="K800" s="11" t="s">
        <v>71</v>
      </c>
      <c r="L800" s="11" t="s">
        <v>72</v>
      </c>
      <c r="M800" s="11" t="s">
        <v>73</v>
      </c>
      <c r="N800" s="11" t="s">
        <v>173</v>
      </c>
      <c r="O800" s="11" t="s">
        <v>174</v>
      </c>
      <c r="P800" s="11" t="s">
        <v>95</v>
      </c>
      <c r="Q800" s="13" t="n">
        <f aca="false">F800*H800</f>
        <v>39271736</v>
      </c>
      <c r="R800" s="13" t="n">
        <f aca="false">G800*H800</f>
        <v>30492000</v>
      </c>
      <c r="S800" s="13" t="n">
        <f aca="false">Q800-R800</f>
        <v>8779736</v>
      </c>
      <c r="T800" s="14" t="n">
        <f aca="false">IFERROR(S800/Q800,0)</f>
        <v>0.22356373550688</v>
      </c>
      <c r="U800" s="15" t="str">
        <f aca="false">TEXT(A800,"yyyy-mm")</f>
        <v>2022-10</v>
      </c>
    </row>
    <row r="801" customFormat="false" ht="15" hidden="false" customHeight="false" outlineLevel="0" collapsed="false">
      <c r="A801" s="10" t="n">
        <v>44854</v>
      </c>
      <c r="B801" s="11" t="s">
        <v>933</v>
      </c>
      <c r="C801" s="11" t="s">
        <v>146</v>
      </c>
      <c r="D801" s="11" t="s">
        <v>138</v>
      </c>
      <c r="E801" s="11" t="s">
        <v>139</v>
      </c>
      <c r="F801" s="12" t="n">
        <v>2728100</v>
      </c>
      <c r="G801" s="12" t="n">
        <v>2321000</v>
      </c>
      <c r="H801" s="11" t="n">
        <v>16</v>
      </c>
      <c r="I801" s="11" t="s">
        <v>69</v>
      </c>
      <c r="J801" s="11" t="s">
        <v>70</v>
      </c>
      <c r="K801" s="11" t="s">
        <v>71</v>
      </c>
      <c r="L801" s="11" t="s">
        <v>72</v>
      </c>
      <c r="M801" s="11" t="s">
        <v>73</v>
      </c>
      <c r="N801" s="11" t="s">
        <v>104</v>
      </c>
      <c r="O801" s="11" t="s">
        <v>105</v>
      </c>
      <c r="P801" s="11" t="s">
        <v>106</v>
      </c>
      <c r="Q801" s="13" t="n">
        <f aca="false">F801*H801</f>
        <v>43649600</v>
      </c>
      <c r="R801" s="13" t="n">
        <f aca="false">G801*H801</f>
        <v>37136000</v>
      </c>
      <c r="S801" s="13" t="n">
        <f aca="false">Q801-R801</f>
        <v>6513600</v>
      </c>
      <c r="T801" s="14" t="n">
        <f aca="false">IFERROR(S801/Q801,0)</f>
        <v>0.149224735163667</v>
      </c>
      <c r="U801" s="15" t="str">
        <f aca="false">TEXT(A801,"yyyy-mm")</f>
        <v>2022-10</v>
      </c>
    </row>
    <row r="802" customFormat="false" ht="15" hidden="false" customHeight="false" outlineLevel="0" collapsed="false">
      <c r="A802" s="10" t="n">
        <v>44854</v>
      </c>
      <c r="B802" s="11" t="s">
        <v>934</v>
      </c>
      <c r="C802" s="11" t="s">
        <v>148</v>
      </c>
      <c r="D802" s="11" t="s">
        <v>138</v>
      </c>
      <c r="E802" s="11" t="s">
        <v>122</v>
      </c>
      <c r="F802" s="12" t="n">
        <v>4941716</v>
      </c>
      <c r="G802" s="12" t="n">
        <v>4456000</v>
      </c>
      <c r="H802" s="11" t="n">
        <v>20</v>
      </c>
      <c r="I802" s="11" t="s">
        <v>69</v>
      </c>
      <c r="J802" s="11" t="s">
        <v>70</v>
      </c>
      <c r="K802" s="11" t="s">
        <v>71</v>
      </c>
      <c r="L802" s="11" t="s">
        <v>72</v>
      </c>
      <c r="M802" s="11" t="s">
        <v>73</v>
      </c>
      <c r="N802" s="11" t="s">
        <v>173</v>
      </c>
      <c r="O802" s="11" t="s">
        <v>174</v>
      </c>
      <c r="P802" s="11" t="s">
        <v>95</v>
      </c>
      <c r="Q802" s="13" t="n">
        <f aca="false">F802*H802</f>
        <v>98834320</v>
      </c>
      <c r="R802" s="13" t="n">
        <f aca="false">G802*H802</f>
        <v>89120000</v>
      </c>
      <c r="S802" s="13" t="n">
        <f aca="false">Q802-R802</f>
        <v>9714320</v>
      </c>
      <c r="T802" s="14" t="n">
        <f aca="false">IFERROR(S802/Q802,0)</f>
        <v>0.0982889344511097</v>
      </c>
      <c r="U802" s="15" t="str">
        <f aca="false">TEXT(A802,"yyyy-mm")</f>
        <v>2022-10</v>
      </c>
    </row>
    <row r="803" customFormat="false" ht="15" hidden="false" customHeight="false" outlineLevel="0" collapsed="false">
      <c r="A803" s="10" t="n">
        <v>44855</v>
      </c>
      <c r="B803" s="11" t="s">
        <v>935</v>
      </c>
      <c r="C803" s="11" t="s">
        <v>66</v>
      </c>
      <c r="D803" s="11" t="s">
        <v>67</v>
      </c>
      <c r="E803" s="11" t="s">
        <v>68</v>
      </c>
      <c r="F803" s="12" t="n">
        <v>3048952</v>
      </c>
      <c r="G803" s="12" t="n">
        <v>2560000</v>
      </c>
      <c r="H803" s="11" t="n">
        <v>14</v>
      </c>
      <c r="I803" s="11" t="s">
        <v>69</v>
      </c>
      <c r="J803" s="11" t="s">
        <v>80</v>
      </c>
      <c r="K803" s="11" t="s">
        <v>81</v>
      </c>
      <c r="L803" s="11" t="s">
        <v>82</v>
      </c>
      <c r="M803" s="11" t="s">
        <v>73</v>
      </c>
      <c r="N803" s="11" t="s">
        <v>173</v>
      </c>
      <c r="O803" s="11" t="s">
        <v>174</v>
      </c>
      <c r="P803" s="11" t="s">
        <v>95</v>
      </c>
      <c r="Q803" s="13" t="n">
        <f aca="false">F803*H803</f>
        <v>42685328</v>
      </c>
      <c r="R803" s="13" t="n">
        <f aca="false">G803*H803</f>
        <v>35840000</v>
      </c>
      <c r="S803" s="13" t="n">
        <f aca="false">Q803-R803</f>
        <v>6845328</v>
      </c>
      <c r="T803" s="14" t="n">
        <f aca="false">IFERROR(S803/Q803,0)</f>
        <v>0.160367234380863</v>
      </c>
      <c r="U803" s="15" t="str">
        <f aca="false">TEXT(A803,"yyyy-mm")</f>
        <v>2022-10</v>
      </c>
    </row>
    <row r="804" customFormat="false" ht="15" hidden="false" customHeight="false" outlineLevel="0" collapsed="false">
      <c r="A804" s="10" t="n">
        <v>44855</v>
      </c>
      <c r="B804" s="11" t="s">
        <v>936</v>
      </c>
      <c r="C804" s="11" t="s">
        <v>78</v>
      </c>
      <c r="D804" s="11" t="s">
        <v>67</v>
      </c>
      <c r="E804" s="11" t="s">
        <v>79</v>
      </c>
      <c r="F804" s="12" t="n">
        <v>1870000</v>
      </c>
      <c r="G804" s="12" t="n">
        <v>1650000</v>
      </c>
      <c r="H804" s="11" t="n">
        <v>19</v>
      </c>
      <c r="I804" s="11" t="s">
        <v>86</v>
      </c>
      <c r="J804" s="11" t="s">
        <v>87</v>
      </c>
      <c r="K804" s="11" t="s">
        <v>88</v>
      </c>
      <c r="L804" s="11" t="s">
        <v>89</v>
      </c>
      <c r="M804" s="11" t="s">
        <v>90</v>
      </c>
      <c r="N804" s="11" t="s">
        <v>109</v>
      </c>
      <c r="O804" s="11" t="s">
        <v>75</v>
      </c>
      <c r="P804" s="11" t="s">
        <v>95</v>
      </c>
      <c r="Q804" s="13" t="n">
        <f aca="false">F804*H804</f>
        <v>35530000</v>
      </c>
      <c r="R804" s="13" t="n">
        <f aca="false">G804*H804</f>
        <v>31350000</v>
      </c>
      <c r="S804" s="13" t="n">
        <f aca="false">Q804-R804</f>
        <v>4180000</v>
      </c>
      <c r="T804" s="14" t="n">
        <f aca="false">IFERROR(S804/Q804,0)</f>
        <v>0.117647058823529</v>
      </c>
      <c r="U804" s="15" t="str">
        <f aca="false">TEXT(A804,"yyyy-mm")</f>
        <v>2022-10</v>
      </c>
    </row>
    <row r="805" customFormat="false" ht="15" hidden="false" customHeight="false" outlineLevel="0" collapsed="false">
      <c r="A805" s="10" t="n">
        <v>44855</v>
      </c>
      <c r="B805" s="11" t="s">
        <v>937</v>
      </c>
      <c r="C805" s="11" t="s">
        <v>84</v>
      </c>
      <c r="D805" s="11" t="s">
        <v>67</v>
      </c>
      <c r="E805" s="11" t="s">
        <v>85</v>
      </c>
      <c r="F805" s="12" t="n">
        <v>2600000</v>
      </c>
      <c r="G805" s="12" t="n">
        <v>2300000</v>
      </c>
      <c r="H805" s="11" t="n">
        <v>13</v>
      </c>
      <c r="I805" s="11" t="s">
        <v>69</v>
      </c>
      <c r="J805" s="11" t="s">
        <v>112</v>
      </c>
      <c r="K805" s="11" t="s">
        <v>113</v>
      </c>
      <c r="L805" s="11" t="s">
        <v>82</v>
      </c>
      <c r="M805" s="11" t="s">
        <v>157</v>
      </c>
      <c r="N805" s="11" t="s">
        <v>133</v>
      </c>
      <c r="O805" s="11" t="s">
        <v>60</v>
      </c>
      <c r="P805" s="11" t="s">
        <v>76</v>
      </c>
      <c r="Q805" s="13" t="n">
        <f aca="false">F805*H805</f>
        <v>33800000</v>
      </c>
      <c r="R805" s="13" t="n">
        <f aca="false">G805*H805</f>
        <v>29900000</v>
      </c>
      <c r="S805" s="13" t="n">
        <f aca="false">Q805-R805</f>
        <v>3900000</v>
      </c>
      <c r="T805" s="14" t="n">
        <f aca="false">IFERROR(S805/Q805,0)</f>
        <v>0.115384615384615</v>
      </c>
      <c r="U805" s="15" t="str">
        <f aca="false">TEXT(A805,"yyyy-mm")</f>
        <v>2022-10</v>
      </c>
    </row>
    <row r="806" customFormat="false" ht="15" hidden="false" customHeight="false" outlineLevel="0" collapsed="false">
      <c r="A806" s="10" t="n">
        <v>44855</v>
      </c>
      <c r="B806" s="11" t="s">
        <v>938</v>
      </c>
      <c r="C806" s="11" t="s">
        <v>92</v>
      </c>
      <c r="D806" s="11" t="s">
        <v>67</v>
      </c>
      <c r="E806" s="11" t="s">
        <v>79</v>
      </c>
      <c r="F806" s="12" t="n">
        <v>3577480</v>
      </c>
      <c r="G806" s="12" t="n">
        <v>3100000</v>
      </c>
      <c r="H806" s="11" t="n">
        <v>22</v>
      </c>
      <c r="I806" s="11" t="s">
        <v>69</v>
      </c>
      <c r="J806" s="11" t="s">
        <v>112</v>
      </c>
      <c r="K806" s="11" t="s">
        <v>113</v>
      </c>
      <c r="L806" s="11" t="s">
        <v>82</v>
      </c>
      <c r="M806" s="11" t="s">
        <v>157</v>
      </c>
      <c r="N806" s="11" t="s">
        <v>173</v>
      </c>
      <c r="O806" s="11" t="s">
        <v>174</v>
      </c>
      <c r="P806" s="11" t="s">
        <v>95</v>
      </c>
      <c r="Q806" s="13" t="n">
        <f aca="false">F806*H806</f>
        <v>78704560</v>
      </c>
      <c r="R806" s="13" t="n">
        <f aca="false">G806*H806</f>
        <v>68200000</v>
      </c>
      <c r="S806" s="13" t="n">
        <f aca="false">Q806-R806</f>
        <v>10504560</v>
      </c>
      <c r="T806" s="14" t="n">
        <f aca="false">IFERROR(S806/Q806,0)</f>
        <v>0.133468251394837</v>
      </c>
      <c r="U806" s="15" t="str">
        <f aca="false">TEXT(A806,"yyyy-mm")</f>
        <v>2022-10</v>
      </c>
    </row>
    <row r="807" customFormat="false" ht="15" hidden="false" customHeight="false" outlineLevel="0" collapsed="false">
      <c r="A807" s="10" t="n">
        <v>44855</v>
      </c>
      <c r="B807" s="11" t="s">
        <v>939</v>
      </c>
      <c r="C807" s="11" t="s">
        <v>97</v>
      </c>
      <c r="D807" s="11" t="s">
        <v>67</v>
      </c>
      <c r="E807" s="11" t="s">
        <v>98</v>
      </c>
      <c r="F807" s="12" t="n">
        <v>4969724</v>
      </c>
      <c r="G807" s="12" t="n">
        <v>4121560</v>
      </c>
      <c r="H807" s="11" t="n">
        <v>18</v>
      </c>
      <c r="I807" s="11" t="s">
        <v>69</v>
      </c>
      <c r="J807" s="11" t="s">
        <v>80</v>
      </c>
      <c r="K807" s="11" t="s">
        <v>81</v>
      </c>
      <c r="L807" s="11" t="s">
        <v>82</v>
      </c>
      <c r="M807" s="11" t="s">
        <v>73</v>
      </c>
      <c r="N807" s="11" t="s">
        <v>99</v>
      </c>
      <c r="O807" s="11" t="s">
        <v>100</v>
      </c>
      <c r="P807" s="11" t="s">
        <v>101</v>
      </c>
      <c r="Q807" s="13" t="n">
        <f aca="false">F807*H807</f>
        <v>89455032</v>
      </c>
      <c r="R807" s="13" t="n">
        <f aca="false">G807*H807</f>
        <v>74188080</v>
      </c>
      <c r="S807" s="13" t="n">
        <f aca="false">Q807-R807</f>
        <v>15266952</v>
      </c>
      <c r="T807" s="14" t="n">
        <f aca="false">IFERROR(S807/Q807,0)</f>
        <v>0.170666218083741</v>
      </c>
      <c r="U807" s="15" t="str">
        <f aca="false">TEXT(A807,"yyyy-mm")</f>
        <v>2022-10</v>
      </c>
    </row>
    <row r="808" customFormat="false" ht="15" hidden="false" customHeight="false" outlineLevel="0" collapsed="false">
      <c r="A808" s="10" t="n">
        <v>44856</v>
      </c>
      <c r="B808" s="11" t="s">
        <v>940</v>
      </c>
      <c r="C808" s="11" t="s">
        <v>103</v>
      </c>
      <c r="D808" s="11" t="s">
        <v>67</v>
      </c>
      <c r="E808" s="11" t="s">
        <v>68</v>
      </c>
      <c r="F808" s="12" t="n">
        <v>3319925</v>
      </c>
      <c r="G808" s="12" t="n">
        <v>2800000</v>
      </c>
      <c r="H808" s="11" t="n">
        <v>19</v>
      </c>
      <c r="I808" s="11" t="s">
        <v>69</v>
      </c>
      <c r="J808" s="11" t="s">
        <v>80</v>
      </c>
      <c r="K808" s="11" t="s">
        <v>81</v>
      </c>
      <c r="L808" s="11" t="s">
        <v>82</v>
      </c>
      <c r="M808" s="11" t="s">
        <v>73</v>
      </c>
      <c r="N808" s="11" t="s">
        <v>133</v>
      </c>
      <c r="O808" s="11" t="s">
        <v>60</v>
      </c>
      <c r="P808" s="11" t="s">
        <v>76</v>
      </c>
      <c r="Q808" s="13" t="n">
        <f aca="false">F808*H808</f>
        <v>63078575</v>
      </c>
      <c r="R808" s="13" t="n">
        <f aca="false">G808*H808</f>
        <v>53200000</v>
      </c>
      <c r="S808" s="13" t="n">
        <f aca="false">Q808-R808</f>
        <v>9878575</v>
      </c>
      <c r="T808" s="14" t="n">
        <f aca="false">IFERROR(S808/Q808,0)</f>
        <v>0.15660745348163</v>
      </c>
      <c r="U808" s="15" t="str">
        <f aca="false">TEXT(A808,"yyyy-mm")</f>
        <v>2022-10</v>
      </c>
    </row>
    <row r="809" customFormat="false" ht="15" hidden="false" customHeight="false" outlineLevel="0" collapsed="false">
      <c r="A809" s="10" t="n">
        <v>44856</v>
      </c>
      <c r="B809" s="11" t="s">
        <v>941</v>
      </c>
      <c r="C809" s="11" t="s">
        <v>108</v>
      </c>
      <c r="D809" s="11" t="s">
        <v>67</v>
      </c>
      <c r="E809" s="11" t="s">
        <v>68</v>
      </c>
      <c r="F809" s="12" t="n">
        <v>4757880</v>
      </c>
      <c r="G809" s="12" t="n">
        <v>3450000</v>
      </c>
      <c r="H809" s="11" t="n">
        <v>7</v>
      </c>
      <c r="I809" s="11" t="s">
        <v>69</v>
      </c>
      <c r="J809" s="11" t="s">
        <v>112</v>
      </c>
      <c r="K809" s="11" t="s">
        <v>113</v>
      </c>
      <c r="L809" s="11" t="s">
        <v>82</v>
      </c>
      <c r="M809" s="11" t="s">
        <v>157</v>
      </c>
      <c r="N809" s="11" t="s">
        <v>93</v>
      </c>
      <c r="O809" s="11" t="s">
        <v>94</v>
      </c>
      <c r="P809" s="11" t="s">
        <v>95</v>
      </c>
      <c r="Q809" s="13" t="n">
        <f aca="false">F809*H809</f>
        <v>33305160</v>
      </c>
      <c r="R809" s="13" t="n">
        <f aca="false">G809*H809</f>
        <v>24150000</v>
      </c>
      <c r="S809" s="13" t="n">
        <f aca="false">Q809-R809</f>
        <v>9155160</v>
      </c>
      <c r="T809" s="14" t="n">
        <f aca="false">IFERROR(S809/Q809,0)</f>
        <v>0.274887134606169</v>
      </c>
      <c r="U809" s="15" t="str">
        <f aca="false">TEXT(A809,"yyyy-mm")</f>
        <v>2022-10</v>
      </c>
    </row>
    <row r="810" customFormat="false" ht="15" hidden="false" customHeight="false" outlineLevel="0" collapsed="false">
      <c r="A810" s="10" t="n">
        <v>44857</v>
      </c>
      <c r="B810" s="11" t="s">
        <v>942</v>
      </c>
      <c r="C810" s="11" t="s">
        <v>111</v>
      </c>
      <c r="D810" s="11" t="s">
        <v>67</v>
      </c>
      <c r="E810" s="11" t="s">
        <v>79</v>
      </c>
      <c r="F810" s="12" t="n">
        <v>3545808</v>
      </c>
      <c r="G810" s="12" t="n">
        <v>3350000</v>
      </c>
      <c r="H810" s="11" t="n">
        <v>8</v>
      </c>
      <c r="I810" s="11" t="s">
        <v>69</v>
      </c>
      <c r="J810" s="11" t="s">
        <v>80</v>
      </c>
      <c r="K810" s="11" t="s">
        <v>81</v>
      </c>
      <c r="L810" s="11" t="s">
        <v>82</v>
      </c>
      <c r="M810" s="11" t="s">
        <v>73</v>
      </c>
      <c r="N810" s="11" t="s">
        <v>104</v>
      </c>
      <c r="O810" s="11" t="s">
        <v>105</v>
      </c>
      <c r="P810" s="11" t="s">
        <v>106</v>
      </c>
      <c r="Q810" s="13" t="n">
        <f aca="false">F810*H810</f>
        <v>28366464</v>
      </c>
      <c r="R810" s="13" t="n">
        <f aca="false">G810*H810</f>
        <v>26800000</v>
      </c>
      <c r="S810" s="13" t="n">
        <f aca="false">Q810-R810</f>
        <v>1566464</v>
      </c>
      <c r="T810" s="14" t="n">
        <f aca="false">IFERROR(S810/Q810,0)</f>
        <v>0.0552223921881839</v>
      </c>
      <c r="U810" s="15" t="str">
        <f aca="false">TEXT(A810,"yyyy-mm")</f>
        <v>2022-10</v>
      </c>
    </row>
    <row r="811" customFormat="false" ht="15" hidden="false" customHeight="false" outlineLevel="0" collapsed="false">
      <c r="A811" s="10" t="n">
        <v>44859</v>
      </c>
      <c r="B811" s="11" t="s">
        <v>943</v>
      </c>
      <c r="C811" s="11" t="s">
        <v>115</v>
      </c>
      <c r="D811" s="11" t="s">
        <v>67</v>
      </c>
      <c r="E811" s="11" t="s">
        <v>98</v>
      </c>
      <c r="F811" s="12" t="n">
        <v>4200743</v>
      </c>
      <c r="G811" s="12" t="n">
        <v>4101000</v>
      </c>
      <c r="H811" s="11" t="n">
        <v>3</v>
      </c>
      <c r="I811" s="11" t="s">
        <v>69</v>
      </c>
      <c r="J811" s="11" t="s">
        <v>80</v>
      </c>
      <c r="K811" s="11" t="s">
        <v>81</v>
      </c>
      <c r="L811" s="11" t="s">
        <v>82</v>
      </c>
      <c r="M811" s="11" t="s">
        <v>73</v>
      </c>
      <c r="N811" s="11" t="s">
        <v>149</v>
      </c>
      <c r="O811" s="11" t="s">
        <v>150</v>
      </c>
      <c r="P811" s="11" t="s">
        <v>151</v>
      </c>
      <c r="Q811" s="13" t="n">
        <f aca="false">F811*H811</f>
        <v>12602229</v>
      </c>
      <c r="R811" s="13" t="n">
        <f aca="false">G811*H811</f>
        <v>12303000</v>
      </c>
      <c r="S811" s="13" t="n">
        <f aca="false">Q811-R811</f>
        <v>299229</v>
      </c>
      <c r="T811" s="14" t="n">
        <f aca="false">IFERROR(S811/Q811,0)</f>
        <v>0.023744132883159</v>
      </c>
      <c r="U811" s="15" t="str">
        <f aca="false">TEXT(A811,"yyyy-mm")</f>
        <v>2022-10</v>
      </c>
    </row>
    <row r="812" customFormat="false" ht="15" hidden="false" customHeight="false" outlineLevel="0" collapsed="false">
      <c r="A812" s="10" t="n">
        <v>44860</v>
      </c>
      <c r="B812" s="11" t="s">
        <v>944</v>
      </c>
      <c r="C812" s="11" t="s">
        <v>117</v>
      </c>
      <c r="D812" s="11" t="s">
        <v>118</v>
      </c>
      <c r="E812" s="11" t="s">
        <v>119</v>
      </c>
      <c r="F812" s="12" t="n">
        <v>8220549</v>
      </c>
      <c r="G812" s="12" t="n">
        <v>6500000</v>
      </c>
      <c r="H812" s="11" t="n">
        <v>11</v>
      </c>
      <c r="I812" s="11" t="s">
        <v>69</v>
      </c>
      <c r="J812" s="11" t="s">
        <v>80</v>
      </c>
      <c r="K812" s="11" t="s">
        <v>81</v>
      </c>
      <c r="L812" s="11" t="s">
        <v>82</v>
      </c>
      <c r="M812" s="11" t="s">
        <v>73</v>
      </c>
      <c r="N812" s="11" t="s">
        <v>149</v>
      </c>
      <c r="O812" s="11" t="s">
        <v>150</v>
      </c>
      <c r="P812" s="11" t="s">
        <v>151</v>
      </c>
      <c r="Q812" s="13" t="n">
        <f aca="false">F812*H812</f>
        <v>90426039</v>
      </c>
      <c r="R812" s="13" t="n">
        <f aca="false">G812*H812</f>
        <v>71500000</v>
      </c>
      <c r="S812" s="13" t="n">
        <f aca="false">Q812-R812</f>
        <v>18926039</v>
      </c>
      <c r="T812" s="14" t="n">
        <f aca="false">IFERROR(S812/Q812,0)</f>
        <v>0.209298551714733</v>
      </c>
      <c r="U812" s="15" t="str">
        <f aca="false">TEXT(A812,"yyyy-mm")</f>
        <v>2022-10</v>
      </c>
    </row>
    <row r="813" customFormat="false" ht="15" hidden="false" customHeight="false" outlineLevel="0" collapsed="false">
      <c r="A813" s="10" t="n">
        <v>44860</v>
      </c>
      <c r="B813" s="11" t="s">
        <v>945</v>
      </c>
      <c r="C813" s="11" t="s">
        <v>121</v>
      </c>
      <c r="D813" s="11" t="s">
        <v>118</v>
      </c>
      <c r="E813" s="11" t="s">
        <v>122</v>
      </c>
      <c r="F813" s="12" t="n">
        <v>7687274</v>
      </c>
      <c r="G813" s="12" t="n">
        <v>6500000</v>
      </c>
      <c r="H813" s="11" t="n">
        <v>3</v>
      </c>
      <c r="I813" s="11" t="s">
        <v>69</v>
      </c>
      <c r="J813" s="11" t="s">
        <v>80</v>
      </c>
      <c r="K813" s="11" t="s">
        <v>81</v>
      </c>
      <c r="L813" s="11" t="s">
        <v>82</v>
      </c>
      <c r="M813" s="11" t="s">
        <v>73</v>
      </c>
      <c r="N813" s="11" t="s">
        <v>173</v>
      </c>
      <c r="O813" s="11" t="s">
        <v>174</v>
      </c>
      <c r="P813" s="11" t="s">
        <v>95</v>
      </c>
      <c r="Q813" s="13" t="n">
        <f aca="false">F813*H813</f>
        <v>23061822</v>
      </c>
      <c r="R813" s="13" t="n">
        <f aca="false">G813*H813</f>
        <v>19500000</v>
      </c>
      <c r="S813" s="13" t="n">
        <f aca="false">Q813-R813</f>
        <v>3561822</v>
      </c>
      <c r="T813" s="14" t="n">
        <f aca="false">IFERROR(S813/Q813,0)</f>
        <v>0.154446686822923</v>
      </c>
      <c r="U813" s="15" t="str">
        <f aca="false">TEXT(A813,"yyyy-mm")</f>
        <v>2022-10</v>
      </c>
    </row>
    <row r="814" customFormat="false" ht="15" hidden="false" customHeight="false" outlineLevel="0" collapsed="false">
      <c r="A814" s="10" t="n">
        <v>44860</v>
      </c>
      <c r="B814" s="11" t="s">
        <v>946</v>
      </c>
      <c r="C814" s="11" t="s">
        <v>125</v>
      </c>
      <c r="D814" s="11" t="s">
        <v>118</v>
      </c>
      <c r="E814" s="11" t="s">
        <v>126</v>
      </c>
      <c r="F814" s="12" t="n">
        <v>5684211</v>
      </c>
      <c r="G814" s="12" t="n">
        <v>4300000</v>
      </c>
      <c r="H814" s="11" t="n">
        <v>1</v>
      </c>
      <c r="I814" s="11" t="s">
        <v>86</v>
      </c>
      <c r="J814" s="11" t="s">
        <v>87</v>
      </c>
      <c r="K814" s="11" t="s">
        <v>88</v>
      </c>
      <c r="L814" s="11" t="s">
        <v>89</v>
      </c>
      <c r="M814" s="11" t="s">
        <v>90</v>
      </c>
      <c r="N814" s="11" t="s">
        <v>143</v>
      </c>
      <c r="O814" s="11" t="s">
        <v>144</v>
      </c>
      <c r="P814" s="11" t="s">
        <v>101</v>
      </c>
      <c r="Q814" s="13" t="n">
        <f aca="false">F814*H814</f>
        <v>5684211</v>
      </c>
      <c r="R814" s="13" t="n">
        <f aca="false">G814*H814</f>
        <v>4300000</v>
      </c>
      <c r="S814" s="13" t="n">
        <f aca="false">Q814-R814</f>
        <v>1384211</v>
      </c>
      <c r="T814" s="14" t="n">
        <f aca="false">IFERROR(S814/Q814,0)</f>
        <v>0.243518581558637</v>
      </c>
      <c r="U814" s="15" t="str">
        <f aca="false">TEXT(A814,"yyyy-mm")</f>
        <v>2022-10</v>
      </c>
    </row>
    <row r="815" customFormat="false" ht="15" hidden="false" customHeight="false" outlineLevel="0" collapsed="false">
      <c r="A815" s="10" t="n">
        <v>44860</v>
      </c>
      <c r="B815" s="11" t="s">
        <v>947</v>
      </c>
      <c r="C815" s="11" t="s">
        <v>128</v>
      </c>
      <c r="D815" s="11" t="s">
        <v>118</v>
      </c>
      <c r="E815" s="11" t="s">
        <v>119</v>
      </c>
      <c r="F815" s="12" t="n">
        <v>3370302</v>
      </c>
      <c r="G815" s="12" t="n">
        <v>2100000</v>
      </c>
      <c r="H815" s="11" t="n">
        <v>20</v>
      </c>
      <c r="I815" s="11" t="s">
        <v>69</v>
      </c>
      <c r="J815" s="11" t="s">
        <v>80</v>
      </c>
      <c r="K815" s="11" t="s">
        <v>81</v>
      </c>
      <c r="L815" s="11" t="s">
        <v>82</v>
      </c>
      <c r="M815" s="11" t="s">
        <v>73</v>
      </c>
      <c r="N815" s="11" t="s">
        <v>173</v>
      </c>
      <c r="O815" s="11" t="s">
        <v>174</v>
      </c>
      <c r="P815" s="11" t="s">
        <v>95</v>
      </c>
      <c r="Q815" s="13" t="n">
        <f aca="false">F815*H815</f>
        <v>67406040</v>
      </c>
      <c r="R815" s="13" t="n">
        <f aca="false">G815*H815</f>
        <v>42000000</v>
      </c>
      <c r="S815" s="13" t="n">
        <f aca="false">Q815-R815</f>
        <v>25406040</v>
      </c>
      <c r="T815" s="14" t="n">
        <f aca="false">IFERROR(S815/Q815,0)</f>
        <v>0.37691043710623</v>
      </c>
      <c r="U815" s="15" t="str">
        <f aca="false">TEXT(A815,"yyyy-mm")</f>
        <v>2022-10</v>
      </c>
    </row>
    <row r="816" customFormat="false" ht="15" hidden="false" customHeight="false" outlineLevel="0" collapsed="false">
      <c r="A816" s="10" t="n">
        <v>44861</v>
      </c>
      <c r="B816" s="11" t="s">
        <v>948</v>
      </c>
      <c r="C816" s="11" t="s">
        <v>130</v>
      </c>
      <c r="D816" s="11" t="s">
        <v>118</v>
      </c>
      <c r="E816" s="11" t="s">
        <v>68</v>
      </c>
      <c r="F816" s="12" t="n">
        <v>2852897</v>
      </c>
      <c r="G816" s="12" t="n">
        <v>2450000</v>
      </c>
      <c r="H816" s="11" t="n">
        <v>10</v>
      </c>
      <c r="I816" s="11" t="s">
        <v>86</v>
      </c>
      <c r="J816" s="11" t="s">
        <v>87</v>
      </c>
      <c r="K816" s="11" t="s">
        <v>88</v>
      </c>
      <c r="L816" s="11" t="s">
        <v>89</v>
      </c>
      <c r="M816" s="11" t="s">
        <v>90</v>
      </c>
      <c r="N816" s="11" t="s">
        <v>104</v>
      </c>
      <c r="O816" s="11" t="s">
        <v>105</v>
      </c>
      <c r="P816" s="11" t="s">
        <v>106</v>
      </c>
      <c r="Q816" s="13" t="n">
        <f aca="false">F816*H816</f>
        <v>28528970</v>
      </c>
      <c r="R816" s="13" t="n">
        <f aca="false">G816*H816</f>
        <v>24500000</v>
      </c>
      <c r="S816" s="13" t="n">
        <f aca="false">Q816-R816</f>
        <v>4028970</v>
      </c>
      <c r="T816" s="14" t="n">
        <f aca="false">IFERROR(S816/Q816,0)</f>
        <v>0.141223815651249</v>
      </c>
      <c r="U816" s="15" t="str">
        <f aca="false">TEXT(A816,"yyyy-mm")</f>
        <v>2022-10</v>
      </c>
    </row>
    <row r="817" customFormat="false" ht="15" hidden="false" customHeight="false" outlineLevel="0" collapsed="false">
      <c r="A817" s="10" t="n">
        <v>44862</v>
      </c>
      <c r="B817" s="11" t="s">
        <v>949</v>
      </c>
      <c r="C817" s="11" t="s">
        <v>132</v>
      </c>
      <c r="D817" s="11" t="s">
        <v>118</v>
      </c>
      <c r="E817" s="11" t="s">
        <v>68</v>
      </c>
      <c r="F817" s="12" t="n">
        <v>4803603</v>
      </c>
      <c r="G817" s="12" t="n">
        <v>4121000</v>
      </c>
      <c r="H817" s="11" t="n">
        <v>16</v>
      </c>
      <c r="I817" s="11" t="s">
        <v>69</v>
      </c>
      <c r="J817" s="11" t="s">
        <v>112</v>
      </c>
      <c r="K817" s="11" t="s">
        <v>113</v>
      </c>
      <c r="L817" s="11" t="s">
        <v>82</v>
      </c>
      <c r="M817" s="11" t="s">
        <v>157</v>
      </c>
      <c r="N817" s="11" t="s">
        <v>123</v>
      </c>
      <c r="O817" s="11" t="s">
        <v>60</v>
      </c>
      <c r="P817" s="11" t="s">
        <v>106</v>
      </c>
      <c r="Q817" s="13" t="n">
        <f aca="false">F817*H817</f>
        <v>76857648</v>
      </c>
      <c r="R817" s="13" t="n">
        <f aca="false">G817*H817</f>
        <v>65936000</v>
      </c>
      <c r="S817" s="13" t="n">
        <f aca="false">Q817-R817</f>
        <v>10921648</v>
      </c>
      <c r="T817" s="14" t="n">
        <f aca="false">IFERROR(S817/Q817,0)</f>
        <v>0.142102292799801</v>
      </c>
      <c r="U817" s="15" t="str">
        <f aca="false">TEXT(A817,"yyyy-mm")</f>
        <v>2022-10</v>
      </c>
    </row>
    <row r="818" customFormat="false" ht="15" hidden="false" customHeight="false" outlineLevel="0" collapsed="false">
      <c r="A818" s="10" t="n">
        <v>44862</v>
      </c>
      <c r="B818" s="11" t="s">
        <v>950</v>
      </c>
      <c r="C818" s="11" t="s">
        <v>135</v>
      </c>
      <c r="D818" s="11" t="s">
        <v>118</v>
      </c>
      <c r="E818" s="11" t="s">
        <v>68</v>
      </c>
      <c r="F818" s="12" t="n">
        <v>5689947</v>
      </c>
      <c r="G818" s="12" t="n">
        <v>5235000</v>
      </c>
      <c r="H818" s="11" t="n">
        <v>23</v>
      </c>
      <c r="I818" s="11" t="s">
        <v>86</v>
      </c>
      <c r="J818" s="11" t="s">
        <v>87</v>
      </c>
      <c r="K818" s="11" t="s">
        <v>88</v>
      </c>
      <c r="L818" s="11" t="s">
        <v>89</v>
      </c>
      <c r="M818" s="11" t="s">
        <v>90</v>
      </c>
      <c r="N818" s="11" t="s">
        <v>149</v>
      </c>
      <c r="O818" s="11" t="s">
        <v>150</v>
      </c>
      <c r="P818" s="11" t="s">
        <v>151</v>
      </c>
      <c r="Q818" s="13" t="n">
        <f aca="false">F818*H818</f>
        <v>130868781</v>
      </c>
      <c r="R818" s="13" t="n">
        <f aca="false">G818*H818</f>
        <v>120405000</v>
      </c>
      <c r="S818" s="13" t="n">
        <f aca="false">Q818-R818</f>
        <v>10463781</v>
      </c>
      <c r="T818" s="14" t="n">
        <f aca="false">IFERROR(S818/Q818,0)</f>
        <v>0.0799562807878527</v>
      </c>
      <c r="U818" s="15" t="str">
        <f aca="false">TEXT(A818,"yyyy-mm")</f>
        <v>2022-10</v>
      </c>
    </row>
    <row r="819" customFormat="false" ht="15" hidden="false" customHeight="false" outlineLevel="0" collapsed="false">
      <c r="A819" s="10" t="n">
        <v>44862</v>
      </c>
      <c r="B819" s="11" t="s">
        <v>951</v>
      </c>
      <c r="C819" s="11" t="s">
        <v>137</v>
      </c>
      <c r="D819" s="11" t="s">
        <v>138</v>
      </c>
      <c r="E819" s="11" t="s">
        <v>139</v>
      </c>
      <c r="F819" s="12" t="n">
        <v>5171827</v>
      </c>
      <c r="G819" s="12" t="n">
        <v>4890000</v>
      </c>
      <c r="H819" s="11" t="n">
        <v>16</v>
      </c>
      <c r="I819" s="11" t="s">
        <v>86</v>
      </c>
      <c r="J819" s="11" t="s">
        <v>87</v>
      </c>
      <c r="K819" s="11" t="s">
        <v>88</v>
      </c>
      <c r="L819" s="11" t="s">
        <v>89</v>
      </c>
      <c r="M819" s="11" t="s">
        <v>90</v>
      </c>
      <c r="N819" s="11" t="s">
        <v>93</v>
      </c>
      <c r="O819" s="11" t="s">
        <v>94</v>
      </c>
      <c r="P819" s="11" t="s">
        <v>95</v>
      </c>
      <c r="Q819" s="13" t="n">
        <f aca="false">F819*H819</f>
        <v>82749232</v>
      </c>
      <c r="R819" s="13" t="n">
        <f aca="false">G819*H819</f>
        <v>78240000</v>
      </c>
      <c r="S819" s="13" t="n">
        <f aca="false">Q819-R819</f>
        <v>4509232</v>
      </c>
      <c r="T819" s="14" t="n">
        <f aca="false">IFERROR(S819/Q819,0)</f>
        <v>0.0544927353525166</v>
      </c>
      <c r="U819" s="15" t="str">
        <f aca="false">TEXT(A819,"yyyy-mm")</f>
        <v>2022-10</v>
      </c>
    </row>
    <row r="820" customFormat="false" ht="15" hidden="false" customHeight="false" outlineLevel="0" collapsed="false">
      <c r="A820" s="10" t="n">
        <v>44862</v>
      </c>
      <c r="B820" s="11" t="s">
        <v>952</v>
      </c>
      <c r="C820" s="11" t="s">
        <v>141</v>
      </c>
      <c r="D820" s="11" t="s">
        <v>138</v>
      </c>
      <c r="E820" s="11" t="s">
        <v>142</v>
      </c>
      <c r="F820" s="12" t="n">
        <v>2805124</v>
      </c>
      <c r="G820" s="12" t="n">
        <v>2178000</v>
      </c>
      <c r="H820" s="11" t="n">
        <v>7</v>
      </c>
      <c r="I820" s="11" t="s">
        <v>69</v>
      </c>
      <c r="J820" s="11" t="s">
        <v>80</v>
      </c>
      <c r="K820" s="11" t="s">
        <v>81</v>
      </c>
      <c r="L820" s="11" t="s">
        <v>82</v>
      </c>
      <c r="M820" s="11" t="s">
        <v>73</v>
      </c>
      <c r="N820" s="11" t="s">
        <v>133</v>
      </c>
      <c r="O820" s="11" t="s">
        <v>60</v>
      </c>
      <c r="P820" s="11" t="s">
        <v>76</v>
      </c>
      <c r="Q820" s="13" t="n">
        <f aca="false">F820*H820</f>
        <v>19635868</v>
      </c>
      <c r="R820" s="13" t="n">
        <f aca="false">G820*H820</f>
        <v>15246000</v>
      </c>
      <c r="S820" s="13" t="n">
        <f aca="false">Q820-R820</f>
        <v>4389868</v>
      </c>
      <c r="T820" s="14" t="n">
        <f aca="false">IFERROR(S820/Q820,0)</f>
        <v>0.22356373550688</v>
      </c>
      <c r="U820" s="15" t="str">
        <f aca="false">TEXT(A820,"yyyy-mm")</f>
        <v>2022-10</v>
      </c>
    </row>
    <row r="821" customFormat="false" ht="15" hidden="false" customHeight="false" outlineLevel="0" collapsed="false">
      <c r="A821" s="10" t="n">
        <v>44863</v>
      </c>
      <c r="B821" s="11" t="s">
        <v>953</v>
      </c>
      <c r="C821" s="11" t="s">
        <v>146</v>
      </c>
      <c r="D821" s="11" t="s">
        <v>138</v>
      </c>
      <c r="E821" s="11" t="s">
        <v>139</v>
      </c>
      <c r="F821" s="12" t="n">
        <v>2728100</v>
      </c>
      <c r="G821" s="12" t="n">
        <v>2321000</v>
      </c>
      <c r="H821" s="11" t="n">
        <v>13</v>
      </c>
      <c r="I821" s="11" t="s">
        <v>86</v>
      </c>
      <c r="J821" s="11" t="s">
        <v>87</v>
      </c>
      <c r="K821" s="11" t="s">
        <v>88</v>
      </c>
      <c r="L821" s="11" t="s">
        <v>89</v>
      </c>
      <c r="M821" s="11" t="s">
        <v>90</v>
      </c>
      <c r="N821" s="11" t="s">
        <v>143</v>
      </c>
      <c r="O821" s="11" t="s">
        <v>144</v>
      </c>
      <c r="P821" s="11" t="s">
        <v>101</v>
      </c>
      <c r="Q821" s="13" t="n">
        <f aca="false">F821*H821</f>
        <v>35465300</v>
      </c>
      <c r="R821" s="13" t="n">
        <f aca="false">G821*H821</f>
        <v>30173000</v>
      </c>
      <c r="S821" s="13" t="n">
        <f aca="false">Q821-R821</f>
        <v>5292300</v>
      </c>
      <c r="T821" s="14" t="n">
        <f aca="false">IFERROR(S821/Q821,0)</f>
        <v>0.149224735163667</v>
      </c>
      <c r="U821" s="15" t="str">
        <f aca="false">TEXT(A821,"yyyy-mm")</f>
        <v>2022-10</v>
      </c>
    </row>
    <row r="822" customFormat="false" ht="15" hidden="false" customHeight="false" outlineLevel="0" collapsed="false">
      <c r="A822" s="10" t="n">
        <v>44863</v>
      </c>
      <c r="B822" s="11" t="s">
        <v>954</v>
      </c>
      <c r="C822" s="11" t="s">
        <v>148</v>
      </c>
      <c r="D822" s="11" t="s">
        <v>138</v>
      </c>
      <c r="E822" s="11" t="s">
        <v>122</v>
      </c>
      <c r="F822" s="12" t="n">
        <v>4941716</v>
      </c>
      <c r="G822" s="12" t="n">
        <v>4456000</v>
      </c>
      <c r="H822" s="11" t="n">
        <v>25</v>
      </c>
      <c r="I822" s="11" t="s">
        <v>69</v>
      </c>
      <c r="J822" s="11" t="s">
        <v>80</v>
      </c>
      <c r="K822" s="11" t="s">
        <v>81</v>
      </c>
      <c r="L822" s="11" t="s">
        <v>82</v>
      </c>
      <c r="M822" s="11" t="s">
        <v>73</v>
      </c>
      <c r="N822" s="11" t="s">
        <v>133</v>
      </c>
      <c r="O822" s="11" t="s">
        <v>60</v>
      </c>
      <c r="P822" s="11" t="s">
        <v>76</v>
      </c>
      <c r="Q822" s="13" t="n">
        <f aca="false">F822*H822</f>
        <v>123542900</v>
      </c>
      <c r="R822" s="13" t="n">
        <f aca="false">G822*H822</f>
        <v>111400000</v>
      </c>
      <c r="S822" s="13" t="n">
        <f aca="false">Q822-R822</f>
        <v>12142900</v>
      </c>
      <c r="T822" s="14" t="n">
        <f aca="false">IFERROR(S822/Q822,0)</f>
        <v>0.0982889344511097</v>
      </c>
      <c r="U822" s="15" t="str">
        <f aca="false">TEXT(A822,"yyyy-mm")</f>
        <v>2022-10</v>
      </c>
    </row>
    <row r="823" customFormat="false" ht="15" hidden="false" customHeight="false" outlineLevel="0" collapsed="false">
      <c r="A823" s="10" t="n">
        <v>44863</v>
      </c>
      <c r="B823" s="11" t="s">
        <v>955</v>
      </c>
      <c r="C823" s="11" t="s">
        <v>66</v>
      </c>
      <c r="D823" s="11" t="s">
        <v>67</v>
      </c>
      <c r="E823" s="11" t="s">
        <v>68</v>
      </c>
      <c r="F823" s="12" t="n">
        <v>3048952</v>
      </c>
      <c r="G823" s="12" t="n">
        <v>2560000</v>
      </c>
      <c r="H823" s="11" t="n">
        <v>13</v>
      </c>
      <c r="I823" s="11" t="s">
        <v>86</v>
      </c>
      <c r="J823" s="11" t="s">
        <v>87</v>
      </c>
      <c r="K823" s="11" t="s">
        <v>88</v>
      </c>
      <c r="L823" s="11" t="s">
        <v>89</v>
      </c>
      <c r="M823" s="11" t="s">
        <v>90</v>
      </c>
      <c r="N823" s="11" t="s">
        <v>173</v>
      </c>
      <c r="O823" s="11" t="s">
        <v>174</v>
      </c>
      <c r="P823" s="11" t="s">
        <v>95</v>
      </c>
      <c r="Q823" s="13" t="n">
        <f aca="false">F823*H823</f>
        <v>39636376</v>
      </c>
      <c r="R823" s="13" t="n">
        <f aca="false">G823*H823</f>
        <v>33280000</v>
      </c>
      <c r="S823" s="13" t="n">
        <f aca="false">Q823-R823</f>
        <v>6356376</v>
      </c>
      <c r="T823" s="14" t="n">
        <f aca="false">IFERROR(S823/Q823,0)</f>
        <v>0.160367234380863</v>
      </c>
      <c r="U823" s="15" t="str">
        <f aca="false">TEXT(A823,"yyyy-mm")</f>
        <v>2022-10</v>
      </c>
    </row>
    <row r="824" customFormat="false" ht="15" hidden="false" customHeight="false" outlineLevel="0" collapsed="false">
      <c r="A824" s="10" t="n">
        <v>44863</v>
      </c>
      <c r="B824" s="11" t="s">
        <v>956</v>
      </c>
      <c r="C824" s="11" t="s">
        <v>78</v>
      </c>
      <c r="D824" s="11" t="s">
        <v>67</v>
      </c>
      <c r="E824" s="11" t="s">
        <v>79</v>
      </c>
      <c r="F824" s="12" t="n">
        <v>1870000</v>
      </c>
      <c r="G824" s="12" t="n">
        <v>1650000</v>
      </c>
      <c r="H824" s="11" t="n">
        <v>14</v>
      </c>
      <c r="I824" s="11" t="s">
        <v>86</v>
      </c>
      <c r="J824" s="11" t="s">
        <v>87</v>
      </c>
      <c r="K824" s="11" t="s">
        <v>88</v>
      </c>
      <c r="L824" s="11" t="s">
        <v>89</v>
      </c>
      <c r="M824" s="11" t="s">
        <v>90</v>
      </c>
      <c r="N824" s="11" t="s">
        <v>123</v>
      </c>
      <c r="O824" s="11" t="s">
        <v>60</v>
      </c>
      <c r="P824" s="11" t="s">
        <v>106</v>
      </c>
      <c r="Q824" s="13" t="n">
        <f aca="false">F824*H824</f>
        <v>26180000</v>
      </c>
      <c r="R824" s="13" t="n">
        <f aca="false">G824*H824</f>
        <v>23100000</v>
      </c>
      <c r="S824" s="13" t="n">
        <f aca="false">Q824-R824</f>
        <v>3080000</v>
      </c>
      <c r="T824" s="14" t="n">
        <f aca="false">IFERROR(S824/Q824,0)</f>
        <v>0.117647058823529</v>
      </c>
      <c r="U824" s="15" t="str">
        <f aca="false">TEXT(A824,"yyyy-mm")</f>
        <v>2022-10</v>
      </c>
    </row>
    <row r="825" customFormat="false" ht="15" hidden="false" customHeight="false" outlineLevel="0" collapsed="false">
      <c r="A825" s="10" t="n">
        <v>44863</v>
      </c>
      <c r="B825" s="11" t="s">
        <v>957</v>
      </c>
      <c r="C825" s="11" t="s">
        <v>84</v>
      </c>
      <c r="D825" s="11" t="s">
        <v>67</v>
      </c>
      <c r="E825" s="11" t="s">
        <v>85</v>
      </c>
      <c r="F825" s="12" t="n">
        <v>2600000</v>
      </c>
      <c r="G825" s="12" t="n">
        <v>2300000</v>
      </c>
      <c r="H825" s="11" t="n">
        <v>12</v>
      </c>
      <c r="I825" s="11" t="s">
        <v>86</v>
      </c>
      <c r="J825" s="11" t="s">
        <v>87</v>
      </c>
      <c r="K825" s="11" t="s">
        <v>88</v>
      </c>
      <c r="L825" s="11" t="s">
        <v>89</v>
      </c>
      <c r="M825" s="11" t="s">
        <v>90</v>
      </c>
      <c r="N825" s="11" t="s">
        <v>133</v>
      </c>
      <c r="O825" s="11" t="s">
        <v>60</v>
      </c>
      <c r="P825" s="11" t="s">
        <v>76</v>
      </c>
      <c r="Q825" s="13" t="n">
        <f aca="false">F825*H825</f>
        <v>31200000</v>
      </c>
      <c r="R825" s="13" t="n">
        <f aca="false">G825*H825</f>
        <v>27600000</v>
      </c>
      <c r="S825" s="13" t="n">
        <f aca="false">Q825-R825</f>
        <v>3600000</v>
      </c>
      <c r="T825" s="14" t="n">
        <f aca="false">IFERROR(S825/Q825,0)</f>
        <v>0.115384615384615</v>
      </c>
      <c r="U825" s="15" t="str">
        <f aca="false">TEXT(A825,"yyyy-mm")</f>
        <v>2022-10</v>
      </c>
    </row>
    <row r="826" customFormat="false" ht="15" hidden="false" customHeight="false" outlineLevel="0" collapsed="false">
      <c r="A826" s="10" t="n">
        <v>44864</v>
      </c>
      <c r="B826" s="11" t="s">
        <v>958</v>
      </c>
      <c r="C826" s="11" t="s">
        <v>92</v>
      </c>
      <c r="D826" s="11" t="s">
        <v>67</v>
      </c>
      <c r="E826" s="11" t="s">
        <v>79</v>
      </c>
      <c r="F826" s="12" t="n">
        <v>3577480</v>
      </c>
      <c r="G826" s="12" t="n">
        <v>3100000</v>
      </c>
      <c r="H826" s="11" t="n">
        <v>18</v>
      </c>
      <c r="I826" s="11" t="s">
        <v>86</v>
      </c>
      <c r="J826" s="11" t="s">
        <v>87</v>
      </c>
      <c r="K826" s="11" t="s">
        <v>88</v>
      </c>
      <c r="L826" s="11" t="s">
        <v>89</v>
      </c>
      <c r="M826" s="11" t="s">
        <v>90</v>
      </c>
      <c r="N826" s="11" t="s">
        <v>99</v>
      </c>
      <c r="O826" s="11" t="s">
        <v>100</v>
      </c>
      <c r="P826" s="11" t="s">
        <v>101</v>
      </c>
      <c r="Q826" s="13" t="n">
        <f aca="false">F826*H826</f>
        <v>64394640</v>
      </c>
      <c r="R826" s="13" t="n">
        <f aca="false">G826*H826</f>
        <v>55800000</v>
      </c>
      <c r="S826" s="13" t="n">
        <f aca="false">Q826-R826</f>
        <v>8594640</v>
      </c>
      <c r="T826" s="14" t="n">
        <f aca="false">IFERROR(S826/Q826,0)</f>
        <v>0.133468251394837</v>
      </c>
      <c r="U826" s="15" t="str">
        <f aca="false">TEXT(A826,"yyyy-mm")</f>
        <v>2022-10</v>
      </c>
    </row>
    <row r="827" customFormat="false" ht="15" hidden="false" customHeight="false" outlineLevel="0" collapsed="false">
      <c r="A827" s="10" t="n">
        <v>44864</v>
      </c>
      <c r="B827" s="11" t="s">
        <v>959</v>
      </c>
      <c r="C827" s="11" t="s">
        <v>97</v>
      </c>
      <c r="D827" s="11" t="s">
        <v>67</v>
      </c>
      <c r="E827" s="11" t="s">
        <v>98</v>
      </c>
      <c r="F827" s="12" t="n">
        <v>4969724</v>
      </c>
      <c r="G827" s="12" t="n">
        <v>4121560</v>
      </c>
      <c r="H827" s="11" t="n">
        <v>1</v>
      </c>
      <c r="I827" s="11" t="s">
        <v>86</v>
      </c>
      <c r="J827" s="11" t="s">
        <v>87</v>
      </c>
      <c r="K827" s="11" t="s">
        <v>88</v>
      </c>
      <c r="L827" s="11" t="s">
        <v>89</v>
      </c>
      <c r="M827" s="11" t="s">
        <v>90</v>
      </c>
      <c r="N827" s="11" t="s">
        <v>149</v>
      </c>
      <c r="O827" s="11" t="s">
        <v>150</v>
      </c>
      <c r="P827" s="11" t="s">
        <v>151</v>
      </c>
      <c r="Q827" s="13" t="n">
        <f aca="false">F827*H827</f>
        <v>4969724</v>
      </c>
      <c r="R827" s="13" t="n">
        <f aca="false">G827*H827</f>
        <v>4121560</v>
      </c>
      <c r="S827" s="13" t="n">
        <f aca="false">Q827-R827</f>
        <v>848164</v>
      </c>
      <c r="T827" s="14" t="n">
        <f aca="false">IFERROR(S827/Q827,0)</f>
        <v>0.170666218083741</v>
      </c>
      <c r="U827" s="15" t="str">
        <f aca="false">TEXT(A827,"yyyy-mm")</f>
        <v>2022-10</v>
      </c>
    </row>
    <row r="828" customFormat="false" ht="15" hidden="false" customHeight="false" outlineLevel="0" collapsed="false">
      <c r="A828" s="10" t="n">
        <v>44865</v>
      </c>
      <c r="B828" s="11" t="s">
        <v>960</v>
      </c>
      <c r="C828" s="11" t="s">
        <v>103</v>
      </c>
      <c r="D828" s="11" t="s">
        <v>67</v>
      </c>
      <c r="E828" s="11" t="s">
        <v>68</v>
      </c>
      <c r="F828" s="12" t="n">
        <v>3319925</v>
      </c>
      <c r="G828" s="12" t="n">
        <v>2800000</v>
      </c>
      <c r="H828" s="11" t="n">
        <v>2</v>
      </c>
      <c r="I828" s="11" t="s">
        <v>69</v>
      </c>
      <c r="J828" s="11" t="s">
        <v>70</v>
      </c>
      <c r="K828" s="11" t="s">
        <v>71</v>
      </c>
      <c r="L828" s="11" t="s">
        <v>72</v>
      </c>
      <c r="M828" s="11" t="s">
        <v>73</v>
      </c>
      <c r="N828" s="11" t="s">
        <v>93</v>
      </c>
      <c r="O828" s="11" t="s">
        <v>94</v>
      </c>
      <c r="P828" s="11" t="s">
        <v>95</v>
      </c>
      <c r="Q828" s="13" t="n">
        <f aca="false">F828*H828</f>
        <v>6639850</v>
      </c>
      <c r="R828" s="13" t="n">
        <f aca="false">G828*H828</f>
        <v>5600000</v>
      </c>
      <c r="S828" s="13" t="n">
        <f aca="false">Q828-R828</f>
        <v>1039850</v>
      </c>
      <c r="T828" s="14" t="n">
        <f aca="false">IFERROR(S828/Q828,0)</f>
        <v>0.15660745348163</v>
      </c>
      <c r="U828" s="15" t="str">
        <f aca="false">TEXT(A828,"yyyy-mm")</f>
        <v>2022-10</v>
      </c>
    </row>
    <row r="829" customFormat="false" ht="15" hidden="false" customHeight="false" outlineLevel="0" collapsed="false">
      <c r="A829" s="10" t="n">
        <v>44866</v>
      </c>
      <c r="B829" s="11" t="s">
        <v>961</v>
      </c>
      <c r="C829" s="11" t="s">
        <v>108</v>
      </c>
      <c r="D829" s="11" t="s">
        <v>67</v>
      </c>
      <c r="E829" s="11" t="s">
        <v>68</v>
      </c>
      <c r="F829" s="12" t="n">
        <v>4757880</v>
      </c>
      <c r="G829" s="12" t="n">
        <v>3450000</v>
      </c>
      <c r="H829" s="11" t="n">
        <v>1</v>
      </c>
      <c r="I829" s="11" t="s">
        <v>86</v>
      </c>
      <c r="J829" s="11" t="s">
        <v>87</v>
      </c>
      <c r="K829" s="11" t="s">
        <v>88</v>
      </c>
      <c r="L829" s="11" t="s">
        <v>89</v>
      </c>
      <c r="M829" s="11" t="s">
        <v>90</v>
      </c>
      <c r="N829" s="11" t="s">
        <v>143</v>
      </c>
      <c r="O829" s="11" t="s">
        <v>144</v>
      </c>
      <c r="P829" s="11" t="s">
        <v>101</v>
      </c>
      <c r="Q829" s="13" t="n">
        <f aca="false">F829*H829</f>
        <v>4757880</v>
      </c>
      <c r="R829" s="13" t="n">
        <f aca="false">G829*H829</f>
        <v>3450000</v>
      </c>
      <c r="S829" s="13" t="n">
        <f aca="false">Q829-R829</f>
        <v>1307880</v>
      </c>
      <c r="T829" s="14" t="n">
        <f aca="false">IFERROR(S829/Q829,0)</f>
        <v>0.274887134606169</v>
      </c>
      <c r="U829" s="15" t="str">
        <f aca="false">TEXT(A829,"yyyy-mm")</f>
        <v>2022-11</v>
      </c>
    </row>
    <row r="830" customFormat="false" ht="15" hidden="false" customHeight="false" outlineLevel="0" collapsed="false">
      <c r="A830" s="10" t="n">
        <v>44866</v>
      </c>
      <c r="B830" s="11" t="s">
        <v>962</v>
      </c>
      <c r="C830" s="11" t="s">
        <v>111</v>
      </c>
      <c r="D830" s="11" t="s">
        <v>67</v>
      </c>
      <c r="E830" s="11" t="s">
        <v>79</v>
      </c>
      <c r="F830" s="12" t="n">
        <v>3545808</v>
      </c>
      <c r="G830" s="12" t="n">
        <v>3350000</v>
      </c>
      <c r="H830" s="11" t="n">
        <v>19</v>
      </c>
      <c r="I830" s="11" t="s">
        <v>69</v>
      </c>
      <c r="J830" s="11" t="s">
        <v>70</v>
      </c>
      <c r="K830" s="11" t="s">
        <v>71</v>
      </c>
      <c r="L830" s="11" t="s">
        <v>72</v>
      </c>
      <c r="M830" s="11" t="s">
        <v>73</v>
      </c>
      <c r="N830" s="11" t="s">
        <v>104</v>
      </c>
      <c r="O830" s="11" t="s">
        <v>105</v>
      </c>
      <c r="P830" s="11" t="s">
        <v>106</v>
      </c>
      <c r="Q830" s="13" t="n">
        <f aca="false">F830*H830</f>
        <v>67370352</v>
      </c>
      <c r="R830" s="13" t="n">
        <f aca="false">G830*H830</f>
        <v>63650000</v>
      </c>
      <c r="S830" s="13" t="n">
        <f aca="false">Q830-R830</f>
        <v>3720352</v>
      </c>
      <c r="T830" s="14" t="n">
        <f aca="false">IFERROR(S830/Q830,0)</f>
        <v>0.0552223921881839</v>
      </c>
      <c r="U830" s="15" t="str">
        <f aca="false">TEXT(A830,"yyyy-mm")</f>
        <v>2022-11</v>
      </c>
    </row>
    <row r="831" customFormat="false" ht="15" hidden="false" customHeight="false" outlineLevel="0" collapsed="false">
      <c r="A831" s="10" t="n">
        <v>44868</v>
      </c>
      <c r="B831" s="11" t="s">
        <v>963</v>
      </c>
      <c r="C831" s="11" t="s">
        <v>115</v>
      </c>
      <c r="D831" s="11" t="s">
        <v>67</v>
      </c>
      <c r="E831" s="11" t="s">
        <v>98</v>
      </c>
      <c r="F831" s="12" t="n">
        <v>4200743</v>
      </c>
      <c r="G831" s="12" t="n">
        <v>4101000</v>
      </c>
      <c r="H831" s="11" t="n">
        <v>14</v>
      </c>
      <c r="I831" s="11" t="s">
        <v>69</v>
      </c>
      <c r="J831" s="11" t="s">
        <v>80</v>
      </c>
      <c r="K831" s="11" t="s">
        <v>81</v>
      </c>
      <c r="L831" s="11" t="s">
        <v>82</v>
      </c>
      <c r="M831" s="11" t="s">
        <v>73</v>
      </c>
      <c r="N831" s="11" t="s">
        <v>74</v>
      </c>
      <c r="O831" s="11" t="s">
        <v>75</v>
      </c>
      <c r="P831" s="11" t="s">
        <v>76</v>
      </c>
      <c r="Q831" s="13" t="n">
        <f aca="false">F831*H831</f>
        <v>58810402</v>
      </c>
      <c r="R831" s="13" t="n">
        <f aca="false">G831*H831</f>
        <v>57414000</v>
      </c>
      <c r="S831" s="13" t="n">
        <f aca="false">Q831-R831</f>
        <v>1396402</v>
      </c>
      <c r="T831" s="14" t="n">
        <f aca="false">IFERROR(S831/Q831,0)</f>
        <v>0.023744132883159</v>
      </c>
      <c r="U831" s="15" t="str">
        <f aca="false">TEXT(A831,"yyyy-mm")</f>
        <v>2022-11</v>
      </c>
    </row>
    <row r="832" customFormat="false" ht="15" hidden="false" customHeight="false" outlineLevel="0" collapsed="false">
      <c r="A832" s="10" t="n">
        <v>44869</v>
      </c>
      <c r="B832" s="11" t="s">
        <v>964</v>
      </c>
      <c r="C832" s="11" t="s">
        <v>117</v>
      </c>
      <c r="D832" s="11" t="s">
        <v>118</v>
      </c>
      <c r="E832" s="11" t="s">
        <v>119</v>
      </c>
      <c r="F832" s="12" t="n">
        <v>8220549</v>
      </c>
      <c r="G832" s="12" t="n">
        <v>6500000</v>
      </c>
      <c r="H832" s="11" t="n">
        <v>16</v>
      </c>
      <c r="I832" s="11" t="s">
        <v>69</v>
      </c>
      <c r="J832" s="11" t="s">
        <v>80</v>
      </c>
      <c r="K832" s="11" t="s">
        <v>81</v>
      </c>
      <c r="L832" s="11" t="s">
        <v>82</v>
      </c>
      <c r="M832" s="11" t="s">
        <v>73</v>
      </c>
      <c r="N832" s="11" t="s">
        <v>133</v>
      </c>
      <c r="O832" s="11" t="s">
        <v>60</v>
      </c>
      <c r="P832" s="11" t="s">
        <v>76</v>
      </c>
      <c r="Q832" s="13" t="n">
        <f aca="false">F832*H832</f>
        <v>131528784</v>
      </c>
      <c r="R832" s="13" t="n">
        <f aca="false">G832*H832</f>
        <v>104000000</v>
      </c>
      <c r="S832" s="13" t="n">
        <f aca="false">Q832-R832</f>
        <v>27528784</v>
      </c>
      <c r="T832" s="14" t="n">
        <f aca="false">IFERROR(S832/Q832,0)</f>
        <v>0.209298551714733</v>
      </c>
      <c r="U832" s="15" t="str">
        <f aca="false">TEXT(A832,"yyyy-mm")</f>
        <v>2022-11</v>
      </c>
    </row>
    <row r="833" customFormat="false" ht="15" hidden="false" customHeight="false" outlineLevel="0" collapsed="false">
      <c r="A833" s="10" t="n">
        <v>44869</v>
      </c>
      <c r="B833" s="11" t="s">
        <v>965</v>
      </c>
      <c r="C833" s="11" t="s">
        <v>121</v>
      </c>
      <c r="D833" s="11" t="s">
        <v>118</v>
      </c>
      <c r="E833" s="11" t="s">
        <v>122</v>
      </c>
      <c r="F833" s="12" t="n">
        <v>7687274</v>
      </c>
      <c r="G833" s="12" t="n">
        <v>6500000</v>
      </c>
      <c r="H833" s="11" t="n">
        <v>8</v>
      </c>
      <c r="I833" s="11" t="s">
        <v>69</v>
      </c>
      <c r="J833" s="11" t="s">
        <v>112</v>
      </c>
      <c r="K833" s="11" t="s">
        <v>113</v>
      </c>
      <c r="L833" s="11" t="s">
        <v>82</v>
      </c>
      <c r="M833" s="11" t="s">
        <v>157</v>
      </c>
      <c r="N833" s="11" t="s">
        <v>109</v>
      </c>
      <c r="O833" s="11" t="s">
        <v>75</v>
      </c>
      <c r="P833" s="11" t="s">
        <v>95</v>
      </c>
      <c r="Q833" s="13" t="n">
        <f aca="false">F833*H833</f>
        <v>61498192</v>
      </c>
      <c r="R833" s="13" t="n">
        <f aca="false">G833*H833</f>
        <v>52000000</v>
      </c>
      <c r="S833" s="13" t="n">
        <f aca="false">Q833-R833</f>
        <v>9498192</v>
      </c>
      <c r="T833" s="14" t="n">
        <f aca="false">IFERROR(S833/Q833,0)</f>
        <v>0.154446686822923</v>
      </c>
      <c r="U833" s="15" t="str">
        <f aca="false">TEXT(A833,"yyyy-mm")</f>
        <v>2022-11</v>
      </c>
    </row>
    <row r="834" customFormat="false" ht="15" hidden="false" customHeight="false" outlineLevel="0" collapsed="false">
      <c r="A834" s="10" t="n">
        <v>44871</v>
      </c>
      <c r="B834" s="11" t="s">
        <v>966</v>
      </c>
      <c r="C834" s="11" t="s">
        <v>125</v>
      </c>
      <c r="D834" s="11" t="s">
        <v>118</v>
      </c>
      <c r="E834" s="11" t="s">
        <v>126</v>
      </c>
      <c r="F834" s="12" t="n">
        <v>5684211</v>
      </c>
      <c r="G834" s="12" t="n">
        <v>4300000</v>
      </c>
      <c r="H834" s="11" t="n">
        <v>14</v>
      </c>
      <c r="I834" s="11" t="s">
        <v>69</v>
      </c>
      <c r="J834" s="11" t="s">
        <v>80</v>
      </c>
      <c r="K834" s="11" t="s">
        <v>81</v>
      </c>
      <c r="L834" s="11" t="s">
        <v>82</v>
      </c>
      <c r="M834" s="11" t="s">
        <v>73</v>
      </c>
      <c r="N834" s="11" t="s">
        <v>74</v>
      </c>
      <c r="O834" s="11" t="s">
        <v>75</v>
      </c>
      <c r="P834" s="11" t="s">
        <v>76</v>
      </c>
      <c r="Q834" s="13" t="n">
        <f aca="false">F834*H834</f>
        <v>79578954</v>
      </c>
      <c r="R834" s="13" t="n">
        <f aca="false">G834*H834</f>
        <v>60200000</v>
      </c>
      <c r="S834" s="13" t="n">
        <f aca="false">Q834-R834</f>
        <v>19378954</v>
      </c>
      <c r="T834" s="14" t="n">
        <f aca="false">IFERROR(S834/Q834,0)</f>
        <v>0.243518581558637</v>
      </c>
      <c r="U834" s="15" t="str">
        <f aca="false">TEXT(A834,"yyyy-mm")</f>
        <v>2022-11</v>
      </c>
    </row>
    <row r="835" customFormat="false" ht="15" hidden="false" customHeight="false" outlineLevel="0" collapsed="false">
      <c r="A835" s="10" t="n">
        <v>44871</v>
      </c>
      <c r="B835" s="11" t="s">
        <v>967</v>
      </c>
      <c r="C835" s="11" t="s">
        <v>128</v>
      </c>
      <c r="D835" s="11" t="s">
        <v>118</v>
      </c>
      <c r="E835" s="11" t="s">
        <v>119</v>
      </c>
      <c r="F835" s="12" t="n">
        <v>3370302</v>
      </c>
      <c r="G835" s="12" t="n">
        <v>2100000</v>
      </c>
      <c r="H835" s="11" t="n">
        <v>17</v>
      </c>
      <c r="I835" s="11" t="s">
        <v>86</v>
      </c>
      <c r="J835" s="11" t="s">
        <v>87</v>
      </c>
      <c r="K835" s="11" t="s">
        <v>88</v>
      </c>
      <c r="L835" s="11" t="s">
        <v>89</v>
      </c>
      <c r="M835" s="11" t="s">
        <v>90</v>
      </c>
      <c r="N835" s="11" t="s">
        <v>104</v>
      </c>
      <c r="O835" s="11" t="s">
        <v>105</v>
      </c>
      <c r="P835" s="11" t="s">
        <v>106</v>
      </c>
      <c r="Q835" s="13" t="n">
        <f aca="false">F835*H835</f>
        <v>57295134</v>
      </c>
      <c r="R835" s="13" t="n">
        <f aca="false">G835*H835</f>
        <v>35700000</v>
      </c>
      <c r="S835" s="13" t="n">
        <f aca="false">Q835-R835</f>
        <v>21595134</v>
      </c>
      <c r="T835" s="14" t="n">
        <f aca="false">IFERROR(S835/Q835,0)</f>
        <v>0.37691043710623</v>
      </c>
      <c r="U835" s="15" t="str">
        <f aca="false">TEXT(A835,"yyyy-mm")</f>
        <v>2022-11</v>
      </c>
    </row>
    <row r="836" customFormat="false" ht="15" hidden="false" customHeight="false" outlineLevel="0" collapsed="false">
      <c r="A836" s="10" t="n">
        <v>44872</v>
      </c>
      <c r="B836" s="11" t="s">
        <v>968</v>
      </c>
      <c r="C836" s="11" t="s">
        <v>130</v>
      </c>
      <c r="D836" s="11" t="s">
        <v>118</v>
      </c>
      <c r="E836" s="11" t="s">
        <v>68</v>
      </c>
      <c r="F836" s="12" t="n">
        <v>2852897</v>
      </c>
      <c r="G836" s="12" t="n">
        <v>2450000</v>
      </c>
      <c r="H836" s="11" t="n">
        <v>4</v>
      </c>
      <c r="I836" s="11" t="s">
        <v>69</v>
      </c>
      <c r="J836" s="11" t="s">
        <v>112</v>
      </c>
      <c r="K836" s="11" t="s">
        <v>113</v>
      </c>
      <c r="L836" s="11" t="s">
        <v>82</v>
      </c>
      <c r="M836" s="11" t="s">
        <v>157</v>
      </c>
      <c r="N836" s="11" t="s">
        <v>93</v>
      </c>
      <c r="O836" s="11" t="s">
        <v>94</v>
      </c>
      <c r="P836" s="11" t="s">
        <v>95</v>
      </c>
      <c r="Q836" s="13" t="n">
        <f aca="false">F836*H836</f>
        <v>11411588</v>
      </c>
      <c r="R836" s="13" t="n">
        <f aca="false">G836*H836</f>
        <v>9800000</v>
      </c>
      <c r="S836" s="13" t="n">
        <f aca="false">Q836-R836</f>
        <v>1611588</v>
      </c>
      <c r="T836" s="14" t="n">
        <f aca="false">IFERROR(S836/Q836,0)</f>
        <v>0.141223815651249</v>
      </c>
      <c r="U836" s="15" t="str">
        <f aca="false">TEXT(A836,"yyyy-mm")</f>
        <v>2022-11</v>
      </c>
    </row>
    <row r="837" customFormat="false" ht="15" hidden="false" customHeight="false" outlineLevel="0" collapsed="false">
      <c r="A837" s="10" t="n">
        <v>44873</v>
      </c>
      <c r="B837" s="11" t="s">
        <v>969</v>
      </c>
      <c r="C837" s="11" t="s">
        <v>132</v>
      </c>
      <c r="D837" s="11" t="s">
        <v>118</v>
      </c>
      <c r="E837" s="11" t="s">
        <v>68</v>
      </c>
      <c r="F837" s="12" t="n">
        <v>4803603</v>
      </c>
      <c r="G837" s="12" t="n">
        <v>4121000</v>
      </c>
      <c r="H837" s="11" t="n">
        <v>20</v>
      </c>
      <c r="I837" s="11" t="s">
        <v>69</v>
      </c>
      <c r="J837" s="11" t="s">
        <v>70</v>
      </c>
      <c r="K837" s="11" t="s">
        <v>71</v>
      </c>
      <c r="L837" s="11" t="s">
        <v>72</v>
      </c>
      <c r="M837" s="11" t="s">
        <v>73</v>
      </c>
      <c r="N837" s="11" t="s">
        <v>74</v>
      </c>
      <c r="O837" s="11" t="s">
        <v>75</v>
      </c>
      <c r="P837" s="11" t="s">
        <v>76</v>
      </c>
      <c r="Q837" s="13" t="n">
        <f aca="false">F837*H837</f>
        <v>96072060</v>
      </c>
      <c r="R837" s="13" t="n">
        <f aca="false">G837*H837</f>
        <v>82420000</v>
      </c>
      <c r="S837" s="13" t="n">
        <f aca="false">Q837-R837</f>
        <v>13652060</v>
      </c>
      <c r="T837" s="14" t="n">
        <f aca="false">IFERROR(S837/Q837,0)</f>
        <v>0.142102292799801</v>
      </c>
      <c r="U837" s="15" t="str">
        <f aca="false">TEXT(A837,"yyyy-mm")</f>
        <v>2022-11</v>
      </c>
    </row>
    <row r="838" customFormat="false" ht="15" hidden="false" customHeight="false" outlineLevel="0" collapsed="false">
      <c r="A838" s="10" t="n">
        <v>44873</v>
      </c>
      <c r="B838" s="11" t="s">
        <v>970</v>
      </c>
      <c r="C838" s="11" t="s">
        <v>135</v>
      </c>
      <c r="D838" s="11" t="s">
        <v>118</v>
      </c>
      <c r="E838" s="11" t="s">
        <v>68</v>
      </c>
      <c r="F838" s="12" t="n">
        <v>5689947</v>
      </c>
      <c r="G838" s="12" t="n">
        <v>5235000</v>
      </c>
      <c r="H838" s="11" t="n">
        <v>23</v>
      </c>
      <c r="I838" s="11" t="s">
        <v>69</v>
      </c>
      <c r="J838" s="11" t="s">
        <v>80</v>
      </c>
      <c r="K838" s="11" t="s">
        <v>81</v>
      </c>
      <c r="L838" s="11" t="s">
        <v>82</v>
      </c>
      <c r="M838" s="11" t="s">
        <v>73</v>
      </c>
      <c r="N838" s="11" t="s">
        <v>173</v>
      </c>
      <c r="O838" s="11" t="s">
        <v>174</v>
      </c>
      <c r="P838" s="11" t="s">
        <v>95</v>
      </c>
      <c r="Q838" s="13" t="n">
        <f aca="false">F838*H838</f>
        <v>130868781</v>
      </c>
      <c r="R838" s="13" t="n">
        <f aca="false">G838*H838</f>
        <v>120405000</v>
      </c>
      <c r="S838" s="13" t="n">
        <f aca="false">Q838-R838</f>
        <v>10463781</v>
      </c>
      <c r="T838" s="14" t="n">
        <f aca="false">IFERROR(S838/Q838,0)</f>
        <v>0.0799562807878527</v>
      </c>
      <c r="U838" s="15" t="str">
        <f aca="false">TEXT(A838,"yyyy-mm")</f>
        <v>2022-11</v>
      </c>
    </row>
    <row r="839" customFormat="false" ht="15" hidden="false" customHeight="false" outlineLevel="0" collapsed="false">
      <c r="A839" s="10" t="n">
        <v>44874</v>
      </c>
      <c r="B839" s="11" t="s">
        <v>971</v>
      </c>
      <c r="C839" s="11" t="s">
        <v>137</v>
      </c>
      <c r="D839" s="11" t="s">
        <v>138</v>
      </c>
      <c r="E839" s="11" t="s">
        <v>139</v>
      </c>
      <c r="F839" s="12" t="n">
        <v>5171827</v>
      </c>
      <c r="G839" s="12" t="n">
        <v>4890000</v>
      </c>
      <c r="H839" s="11" t="n">
        <v>6</v>
      </c>
      <c r="I839" s="11" t="s">
        <v>69</v>
      </c>
      <c r="J839" s="11" t="s">
        <v>80</v>
      </c>
      <c r="K839" s="11" t="s">
        <v>81</v>
      </c>
      <c r="L839" s="11" t="s">
        <v>82</v>
      </c>
      <c r="M839" s="11" t="s">
        <v>73</v>
      </c>
      <c r="N839" s="11" t="s">
        <v>109</v>
      </c>
      <c r="O839" s="11" t="s">
        <v>75</v>
      </c>
      <c r="P839" s="11" t="s">
        <v>95</v>
      </c>
      <c r="Q839" s="13" t="n">
        <f aca="false">F839*H839</f>
        <v>31030962</v>
      </c>
      <c r="R839" s="13" t="n">
        <f aca="false">G839*H839</f>
        <v>29340000</v>
      </c>
      <c r="S839" s="13" t="n">
        <f aca="false">Q839-R839</f>
        <v>1690962</v>
      </c>
      <c r="T839" s="14" t="n">
        <f aca="false">IFERROR(S839/Q839,0)</f>
        <v>0.0544927353525166</v>
      </c>
      <c r="U839" s="15" t="str">
        <f aca="false">TEXT(A839,"yyyy-mm")</f>
        <v>2022-11</v>
      </c>
    </row>
    <row r="840" customFormat="false" ht="15" hidden="false" customHeight="false" outlineLevel="0" collapsed="false">
      <c r="A840" s="10" t="n">
        <v>44874</v>
      </c>
      <c r="B840" s="11" t="s">
        <v>972</v>
      </c>
      <c r="C840" s="11" t="s">
        <v>141</v>
      </c>
      <c r="D840" s="11" t="s">
        <v>138</v>
      </c>
      <c r="E840" s="11" t="s">
        <v>142</v>
      </c>
      <c r="F840" s="12" t="n">
        <v>2805124</v>
      </c>
      <c r="G840" s="12" t="n">
        <v>2178000</v>
      </c>
      <c r="H840" s="11" t="n">
        <v>15</v>
      </c>
      <c r="I840" s="11" t="s">
        <v>69</v>
      </c>
      <c r="J840" s="11" t="s">
        <v>70</v>
      </c>
      <c r="K840" s="11" t="s">
        <v>71</v>
      </c>
      <c r="L840" s="11" t="s">
        <v>72</v>
      </c>
      <c r="M840" s="11" t="s">
        <v>73</v>
      </c>
      <c r="N840" s="11" t="s">
        <v>173</v>
      </c>
      <c r="O840" s="11" t="s">
        <v>174</v>
      </c>
      <c r="P840" s="11" t="s">
        <v>95</v>
      </c>
      <c r="Q840" s="13" t="n">
        <f aca="false">F840*H840</f>
        <v>42076860</v>
      </c>
      <c r="R840" s="13" t="n">
        <f aca="false">G840*H840</f>
        <v>32670000</v>
      </c>
      <c r="S840" s="13" t="n">
        <f aca="false">Q840-R840</f>
        <v>9406860</v>
      </c>
      <c r="T840" s="14" t="n">
        <f aca="false">IFERROR(S840/Q840,0)</f>
        <v>0.22356373550688</v>
      </c>
      <c r="U840" s="15" t="str">
        <f aca="false">TEXT(A840,"yyyy-mm")</f>
        <v>2022-11</v>
      </c>
    </row>
    <row r="841" customFormat="false" ht="15" hidden="false" customHeight="false" outlineLevel="0" collapsed="false">
      <c r="A841" s="10" t="n">
        <v>44874</v>
      </c>
      <c r="B841" s="11" t="s">
        <v>973</v>
      </c>
      <c r="C841" s="11" t="s">
        <v>146</v>
      </c>
      <c r="D841" s="11" t="s">
        <v>138</v>
      </c>
      <c r="E841" s="11" t="s">
        <v>139</v>
      </c>
      <c r="F841" s="12" t="n">
        <v>2728100</v>
      </c>
      <c r="G841" s="12" t="n">
        <v>2321000</v>
      </c>
      <c r="H841" s="11" t="n">
        <v>28</v>
      </c>
      <c r="I841" s="11" t="s">
        <v>69</v>
      </c>
      <c r="J841" s="11" t="s">
        <v>80</v>
      </c>
      <c r="K841" s="11" t="s">
        <v>81</v>
      </c>
      <c r="L841" s="11" t="s">
        <v>82</v>
      </c>
      <c r="M841" s="11" t="s">
        <v>73</v>
      </c>
      <c r="N841" s="11" t="s">
        <v>133</v>
      </c>
      <c r="O841" s="11" t="s">
        <v>60</v>
      </c>
      <c r="P841" s="11" t="s">
        <v>76</v>
      </c>
      <c r="Q841" s="13" t="n">
        <f aca="false">F841*H841</f>
        <v>76386800</v>
      </c>
      <c r="R841" s="13" t="n">
        <f aca="false">G841*H841</f>
        <v>64988000</v>
      </c>
      <c r="S841" s="13" t="n">
        <f aca="false">Q841-R841</f>
        <v>11398800</v>
      </c>
      <c r="T841" s="14" t="n">
        <f aca="false">IFERROR(S841/Q841,0)</f>
        <v>0.149224735163667</v>
      </c>
      <c r="U841" s="15" t="str">
        <f aca="false">TEXT(A841,"yyyy-mm")</f>
        <v>2022-11</v>
      </c>
    </row>
    <row r="842" customFormat="false" ht="15" hidden="false" customHeight="false" outlineLevel="0" collapsed="false">
      <c r="A842" s="10" t="n">
        <v>44874</v>
      </c>
      <c r="B842" s="11" t="s">
        <v>974</v>
      </c>
      <c r="C842" s="11" t="s">
        <v>148</v>
      </c>
      <c r="D842" s="11" t="s">
        <v>138</v>
      </c>
      <c r="E842" s="11" t="s">
        <v>122</v>
      </c>
      <c r="F842" s="12" t="n">
        <v>4941716</v>
      </c>
      <c r="G842" s="12" t="n">
        <v>4456000</v>
      </c>
      <c r="H842" s="11" t="n">
        <v>27</v>
      </c>
      <c r="I842" s="11" t="s">
        <v>69</v>
      </c>
      <c r="J842" s="11" t="s">
        <v>80</v>
      </c>
      <c r="K842" s="11" t="s">
        <v>81</v>
      </c>
      <c r="L842" s="11" t="s">
        <v>82</v>
      </c>
      <c r="M842" s="11" t="s">
        <v>73</v>
      </c>
      <c r="N842" s="11" t="s">
        <v>123</v>
      </c>
      <c r="O842" s="11" t="s">
        <v>60</v>
      </c>
      <c r="P842" s="11" t="s">
        <v>106</v>
      </c>
      <c r="Q842" s="13" t="n">
        <f aca="false">F842*H842</f>
        <v>133426332</v>
      </c>
      <c r="R842" s="13" t="n">
        <f aca="false">G842*H842</f>
        <v>120312000</v>
      </c>
      <c r="S842" s="13" t="n">
        <f aca="false">Q842-R842</f>
        <v>13114332</v>
      </c>
      <c r="T842" s="14" t="n">
        <f aca="false">IFERROR(S842/Q842,0)</f>
        <v>0.0982889344511097</v>
      </c>
      <c r="U842" s="15" t="str">
        <f aca="false">TEXT(A842,"yyyy-mm")</f>
        <v>2022-11</v>
      </c>
    </row>
    <row r="843" customFormat="false" ht="15" hidden="false" customHeight="false" outlineLevel="0" collapsed="false">
      <c r="A843" s="10" t="n">
        <v>44874</v>
      </c>
      <c r="B843" s="11" t="s">
        <v>975</v>
      </c>
      <c r="C843" s="11" t="s">
        <v>66</v>
      </c>
      <c r="D843" s="11" t="s">
        <v>67</v>
      </c>
      <c r="E843" s="11" t="s">
        <v>68</v>
      </c>
      <c r="F843" s="12" t="n">
        <v>3048952</v>
      </c>
      <c r="G843" s="12" t="n">
        <v>2560000</v>
      </c>
      <c r="H843" s="11" t="n">
        <v>7</v>
      </c>
      <c r="I843" s="11" t="s">
        <v>69</v>
      </c>
      <c r="J843" s="11" t="s">
        <v>112</v>
      </c>
      <c r="K843" s="11" t="s">
        <v>113</v>
      </c>
      <c r="L843" s="11" t="s">
        <v>82</v>
      </c>
      <c r="M843" s="11" t="s">
        <v>157</v>
      </c>
      <c r="N843" s="11" t="s">
        <v>93</v>
      </c>
      <c r="O843" s="11" t="s">
        <v>94</v>
      </c>
      <c r="P843" s="11" t="s">
        <v>95</v>
      </c>
      <c r="Q843" s="13" t="n">
        <f aca="false">F843*H843</f>
        <v>21342664</v>
      </c>
      <c r="R843" s="13" t="n">
        <f aca="false">G843*H843</f>
        <v>17920000</v>
      </c>
      <c r="S843" s="13" t="n">
        <f aca="false">Q843-R843</f>
        <v>3422664</v>
      </c>
      <c r="T843" s="14" t="n">
        <f aca="false">IFERROR(S843/Q843,0)</f>
        <v>0.160367234380863</v>
      </c>
      <c r="U843" s="15" t="str">
        <f aca="false">TEXT(A843,"yyyy-mm")</f>
        <v>2022-11</v>
      </c>
    </row>
    <row r="844" customFormat="false" ht="15" hidden="false" customHeight="false" outlineLevel="0" collapsed="false">
      <c r="A844" s="10" t="n">
        <v>44874</v>
      </c>
      <c r="B844" s="11" t="s">
        <v>976</v>
      </c>
      <c r="C844" s="11" t="s">
        <v>78</v>
      </c>
      <c r="D844" s="11" t="s">
        <v>67</v>
      </c>
      <c r="E844" s="11" t="s">
        <v>79</v>
      </c>
      <c r="F844" s="12" t="n">
        <v>1870000</v>
      </c>
      <c r="G844" s="12" t="n">
        <v>1650000</v>
      </c>
      <c r="H844" s="11" t="n">
        <v>5</v>
      </c>
      <c r="I844" s="11" t="s">
        <v>69</v>
      </c>
      <c r="J844" s="11" t="s">
        <v>112</v>
      </c>
      <c r="K844" s="11" t="s">
        <v>113</v>
      </c>
      <c r="L844" s="11" t="s">
        <v>82</v>
      </c>
      <c r="M844" s="11" t="s">
        <v>157</v>
      </c>
      <c r="N844" s="11" t="s">
        <v>99</v>
      </c>
      <c r="O844" s="11" t="s">
        <v>100</v>
      </c>
      <c r="P844" s="11" t="s">
        <v>101</v>
      </c>
      <c r="Q844" s="13" t="n">
        <f aca="false">F844*H844</f>
        <v>9350000</v>
      </c>
      <c r="R844" s="13" t="n">
        <f aca="false">G844*H844</f>
        <v>8250000</v>
      </c>
      <c r="S844" s="13" t="n">
        <f aca="false">Q844-R844</f>
        <v>1100000</v>
      </c>
      <c r="T844" s="14" t="n">
        <f aca="false">IFERROR(S844/Q844,0)</f>
        <v>0.117647058823529</v>
      </c>
      <c r="U844" s="15" t="str">
        <f aca="false">TEXT(A844,"yyyy-mm")</f>
        <v>2022-11</v>
      </c>
    </row>
    <row r="845" customFormat="false" ht="15" hidden="false" customHeight="false" outlineLevel="0" collapsed="false">
      <c r="A845" s="10" t="n">
        <v>44875</v>
      </c>
      <c r="B845" s="11" t="s">
        <v>977</v>
      </c>
      <c r="C845" s="11" t="s">
        <v>84</v>
      </c>
      <c r="D845" s="11" t="s">
        <v>67</v>
      </c>
      <c r="E845" s="11" t="s">
        <v>85</v>
      </c>
      <c r="F845" s="12" t="n">
        <v>2600000</v>
      </c>
      <c r="G845" s="12" t="n">
        <v>2300000</v>
      </c>
      <c r="H845" s="11" t="n">
        <v>17</v>
      </c>
      <c r="I845" s="11" t="s">
        <v>69</v>
      </c>
      <c r="J845" s="11" t="s">
        <v>70</v>
      </c>
      <c r="K845" s="11" t="s">
        <v>71</v>
      </c>
      <c r="L845" s="11" t="s">
        <v>72</v>
      </c>
      <c r="M845" s="11" t="s">
        <v>73</v>
      </c>
      <c r="N845" s="11" t="s">
        <v>133</v>
      </c>
      <c r="O845" s="11" t="s">
        <v>60</v>
      </c>
      <c r="P845" s="11" t="s">
        <v>76</v>
      </c>
      <c r="Q845" s="13" t="n">
        <f aca="false">F845*H845</f>
        <v>44200000</v>
      </c>
      <c r="R845" s="13" t="n">
        <f aca="false">G845*H845</f>
        <v>39100000</v>
      </c>
      <c r="S845" s="13" t="n">
        <f aca="false">Q845-R845</f>
        <v>5100000</v>
      </c>
      <c r="T845" s="14" t="n">
        <f aca="false">IFERROR(S845/Q845,0)</f>
        <v>0.115384615384615</v>
      </c>
      <c r="U845" s="15" t="str">
        <f aca="false">TEXT(A845,"yyyy-mm")</f>
        <v>2022-11</v>
      </c>
    </row>
    <row r="846" customFormat="false" ht="15" hidden="false" customHeight="false" outlineLevel="0" collapsed="false">
      <c r="A846" s="10" t="n">
        <v>44875</v>
      </c>
      <c r="B846" s="11" t="s">
        <v>978</v>
      </c>
      <c r="C846" s="11" t="s">
        <v>92</v>
      </c>
      <c r="D846" s="11" t="s">
        <v>67</v>
      </c>
      <c r="E846" s="11" t="s">
        <v>79</v>
      </c>
      <c r="F846" s="12" t="n">
        <v>3577480</v>
      </c>
      <c r="G846" s="12" t="n">
        <v>3100000</v>
      </c>
      <c r="H846" s="11" t="n">
        <v>13</v>
      </c>
      <c r="I846" s="11" t="s">
        <v>86</v>
      </c>
      <c r="J846" s="11" t="s">
        <v>87</v>
      </c>
      <c r="K846" s="11" t="s">
        <v>88</v>
      </c>
      <c r="L846" s="11" t="s">
        <v>89</v>
      </c>
      <c r="M846" s="11" t="s">
        <v>90</v>
      </c>
      <c r="N846" s="11" t="s">
        <v>173</v>
      </c>
      <c r="O846" s="11" t="s">
        <v>174</v>
      </c>
      <c r="P846" s="11" t="s">
        <v>95</v>
      </c>
      <c r="Q846" s="13" t="n">
        <f aca="false">F846*H846</f>
        <v>46507240</v>
      </c>
      <c r="R846" s="13" t="n">
        <f aca="false">G846*H846</f>
        <v>40300000</v>
      </c>
      <c r="S846" s="13" t="n">
        <f aca="false">Q846-R846</f>
        <v>6207240</v>
      </c>
      <c r="T846" s="14" t="n">
        <f aca="false">IFERROR(S846/Q846,0)</f>
        <v>0.133468251394837</v>
      </c>
      <c r="U846" s="15" t="str">
        <f aca="false">TEXT(A846,"yyyy-mm")</f>
        <v>2022-11</v>
      </c>
    </row>
    <row r="847" customFormat="false" ht="15" hidden="false" customHeight="false" outlineLevel="0" collapsed="false">
      <c r="A847" s="10" t="n">
        <v>44875</v>
      </c>
      <c r="B847" s="11" t="s">
        <v>979</v>
      </c>
      <c r="C847" s="11" t="s">
        <v>97</v>
      </c>
      <c r="D847" s="11" t="s">
        <v>67</v>
      </c>
      <c r="E847" s="11" t="s">
        <v>98</v>
      </c>
      <c r="F847" s="12" t="n">
        <v>4969724</v>
      </c>
      <c r="G847" s="12" t="n">
        <v>4121560</v>
      </c>
      <c r="H847" s="11" t="n">
        <v>15</v>
      </c>
      <c r="I847" s="11" t="s">
        <v>69</v>
      </c>
      <c r="J847" s="11" t="s">
        <v>80</v>
      </c>
      <c r="K847" s="11" t="s">
        <v>81</v>
      </c>
      <c r="L847" s="11" t="s">
        <v>82</v>
      </c>
      <c r="M847" s="11" t="s">
        <v>73</v>
      </c>
      <c r="N847" s="11" t="s">
        <v>109</v>
      </c>
      <c r="O847" s="11" t="s">
        <v>75</v>
      </c>
      <c r="P847" s="11" t="s">
        <v>95</v>
      </c>
      <c r="Q847" s="13" t="n">
        <f aca="false">F847*H847</f>
        <v>74545860</v>
      </c>
      <c r="R847" s="13" t="n">
        <f aca="false">G847*H847</f>
        <v>61823400</v>
      </c>
      <c r="S847" s="13" t="n">
        <f aca="false">Q847-R847</f>
        <v>12722460</v>
      </c>
      <c r="T847" s="14" t="n">
        <f aca="false">IFERROR(S847/Q847,0)</f>
        <v>0.170666218083741</v>
      </c>
      <c r="U847" s="15" t="str">
        <f aca="false">TEXT(A847,"yyyy-mm")</f>
        <v>2022-11</v>
      </c>
    </row>
    <row r="848" customFormat="false" ht="15" hidden="false" customHeight="false" outlineLevel="0" collapsed="false">
      <c r="A848" s="10" t="n">
        <v>44875</v>
      </c>
      <c r="B848" s="11" t="s">
        <v>980</v>
      </c>
      <c r="C848" s="11" t="s">
        <v>103</v>
      </c>
      <c r="D848" s="11" t="s">
        <v>67</v>
      </c>
      <c r="E848" s="11" t="s">
        <v>68</v>
      </c>
      <c r="F848" s="12" t="n">
        <v>3319925</v>
      </c>
      <c r="G848" s="12" t="n">
        <v>2800000</v>
      </c>
      <c r="H848" s="11" t="n">
        <v>14</v>
      </c>
      <c r="I848" s="11" t="s">
        <v>69</v>
      </c>
      <c r="J848" s="11" t="s">
        <v>80</v>
      </c>
      <c r="K848" s="11" t="s">
        <v>81</v>
      </c>
      <c r="L848" s="11" t="s">
        <v>82</v>
      </c>
      <c r="M848" s="11" t="s">
        <v>73</v>
      </c>
      <c r="N848" s="11" t="s">
        <v>109</v>
      </c>
      <c r="O848" s="11" t="s">
        <v>75</v>
      </c>
      <c r="P848" s="11" t="s">
        <v>95</v>
      </c>
      <c r="Q848" s="13" t="n">
        <f aca="false">F848*H848</f>
        <v>46478950</v>
      </c>
      <c r="R848" s="13" t="n">
        <f aca="false">G848*H848</f>
        <v>39200000</v>
      </c>
      <c r="S848" s="13" t="n">
        <f aca="false">Q848-R848</f>
        <v>7278950</v>
      </c>
      <c r="T848" s="14" t="n">
        <f aca="false">IFERROR(S848/Q848,0)</f>
        <v>0.15660745348163</v>
      </c>
      <c r="U848" s="15" t="str">
        <f aca="false">TEXT(A848,"yyyy-mm")</f>
        <v>2022-11</v>
      </c>
    </row>
    <row r="849" customFormat="false" ht="15" hidden="false" customHeight="false" outlineLevel="0" collapsed="false">
      <c r="A849" s="10" t="n">
        <v>44875</v>
      </c>
      <c r="B849" s="11" t="s">
        <v>981</v>
      </c>
      <c r="C849" s="11" t="s">
        <v>108</v>
      </c>
      <c r="D849" s="11" t="s">
        <v>67</v>
      </c>
      <c r="E849" s="11" t="s">
        <v>68</v>
      </c>
      <c r="F849" s="12" t="n">
        <v>4757880</v>
      </c>
      <c r="G849" s="12" t="n">
        <v>3450000</v>
      </c>
      <c r="H849" s="11" t="n">
        <v>12</v>
      </c>
      <c r="I849" s="11" t="s">
        <v>69</v>
      </c>
      <c r="J849" s="11" t="s">
        <v>70</v>
      </c>
      <c r="K849" s="11" t="s">
        <v>71</v>
      </c>
      <c r="L849" s="11" t="s">
        <v>72</v>
      </c>
      <c r="M849" s="11" t="s">
        <v>73</v>
      </c>
      <c r="N849" s="11" t="s">
        <v>93</v>
      </c>
      <c r="O849" s="11" t="s">
        <v>94</v>
      </c>
      <c r="P849" s="11" t="s">
        <v>95</v>
      </c>
      <c r="Q849" s="13" t="n">
        <f aca="false">F849*H849</f>
        <v>57094560</v>
      </c>
      <c r="R849" s="13" t="n">
        <f aca="false">G849*H849</f>
        <v>41400000</v>
      </c>
      <c r="S849" s="13" t="n">
        <f aca="false">Q849-R849</f>
        <v>15694560</v>
      </c>
      <c r="T849" s="14" t="n">
        <f aca="false">IFERROR(S849/Q849,0)</f>
        <v>0.274887134606169</v>
      </c>
      <c r="U849" s="15" t="str">
        <f aca="false">TEXT(A849,"yyyy-mm")</f>
        <v>2022-11</v>
      </c>
    </row>
    <row r="850" customFormat="false" ht="15" hidden="false" customHeight="false" outlineLevel="0" collapsed="false">
      <c r="A850" s="10" t="n">
        <v>44875</v>
      </c>
      <c r="B850" s="11" t="s">
        <v>982</v>
      </c>
      <c r="C850" s="11" t="s">
        <v>111</v>
      </c>
      <c r="D850" s="11" t="s">
        <v>67</v>
      </c>
      <c r="E850" s="11" t="s">
        <v>79</v>
      </c>
      <c r="F850" s="12" t="n">
        <v>3545808</v>
      </c>
      <c r="G850" s="12" t="n">
        <v>3350000</v>
      </c>
      <c r="H850" s="11" t="n">
        <v>8</v>
      </c>
      <c r="I850" s="11" t="s">
        <v>69</v>
      </c>
      <c r="J850" s="11" t="s">
        <v>112</v>
      </c>
      <c r="K850" s="11" t="s">
        <v>113</v>
      </c>
      <c r="L850" s="11" t="s">
        <v>82</v>
      </c>
      <c r="M850" s="11" t="s">
        <v>157</v>
      </c>
      <c r="N850" s="11" t="s">
        <v>143</v>
      </c>
      <c r="O850" s="11" t="s">
        <v>144</v>
      </c>
      <c r="P850" s="11" t="s">
        <v>101</v>
      </c>
      <c r="Q850" s="13" t="n">
        <f aca="false">F850*H850</f>
        <v>28366464</v>
      </c>
      <c r="R850" s="13" t="n">
        <f aca="false">G850*H850</f>
        <v>26800000</v>
      </c>
      <c r="S850" s="13" t="n">
        <f aca="false">Q850-R850</f>
        <v>1566464</v>
      </c>
      <c r="T850" s="14" t="n">
        <f aca="false">IFERROR(S850/Q850,0)</f>
        <v>0.0552223921881839</v>
      </c>
      <c r="U850" s="15" t="str">
        <f aca="false">TEXT(A850,"yyyy-mm")</f>
        <v>2022-11</v>
      </c>
    </row>
    <row r="851" customFormat="false" ht="15" hidden="false" customHeight="false" outlineLevel="0" collapsed="false">
      <c r="A851" s="10" t="n">
        <v>44875</v>
      </c>
      <c r="B851" s="11" t="s">
        <v>983</v>
      </c>
      <c r="C851" s="11" t="s">
        <v>115</v>
      </c>
      <c r="D851" s="11" t="s">
        <v>67</v>
      </c>
      <c r="E851" s="11" t="s">
        <v>98</v>
      </c>
      <c r="F851" s="12" t="n">
        <v>4200743</v>
      </c>
      <c r="G851" s="12" t="n">
        <v>4101000</v>
      </c>
      <c r="H851" s="11" t="n">
        <v>1</v>
      </c>
      <c r="I851" s="11" t="s">
        <v>86</v>
      </c>
      <c r="J851" s="11" t="s">
        <v>87</v>
      </c>
      <c r="K851" s="11" t="s">
        <v>88</v>
      </c>
      <c r="L851" s="11" t="s">
        <v>89</v>
      </c>
      <c r="M851" s="11" t="s">
        <v>90</v>
      </c>
      <c r="N851" s="11" t="s">
        <v>99</v>
      </c>
      <c r="O851" s="11" t="s">
        <v>100</v>
      </c>
      <c r="P851" s="11" t="s">
        <v>101</v>
      </c>
      <c r="Q851" s="13" t="n">
        <f aca="false">F851*H851</f>
        <v>4200743</v>
      </c>
      <c r="R851" s="13" t="n">
        <f aca="false">G851*H851</f>
        <v>4101000</v>
      </c>
      <c r="S851" s="13" t="n">
        <f aca="false">Q851-R851</f>
        <v>99743</v>
      </c>
      <c r="T851" s="14" t="n">
        <f aca="false">IFERROR(S851/Q851,0)</f>
        <v>0.023744132883159</v>
      </c>
      <c r="U851" s="15" t="str">
        <f aca="false">TEXT(A851,"yyyy-mm")</f>
        <v>2022-11</v>
      </c>
    </row>
    <row r="852" customFormat="false" ht="15" hidden="false" customHeight="false" outlineLevel="0" collapsed="false">
      <c r="A852" s="10" t="n">
        <v>44876</v>
      </c>
      <c r="B852" s="11" t="s">
        <v>984</v>
      </c>
      <c r="C852" s="11" t="s">
        <v>117</v>
      </c>
      <c r="D852" s="11" t="s">
        <v>118</v>
      </c>
      <c r="E852" s="11" t="s">
        <v>119</v>
      </c>
      <c r="F852" s="12" t="n">
        <v>8220549</v>
      </c>
      <c r="G852" s="12" t="n">
        <v>6500000</v>
      </c>
      <c r="H852" s="11" t="n">
        <v>23</v>
      </c>
      <c r="I852" s="11" t="s">
        <v>69</v>
      </c>
      <c r="J852" s="11" t="s">
        <v>80</v>
      </c>
      <c r="K852" s="11" t="s">
        <v>81</v>
      </c>
      <c r="L852" s="11" t="s">
        <v>82</v>
      </c>
      <c r="M852" s="11" t="s">
        <v>73</v>
      </c>
      <c r="N852" s="11" t="s">
        <v>173</v>
      </c>
      <c r="O852" s="11" t="s">
        <v>174</v>
      </c>
      <c r="P852" s="11" t="s">
        <v>95</v>
      </c>
      <c r="Q852" s="13" t="n">
        <f aca="false">F852*H852</f>
        <v>189072627</v>
      </c>
      <c r="R852" s="13" t="n">
        <f aca="false">G852*H852</f>
        <v>149500000</v>
      </c>
      <c r="S852" s="13" t="n">
        <f aca="false">Q852-R852</f>
        <v>39572627</v>
      </c>
      <c r="T852" s="14" t="n">
        <f aca="false">IFERROR(S852/Q852,0)</f>
        <v>0.209298551714733</v>
      </c>
      <c r="U852" s="15" t="str">
        <f aca="false">TEXT(A852,"yyyy-mm")</f>
        <v>2022-11</v>
      </c>
    </row>
    <row r="853" customFormat="false" ht="15" hidden="false" customHeight="false" outlineLevel="0" collapsed="false">
      <c r="A853" s="10" t="n">
        <v>44877</v>
      </c>
      <c r="B853" s="11" t="s">
        <v>985</v>
      </c>
      <c r="C853" s="11" t="s">
        <v>121</v>
      </c>
      <c r="D853" s="11" t="s">
        <v>118</v>
      </c>
      <c r="E853" s="11" t="s">
        <v>122</v>
      </c>
      <c r="F853" s="12" t="n">
        <v>7687274</v>
      </c>
      <c r="G853" s="12" t="n">
        <v>6500000</v>
      </c>
      <c r="H853" s="11" t="n">
        <v>16</v>
      </c>
      <c r="I853" s="11" t="s">
        <v>86</v>
      </c>
      <c r="J853" s="11" t="s">
        <v>87</v>
      </c>
      <c r="K853" s="11" t="s">
        <v>88</v>
      </c>
      <c r="L853" s="11" t="s">
        <v>89</v>
      </c>
      <c r="M853" s="11" t="s">
        <v>90</v>
      </c>
      <c r="N853" s="11" t="s">
        <v>173</v>
      </c>
      <c r="O853" s="11" t="s">
        <v>174</v>
      </c>
      <c r="P853" s="11" t="s">
        <v>95</v>
      </c>
      <c r="Q853" s="13" t="n">
        <f aca="false">F853*H853</f>
        <v>122996384</v>
      </c>
      <c r="R853" s="13" t="n">
        <f aca="false">G853*H853</f>
        <v>104000000</v>
      </c>
      <c r="S853" s="13" t="n">
        <f aca="false">Q853-R853</f>
        <v>18996384</v>
      </c>
      <c r="T853" s="14" t="n">
        <f aca="false">IFERROR(S853/Q853,0)</f>
        <v>0.154446686822923</v>
      </c>
      <c r="U853" s="15" t="str">
        <f aca="false">TEXT(A853,"yyyy-mm")</f>
        <v>2022-11</v>
      </c>
    </row>
    <row r="854" customFormat="false" ht="15" hidden="false" customHeight="false" outlineLevel="0" collapsed="false">
      <c r="A854" s="10" t="n">
        <v>44877</v>
      </c>
      <c r="B854" s="11" t="s">
        <v>986</v>
      </c>
      <c r="C854" s="11" t="s">
        <v>125</v>
      </c>
      <c r="D854" s="11" t="s">
        <v>118</v>
      </c>
      <c r="E854" s="11" t="s">
        <v>126</v>
      </c>
      <c r="F854" s="12" t="n">
        <v>5684211</v>
      </c>
      <c r="G854" s="12" t="n">
        <v>4300000</v>
      </c>
      <c r="H854" s="11" t="n">
        <v>15</v>
      </c>
      <c r="I854" s="11" t="s">
        <v>69</v>
      </c>
      <c r="J854" s="11" t="s">
        <v>80</v>
      </c>
      <c r="K854" s="11" t="s">
        <v>81</v>
      </c>
      <c r="L854" s="11" t="s">
        <v>82</v>
      </c>
      <c r="M854" s="11" t="s">
        <v>73</v>
      </c>
      <c r="N854" s="11" t="s">
        <v>133</v>
      </c>
      <c r="O854" s="11" t="s">
        <v>60</v>
      </c>
      <c r="P854" s="11" t="s">
        <v>76</v>
      </c>
      <c r="Q854" s="13" t="n">
        <f aca="false">F854*H854</f>
        <v>85263165</v>
      </c>
      <c r="R854" s="13" t="n">
        <f aca="false">G854*H854</f>
        <v>64500000</v>
      </c>
      <c r="S854" s="13" t="n">
        <f aca="false">Q854-R854</f>
        <v>20763165</v>
      </c>
      <c r="T854" s="14" t="n">
        <f aca="false">IFERROR(S854/Q854,0)</f>
        <v>0.243518581558637</v>
      </c>
      <c r="U854" s="15" t="str">
        <f aca="false">TEXT(A854,"yyyy-mm")</f>
        <v>2022-11</v>
      </c>
    </row>
    <row r="855" customFormat="false" ht="15" hidden="false" customHeight="false" outlineLevel="0" collapsed="false">
      <c r="A855" s="10" t="n">
        <v>44877</v>
      </c>
      <c r="B855" s="11" t="s">
        <v>987</v>
      </c>
      <c r="C855" s="11" t="s">
        <v>128</v>
      </c>
      <c r="D855" s="11" t="s">
        <v>118</v>
      </c>
      <c r="E855" s="11" t="s">
        <v>119</v>
      </c>
      <c r="F855" s="12" t="n">
        <v>3370302</v>
      </c>
      <c r="G855" s="12" t="n">
        <v>2100000</v>
      </c>
      <c r="H855" s="11" t="n">
        <v>10</v>
      </c>
      <c r="I855" s="11" t="s">
        <v>69</v>
      </c>
      <c r="J855" s="11" t="s">
        <v>80</v>
      </c>
      <c r="K855" s="11" t="s">
        <v>81</v>
      </c>
      <c r="L855" s="11" t="s">
        <v>82</v>
      </c>
      <c r="M855" s="11" t="s">
        <v>73</v>
      </c>
      <c r="N855" s="11" t="s">
        <v>104</v>
      </c>
      <c r="O855" s="11" t="s">
        <v>105</v>
      </c>
      <c r="P855" s="11" t="s">
        <v>106</v>
      </c>
      <c r="Q855" s="13" t="n">
        <f aca="false">F855*H855</f>
        <v>33703020</v>
      </c>
      <c r="R855" s="13" t="n">
        <f aca="false">G855*H855</f>
        <v>21000000</v>
      </c>
      <c r="S855" s="13" t="n">
        <f aca="false">Q855-R855</f>
        <v>12703020</v>
      </c>
      <c r="T855" s="14" t="n">
        <f aca="false">IFERROR(S855/Q855,0)</f>
        <v>0.37691043710623</v>
      </c>
      <c r="U855" s="15" t="str">
        <f aca="false">TEXT(A855,"yyyy-mm")</f>
        <v>2022-11</v>
      </c>
    </row>
    <row r="856" customFormat="false" ht="15" hidden="false" customHeight="false" outlineLevel="0" collapsed="false">
      <c r="A856" s="10" t="n">
        <v>44877</v>
      </c>
      <c r="B856" s="11" t="s">
        <v>988</v>
      </c>
      <c r="C856" s="11" t="s">
        <v>130</v>
      </c>
      <c r="D856" s="11" t="s">
        <v>118</v>
      </c>
      <c r="E856" s="11" t="s">
        <v>68</v>
      </c>
      <c r="F856" s="12" t="n">
        <v>2852897</v>
      </c>
      <c r="G856" s="12" t="n">
        <v>2450000</v>
      </c>
      <c r="H856" s="11" t="n">
        <v>14</v>
      </c>
      <c r="I856" s="11" t="s">
        <v>69</v>
      </c>
      <c r="J856" s="11" t="s">
        <v>80</v>
      </c>
      <c r="K856" s="11" t="s">
        <v>81</v>
      </c>
      <c r="L856" s="11" t="s">
        <v>82</v>
      </c>
      <c r="M856" s="11" t="s">
        <v>73</v>
      </c>
      <c r="N856" s="11" t="s">
        <v>143</v>
      </c>
      <c r="O856" s="11" t="s">
        <v>144</v>
      </c>
      <c r="P856" s="11" t="s">
        <v>101</v>
      </c>
      <c r="Q856" s="13" t="n">
        <f aca="false">F856*H856</f>
        <v>39940558</v>
      </c>
      <c r="R856" s="13" t="n">
        <f aca="false">G856*H856</f>
        <v>34300000</v>
      </c>
      <c r="S856" s="13" t="n">
        <f aca="false">Q856-R856</f>
        <v>5640558</v>
      </c>
      <c r="T856" s="14" t="n">
        <f aca="false">IFERROR(S856/Q856,0)</f>
        <v>0.141223815651249</v>
      </c>
      <c r="U856" s="15" t="str">
        <f aca="false">TEXT(A856,"yyyy-mm")</f>
        <v>2022-11</v>
      </c>
    </row>
    <row r="857" customFormat="false" ht="15" hidden="false" customHeight="false" outlineLevel="0" collapsed="false">
      <c r="A857" s="10" t="n">
        <v>44877</v>
      </c>
      <c r="B857" s="11" t="s">
        <v>989</v>
      </c>
      <c r="C857" s="11" t="s">
        <v>132</v>
      </c>
      <c r="D857" s="11" t="s">
        <v>118</v>
      </c>
      <c r="E857" s="11" t="s">
        <v>68</v>
      </c>
      <c r="F857" s="12" t="n">
        <v>4803603</v>
      </c>
      <c r="G857" s="12" t="n">
        <v>4121000</v>
      </c>
      <c r="H857" s="11" t="n">
        <v>6</v>
      </c>
      <c r="I857" s="11" t="s">
        <v>69</v>
      </c>
      <c r="J857" s="11" t="s">
        <v>80</v>
      </c>
      <c r="K857" s="11" t="s">
        <v>81</v>
      </c>
      <c r="L857" s="11" t="s">
        <v>82</v>
      </c>
      <c r="M857" s="11" t="s">
        <v>73</v>
      </c>
      <c r="N857" s="11" t="s">
        <v>133</v>
      </c>
      <c r="O857" s="11" t="s">
        <v>60</v>
      </c>
      <c r="P857" s="11" t="s">
        <v>76</v>
      </c>
      <c r="Q857" s="13" t="n">
        <f aca="false">F857*H857</f>
        <v>28821618</v>
      </c>
      <c r="R857" s="13" t="n">
        <f aca="false">G857*H857</f>
        <v>24726000</v>
      </c>
      <c r="S857" s="13" t="n">
        <f aca="false">Q857-R857</f>
        <v>4095618</v>
      </c>
      <c r="T857" s="14" t="n">
        <f aca="false">IFERROR(S857/Q857,0)</f>
        <v>0.142102292799801</v>
      </c>
      <c r="U857" s="15" t="str">
        <f aca="false">TEXT(A857,"yyyy-mm")</f>
        <v>2022-11</v>
      </c>
    </row>
    <row r="858" customFormat="false" ht="15" hidden="false" customHeight="false" outlineLevel="0" collapsed="false">
      <c r="A858" s="10" t="n">
        <v>44878</v>
      </c>
      <c r="B858" s="11" t="s">
        <v>990</v>
      </c>
      <c r="C858" s="11" t="s">
        <v>135</v>
      </c>
      <c r="D858" s="11" t="s">
        <v>118</v>
      </c>
      <c r="E858" s="11" t="s">
        <v>68</v>
      </c>
      <c r="F858" s="12" t="n">
        <v>5689947</v>
      </c>
      <c r="G858" s="12" t="n">
        <v>5235000</v>
      </c>
      <c r="H858" s="11" t="n">
        <v>26</v>
      </c>
      <c r="I858" s="11" t="s">
        <v>69</v>
      </c>
      <c r="J858" s="11" t="s">
        <v>80</v>
      </c>
      <c r="K858" s="11" t="s">
        <v>81</v>
      </c>
      <c r="L858" s="11" t="s">
        <v>82</v>
      </c>
      <c r="M858" s="11" t="s">
        <v>73</v>
      </c>
      <c r="N858" s="11" t="s">
        <v>109</v>
      </c>
      <c r="O858" s="11" t="s">
        <v>75</v>
      </c>
      <c r="P858" s="11" t="s">
        <v>95</v>
      </c>
      <c r="Q858" s="13" t="n">
        <f aca="false">F858*H858</f>
        <v>147938622</v>
      </c>
      <c r="R858" s="13" t="n">
        <f aca="false">G858*H858</f>
        <v>136110000</v>
      </c>
      <c r="S858" s="13" t="n">
        <f aca="false">Q858-R858</f>
        <v>11828622</v>
      </c>
      <c r="T858" s="14" t="n">
        <f aca="false">IFERROR(S858/Q858,0)</f>
        <v>0.0799562807878527</v>
      </c>
      <c r="U858" s="15" t="str">
        <f aca="false">TEXT(A858,"yyyy-mm")</f>
        <v>2022-11</v>
      </c>
    </row>
    <row r="859" customFormat="false" ht="15" hidden="false" customHeight="false" outlineLevel="0" collapsed="false">
      <c r="A859" s="10" t="n">
        <v>44878</v>
      </c>
      <c r="B859" s="11" t="s">
        <v>991</v>
      </c>
      <c r="C859" s="11" t="s">
        <v>137</v>
      </c>
      <c r="D859" s="11" t="s">
        <v>138</v>
      </c>
      <c r="E859" s="11" t="s">
        <v>139</v>
      </c>
      <c r="F859" s="12" t="n">
        <v>5171827</v>
      </c>
      <c r="G859" s="12" t="n">
        <v>4890000</v>
      </c>
      <c r="H859" s="11" t="n">
        <v>11</v>
      </c>
      <c r="I859" s="11" t="s">
        <v>86</v>
      </c>
      <c r="J859" s="11" t="s">
        <v>87</v>
      </c>
      <c r="K859" s="11" t="s">
        <v>88</v>
      </c>
      <c r="L859" s="11" t="s">
        <v>89</v>
      </c>
      <c r="M859" s="11" t="s">
        <v>90</v>
      </c>
      <c r="N859" s="11" t="s">
        <v>109</v>
      </c>
      <c r="O859" s="11" t="s">
        <v>75</v>
      </c>
      <c r="P859" s="11" t="s">
        <v>95</v>
      </c>
      <c r="Q859" s="13" t="n">
        <f aca="false">F859*H859</f>
        <v>56890097</v>
      </c>
      <c r="R859" s="13" t="n">
        <f aca="false">G859*H859</f>
        <v>53790000</v>
      </c>
      <c r="S859" s="13" t="n">
        <f aca="false">Q859-R859</f>
        <v>3100097</v>
      </c>
      <c r="T859" s="14" t="n">
        <f aca="false">IFERROR(S859/Q859,0)</f>
        <v>0.0544927353525166</v>
      </c>
      <c r="U859" s="15" t="str">
        <f aca="false">TEXT(A859,"yyyy-mm")</f>
        <v>2022-11</v>
      </c>
    </row>
    <row r="860" customFormat="false" ht="15" hidden="false" customHeight="false" outlineLevel="0" collapsed="false">
      <c r="A860" s="10" t="n">
        <v>44879</v>
      </c>
      <c r="B860" s="11" t="s">
        <v>992</v>
      </c>
      <c r="C860" s="11" t="s">
        <v>141</v>
      </c>
      <c r="D860" s="11" t="s">
        <v>138</v>
      </c>
      <c r="E860" s="11" t="s">
        <v>142</v>
      </c>
      <c r="F860" s="12" t="n">
        <v>2805124</v>
      </c>
      <c r="G860" s="12" t="n">
        <v>2178000</v>
      </c>
      <c r="H860" s="11" t="n">
        <v>18</v>
      </c>
      <c r="I860" s="11" t="s">
        <v>69</v>
      </c>
      <c r="J860" s="11" t="s">
        <v>80</v>
      </c>
      <c r="K860" s="11" t="s">
        <v>81</v>
      </c>
      <c r="L860" s="11" t="s">
        <v>82</v>
      </c>
      <c r="M860" s="11" t="s">
        <v>73</v>
      </c>
      <c r="N860" s="11" t="s">
        <v>93</v>
      </c>
      <c r="O860" s="11" t="s">
        <v>94</v>
      </c>
      <c r="P860" s="11" t="s">
        <v>95</v>
      </c>
      <c r="Q860" s="13" t="n">
        <f aca="false">F860*H860</f>
        <v>50492232</v>
      </c>
      <c r="R860" s="13" t="n">
        <f aca="false">G860*H860</f>
        <v>39204000</v>
      </c>
      <c r="S860" s="13" t="n">
        <f aca="false">Q860-R860</f>
        <v>11288232</v>
      </c>
      <c r="T860" s="14" t="n">
        <f aca="false">IFERROR(S860/Q860,0)</f>
        <v>0.22356373550688</v>
      </c>
      <c r="U860" s="15" t="str">
        <f aca="false">TEXT(A860,"yyyy-mm")</f>
        <v>2022-11</v>
      </c>
    </row>
    <row r="861" customFormat="false" ht="15" hidden="false" customHeight="false" outlineLevel="0" collapsed="false">
      <c r="A861" s="10" t="n">
        <v>44879</v>
      </c>
      <c r="B861" s="11" t="s">
        <v>993</v>
      </c>
      <c r="C861" s="11" t="s">
        <v>146</v>
      </c>
      <c r="D861" s="11" t="s">
        <v>138</v>
      </c>
      <c r="E861" s="11" t="s">
        <v>139</v>
      </c>
      <c r="F861" s="12" t="n">
        <v>2728100</v>
      </c>
      <c r="G861" s="12" t="n">
        <v>2321000</v>
      </c>
      <c r="H861" s="11" t="n">
        <v>28</v>
      </c>
      <c r="I861" s="11" t="s">
        <v>69</v>
      </c>
      <c r="J861" s="11" t="s">
        <v>70</v>
      </c>
      <c r="K861" s="11" t="s">
        <v>71</v>
      </c>
      <c r="L861" s="11" t="s">
        <v>72</v>
      </c>
      <c r="M861" s="11" t="s">
        <v>73</v>
      </c>
      <c r="N861" s="11" t="s">
        <v>99</v>
      </c>
      <c r="O861" s="11" t="s">
        <v>100</v>
      </c>
      <c r="P861" s="11" t="s">
        <v>101</v>
      </c>
      <c r="Q861" s="13" t="n">
        <f aca="false">F861*H861</f>
        <v>76386800</v>
      </c>
      <c r="R861" s="13" t="n">
        <f aca="false">G861*H861</f>
        <v>64988000</v>
      </c>
      <c r="S861" s="13" t="n">
        <f aca="false">Q861-R861</f>
        <v>11398800</v>
      </c>
      <c r="T861" s="14" t="n">
        <f aca="false">IFERROR(S861/Q861,0)</f>
        <v>0.149224735163667</v>
      </c>
      <c r="U861" s="15" t="str">
        <f aca="false">TEXT(A861,"yyyy-mm")</f>
        <v>2022-11</v>
      </c>
    </row>
    <row r="862" customFormat="false" ht="15" hidden="false" customHeight="false" outlineLevel="0" collapsed="false">
      <c r="A862" s="10" t="n">
        <v>44880</v>
      </c>
      <c r="B862" s="11" t="s">
        <v>994</v>
      </c>
      <c r="C862" s="11" t="s">
        <v>148</v>
      </c>
      <c r="D862" s="11" t="s">
        <v>138</v>
      </c>
      <c r="E862" s="11" t="s">
        <v>122</v>
      </c>
      <c r="F862" s="12" t="n">
        <v>4941716</v>
      </c>
      <c r="G862" s="12" t="n">
        <v>4456000</v>
      </c>
      <c r="H862" s="11" t="n">
        <v>9</v>
      </c>
      <c r="I862" s="11" t="s">
        <v>69</v>
      </c>
      <c r="J862" s="11" t="s">
        <v>70</v>
      </c>
      <c r="K862" s="11" t="s">
        <v>71</v>
      </c>
      <c r="L862" s="11" t="s">
        <v>72</v>
      </c>
      <c r="M862" s="11" t="s">
        <v>73</v>
      </c>
      <c r="N862" s="11" t="s">
        <v>99</v>
      </c>
      <c r="O862" s="11" t="s">
        <v>100</v>
      </c>
      <c r="P862" s="11" t="s">
        <v>101</v>
      </c>
      <c r="Q862" s="13" t="n">
        <f aca="false">F862*H862</f>
        <v>44475444</v>
      </c>
      <c r="R862" s="13" t="n">
        <f aca="false">G862*H862</f>
        <v>40104000</v>
      </c>
      <c r="S862" s="13" t="n">
        <f aca="false">Q862-R862</f>
        <v>4371444</v>
      </c>
      <c r="T862" s="14" t="n">
        <f aca="false">IFERROR(S862/Q862,0)</f>
        <v>0.0982889344511097</v>
      </c>
      <c r="U862" s="15" t="str">
        <f aca="false">TEXT(A862,"yyyy-mm")</f>
        <v>2022-11</v>
      </c>
    </row>
    <row r="863" customFormat="false" ht="15" hidden="false" customHeight="false" outlineLevel="0" collapsed="false">
      <c r="A863" s="10" t="n">
        <v>44881</v>
      </c>
      <c r="B863" s="11" t="s">
        <v>995</v>
      </c>
      <c r="C863" s="11" t="s">
        <v>66</v>
      </c>
      <c r="D863" s="11" t="s">
        <v>67</v>
      </c>
      <c r="E863" s="11" t="s">
        <v>68</v>
      </c>
      <c r="F863" s="12" t="n">
        <v>3048952</v>
      </c>
      <c r="G863" s="12" t="n">
        <v>2560000</v>
      </c>
      <c r="H863" s="11" t="n">
        <v>13</v>
      </c>
      <c r="I863" s="11" t="s">
        <v>69</v>
      </c>
      <c r="J863" s="11" t="s">
        <v>112</v>
      </c>
      <c r="K863" s="11" t="s">
        <v>113</v>
      </c>
      <c r="L863" s="11" t="s">
        <v>82</v>
      </c>
      <c r="M863" s="11" t="s">
        <v>157</v>
      </c>
      <c r="N863" s="11" t="s">
        <v>93</v>
      </c>
      <c r="O863" s="11" t="s">
        <v>94</v>
      </c>
      <c r="P863" s="11" t="s">
        <v>95</v>
      </c>
      <c r="Q863" s="13" t="n">
        <f aca="false">F863*H863</f>
        <v>39636376</v>
      </c>
      <c r="R863" s="13" t="n">
        <f aca="false">G863*H863</f>
        <v>33280000</v>
      </c>
      <c r="S863" s="13" t="n">
        <f aca="false">Q863-R863</f>
        <v>6356376</v>
      </c>
      <c r="T863" s="14" t="n">
        <f aca="false">IFERROR(S863/Q863,0)</f>
        <v>0.160367234380863</v>
      </c>
      <c r="U863" s="15" t="str">
        <f aca="false">TEXT(A863,"yyyy-mm")</f>
        <v>2022-11</v>
      </c>
    </row>
    <row r="864" customFormat="false" ht="15" hidden="false" customHeight="false" outlineLevel="0" collapsed="false">
      <c r="A864" s="10" t="n">
        <v>44881</v>
      </c>
      <c r="B864" s="11" t="s">
        <v>996</v>
      </c>
      <c r="C864" s="11" t="s">
        <v>78</v>
      </c>
      <c r="D864" s="11" t="s">
        <v>67</v>
      </c>
      <c r="E864" s="11" t="s">
        <v>79</v>
      </c>
      <c r="F864" s="12" t="n">
        <v>1870000</v>
      </c>
      <c r="G864" s="12" t="n">
        <v>1650000</v>
      </c>
      <c r="H864" s="11" t="n">
        <v>10</v>
      </c>
      <c r="I864" s="11" t="s">
        <v>69</v>
      </c>
      <c r="J864" s="11" t="s">
        <v>112</v>
      </c>
      <c r="K864" s="11" t="s">
        <v>113</v>
      </c>
      <c r="L864" s="11" t="s">
        <v>82</v>
      </c>
      <c r="M864" s="11" t="s">
        <v>157</v>
      </c>
      <c r="N864" s="11" t="s">
        <v>104</v>
      </c>
      <c r="O864" s="11" t="s">
        <v>105</v>
      </c>
      <c r="P864" s="11" t="s">
        <v>106</v>
      </c>
      <c r="Q864" s="13" t="n">
        <f aca="false">F864*H864</f>
        <v>18700000</v>
      </c>
      <c r="R864" s="13" t="n">
        <f aca="false">G864*H864</f>
        <v>16500000</v>
      </c>
      <c r="S864" s="13" t="n">
        <f aca="false">Q864-R864</f>
        <v>2200000</v>
      </c>
      <c r="T864" s="14" t="n">
        <f aca="false">IFERROR(S864/Q864,0)</f>
        <v>0.117647058823529</v>
      </c>
      <c r="U864" s="15" t="str">
        <f aca="false">TEXT(A864,"yyyy-mm")</f>
        <v>2022-11</v>
      </c>
    </row>
    <row r="865" customFormat="false" ht="15" hidden="false" customHeight="false" outlineLevel="0" collapsed="false">
      <c r="A865" s="10" t="n">
        <v>44881</v>
      </c>
      <c r="B865" s="11" t="s">
        <v>997</v>
      </c>
      <c r="C865" s="11" t="s">
        <v>84</v>
      </c>
      <c r="D865" s="11" t="s">
        <v>67</v>
      </c>
      <c r="E865" s="11" t="s">
        <v>85</v>
      </c>
      <c r="F865" s="12" t="n">
        <v>2600000</v>
      </c>
      <c r="G865" s="12" t="n">
        <v>2300000</v>
      </c>
      <c r="H865" s="11" t="n">
        <v>6</v>
      </c>
      <c r="I865" s="11" t="s">
        <v>69</v>
      </c>
      <c r="J865" s="11" t="s">
        <v>70</v>
      </c>
      <c r="K865" s="11" t="s">
        <v>71</v>
      </c>
      <c r="L865" s="11" t="s">
        <v>72</v>
      </c>
      <c r="M865" s="11" t="s">
        <v>73</v>
      </c>
      <c r="N865" s="11" t="s">
        <v>74</v>
      </c>
      <c r="O865" s="11" t="s">
        <v>75</v>
      </c>
      <c r="P865" s="11" t="s">
        <v>76</v>
      </c>
      <c r="Q865" s="13" t="n">
        <f aca="false">F865*H865</f>
        <v>15600000</v>
      </c>
      <c r="R865" s="13" t="n">
        <f aca="false">G865*H865</f>
        <v>13800000</v>
      </c>
      <c r="S865" s="13" t="n">
        <f aca="false">Q865-R865</f>
        <v>1800000</v>
      </c>
      <c r="T865" s="14" t="n">
        <f aca="false">IFERROR(S865/Q865,0)</f>
        <v>0.115384615384615</v>
      </c>
      <c r="U865" s="15" t="str">
        <f aca="false">TEXT(A865,"yyyy-mm")</f>
        <v>2022-11</v>
      </c>
    </row>
    <row r="866" customFormat="false" ht="15" hidden="false" customHeight="false" outlineLevel="0" collapsed="false">
      <c r="A866" s="10" t="n">
        <v>44881</v>
      </c>
      <c r="B866" s="11" t="s">
        <v>998</v>
      </c>
      <c r="C866" s="11" t="s">
        <v>92</v>
      </c>
      <c r="D866" s="11" t="s">
        <v>67</v>
      </c>
      <c r="E866" s="11" t="s">
        <v>79</v>
      </c>
      <c r="F866" s="12" t="n">
        <v>3577480</v>
      </c>
      <c r="G866" s="12" t="n">
        <v>3100000</v>
      </c>
      <c r="H866" s="11" t="n">
        <v>7</v>
      </c>
      <c r="I866" s="11" t="s">
        <v>69</v>
      </c>
      <c r="J866" s="11" t="s">
        <v>80</v>
      </c>
      <c r="K866" s="11" t="s">
        <v>81</v>
      </c>
      <c r="L866" s="11" t="s">
        <v>82</v>
      </c>
      <c r="M866" s="11" t="s">
        <v>73</v>
      </c>
      <c r="N866" s="11" t="s">
        <v>149</v>
      </c>
      <c r="O866" s="11" t="s">
        <v>150</v>
      </c>
      <c r="P866" s="11" t="s">
        <v>151</v>
      </c>
      <c r="Q866" s="13" t="n">
        <f aca="false">F866*H866</f>
        <v>25042360</v>
      </c>
      <c r="R866" s="13" t="n">
        <f aca="false">G866*H866</f>
        <v>21700000</v>
      </c>
      <c r="S866" s="13" t="n">
        <f aca="false">Q866-R866</f>
        <v>3342360</v>
      </c>
      <c r="T866" s="14" t="n">
        <f aca="false">IFERROR(S866/Q866,0)</f>
        <v>0.133468251394837</v>
      </c>
      <c r="U866" s="15" t="str">
        <f aca="false">TEXT(A866,"yyyy-mm")</f>
        <v>2022-11</v>
      </c>
    </row>
    <row r="867" customFormat="false" ht="15" hidden="false" customHeight="false" outlineLevel="0" collapsed="false">
      <c r="A867" s="10" t="n">
        <v>44881</v>
      </c>
      <c r="B867" s="11" t="s">
        <v>999</v>
      </c>
      <c r="C867" s="11" t="s">
        <v>97</v>
      </c>
      <c r="D867" s="11" t="s">
        <v>67</v>
      </c>
      <c r="E867" s="11" t="s">
        <v>98</v>
      </c>
      <c r="F867" s="12" t="n">
        <v>4969724</v>
      </c>
      <c r="G867" s="12" t="n">
        <v>4121560</v>
      </c>
      <c r="H867" s="11" t="n">
        <v>17</v>
      </c>
      <c r="I867" s="11" t="s">
        <v>69</v>
      </c>
      <c r="J867" s="11" t="s">
        <v>70</v>
      </c>
      <c r="K867" s="11" t="s">
        <v>71</v>
      </c>
      <c r="L867" s="11" t="s">
        <v>72</v>
      </c>
      <c r="M867" s="11" t="s">
        <v>73</v>
      </c>
      <c r="N867" s="11" t="s">
        <v>104</v>
      </c>
      <c r="O867" s="11" t="s">
        <v>105</v>
      </c>
      <c r="P867" s="11" t="s">
        <v>106</v>
      </c>
      <c r="Q867" s="13" t="n">
        <f aca="false">F867*H867</f>
        <v>84485308</v>
      </c>
      <c r="R867" s="13" t="n">
        <f aca="false">G867*H867</f>
        <v>70066520</v>
      </c>
      <c r="S867" s="13" t="n">
        <f aca="false">Q867-R867</f>
        <v>14418788</v>
      </c>
      <c r="T867" s="14" t="n">
        <f aca="false">IFERROR(S867/Q867,0)</f>
        <v>0.170666218083741</v>
      </c>
      <c r="U867" s="15" t="str">
        <f aca="false">TEXT(A867,"yyyy-mm")</f>
        <v>2022-11</v>
      </c>
    </row>
    <row r="868" customFormat="false" ht="15" hidden="false" customHeight="false" outlineLevel="0" collapsed="false">
      <c r="A868" s="10" t="n">
        <v>44881</v>
      </c>
      <c r="B868" s="11" t="s">
        <v>1000</v>
      </c>
      <c r="C868" s="11" t="s">
        <v>103</v>
      </c>
      <c r="D868" s="11" t="s">
        <v>67</v>
      </c>
      <c r="E868" s="11" t="s">
        <v>68</v>
      </c>
      <c r="F868" s="12" t="n">
        <v>3319925</v>
      </c>
      <c r="G868" s="12" t="n">
        <v>2800000</v>
      </c>
      <c r="H868" s="11" t="n">
        <v>10</v>
      </c>
      <c r="I868" s="11" t="s">
        <v>69</v>
      </c>
      <c r="J868" s="11" t="s">
        <v>80</v>
      </c>
      <c r="K868" s="11" t="s">
        <v>81</v>
      </c>
      <c r="L868" s="11" t="s">
        <v>82</v>
      </c>
      <c r="M868" s="11" t="s">
        <v>73</v>
      </c>
      <c r="N868" s="11" t="s">
        <v>109</v>
      </c>
      <c r="O868" s="11" t="s">
        <v>75</v>
      </c>
      <c r="P868" s="11" t="s">
        <v>95</v>
      </c>
      <c r="Q868" s="13" t="n">
        <f aca="false">F868*H868</f>
        <v>33199250</v>
      </c>
      <c r="R868" s="13" t="n">
        <f aca="false">G868*H868</f>
        <v>28000000</v>
      </c>
      <c r="S868" s="13" t="n">
        <f aca="false">Q868-R868</f>
        <v>5199250</v>
      </c>
      <c r="T868" s="14" t="n">
        <f aca="false">IFERROR(S868/Q868,0)</f>
        <v>0.15660745348163</v>
      </c>
      <c r="U868" s="15" t="str">
        <f aca="false">TEXT(A868,"yyyy-mm")</f>
        <v>2022-11</v>
      </c>
    </row>
    <row r="869" customFormat="false" ht="15" hidden="false" customHeight="false" outlineLevel="0" collapsed="false">
      <c r="A869" s="10" t="n">
        <v>44882</v>
      </c>
      <c r="B869" s="11" t="s">
        <v>1001</v>
      </c>
      <c r="C869" s="11" t="s">
        <v>108</v>
      </c>
      <c r="D869" s="11" t="s">
        <v>67</v>
      </c>
      <c r="E869" s="11" t="s">
        <v>68</v>
      </c>
      <c r="F869" s="12" t="n">
        <v>4757880</v>
      </c>
      <c r="G869" s="12" t="n">
        <v>3450000</v>
      </c>
      <c r="H869" s="11" t="n">
        <v>7</v>
      </c>
      <c r="I869" s="11" t="s">
        <v>69</v>
      </c>
      <c r="J869" s="11" t="s">
        <v>80</v>
      </c>
      <c r="K869" s="11" t="s">
        <v>81</v>
      </c>
      <c r="L869" s="11" t="s">
        <v>82</v>
      </c>
      <c r="M869" s="11" t="s">
        <v>73</v>
      </c>
      <c r="N869" s="11" t="s">
        <v>143</v>
      </c>
      <c r="O869" s="11" t="s">
        <v>144</v>
      </c>
      <c r="P869" s="11" t="s">
        <v>101</v>
      </c>
      <c r="Q869" s="13" t="n">
        <f aca="false">F869*H869</f>
        <v>33305160</v>
      </c>
      <c r="R869" s="13" t="n">
        <f aca="false">G869*H869</f>
        <v>24150000</v>
      </c>
      <c r="S869" s="13" t="n">
        <f aca="false">Q869-R869</f>
        <v>9155160</v>
      </c>
      <c r="T869" s="14" t="n">
        <f aca="false">IFERROR(S869/Q869,0)</f>
        <v>0.274887134606169</v>
      </c>
      <c r="U869" s="15" t="str">
        <f aca="false">TEXT(A869,"yyyy-mm")</f>
        <v>2022-11</v>
      </c>
    </row>
    <row r="870" customFormat="false" ht="15" hidden="false" customHeight="false" outlineLevel="0" collapsed="false">
      <c r="A870" s="10" t="n">
        <v>44882</v>
      </c>
      <c r="B870" s="11" t="s">
        <v>1002</v>
      </c>
      <c r="C870" s="11" t="s">
        <v>111</v>
      </c>
      <c r="D870" s="11" t="s">
        <v>67</v>
      </c>
      <c r="E870" s="11" t="s">
        <v>79</v>
      </c>
      <c r="F870" s="12" t="n">
        <v>3545808</v>
      </c>
      <c r="G870" s="12" t="n">
        <v>3350000</v>
      </c>
      <c r="H870" s="11" t="n">
        <v>20</v>
      </c>
      <c r="I870" s="11" t="s">
        <v>69</v>
      </c>
      <c r="J870" s="11" t="s">
        <v>70</v>
      </c>
      <c r="K870" s="11" t="s">
        <v>71</v>
      </c>
      <c r="L870" s="11" t="s">
        <v>72</v>
      </c>
      <c r="M870" s="11" t="s">
        <v>73</v>
      </c>
      <c r="N870" s="11" t="s">
        <v>99</v>
      </c>
      <c r="O870" s="11" t="s">
        <v>100</v>
      </c>
      <c r="P870" s="11" t="s">
        <v>101</v>
      </c>
      <c r="Q870" s="13" t="n">
        <f aca="false">F870*H870</f>
        <v>70916160</v>
      </c>
      <c r="R870" s="13" t="n">
        <f aca="false">G870*H870</f>
        <v>67000000</v>
      </c>
      <c r="S870" s="13" t="n">
        <f aca="false">Q870-R870</f>
        <v>3916160</v>
      </c>
      <c r="T870" s="14" t="n">
        <f aca="false">IFERROR(S870/Q870,0)</f>
        <v>0.0552223921881839</v>
      </c>
      <c r="U870" s="15" t="str">
        <f aca="false">TEXT(A870,"yyyy-mm")</f>
        <v>2022-11</v>
      </c>
    </row>
    <row r="871" customFormat="false" ht="15" hidden="false" customHeight="false" outlineLevel="0" collapsed="false">
      <c r="A871" s="10" t="n">
        <v>44883</v>
      </c>
      <c r="B871" s="11" t="s">
        <v>1003</v>
      </c>
      <c r="C871" s="11" t="s">
        <v>115</v>
      </c>
      <c r="D871" s="11" t="s">
        <v>67</v>
      </c>
      <c r="E871" s="11" t="s">
        <v>98</v>
      </c>
      <c r="F871" s="12" t="n">
        <v>4200743</v>
      </c>
      <c r="G871" s="12" t="n">
        <v>4101000</v>
      </c>
      <c r="H871" s="11" t="n">
        <v>6</v>
      </c>
      <c r="I871" s="11" t="s">
        <v>86</v>
      </c>
      <c r="J871" s="11" t="s">
        <v>87</v>
      </c>
      <c r="K871" s="11" t="s">
        <v>88</v>
      </c>
      <c r="L871" s="11" t="s">
        <v>89</v>
      </c>
      <c r="M871" s="11" t="s">
        <v>90</v>
      </c>
      <c r="N871" s="11" t="s">
        <v>74</v>
      </c>
      <c r="O871" s="11" t="s">
        <v>75</v>
      </c>
      <c r="P871" s="11" t="s">
        <v>76</v>
      </c>
      <c r="Q871" s="13" t="n">
        <f aca="false">F871*H871</f>
        <v>25204458</v>
      </c>
      <c r="R871" s="13" t="n">
        <f aca="false">G871*H871</f>
        <v>24606000</v>
      </c>
      <c r="S871" s="13" t="n">
        <f aca="false">Q871-R871</f>
        <v>598458</v>
      </c>
      <c r="T871" s="14" t="n">
        <f aca="false">IFERROR(S871/Q871,0)</f>
        <v>0.023744132883159</v>
      </c>
      <c r="U871" s="15" t="str">
        <f aca="false">TEXT(A871,"yyyy-mm")</f>
        <v>2022-11</v>
      </c>
    </row>
    <row r="872" customFormat="false" ht="15" hidden="false" customHeight="false" outlineLevel="0" collapsed="false">
      <c r="A872" s="10" t="n">
        <v>44883</v>
      </c>
      <c r="B872" s="11" t="s">
        <v>1004</v>
      </c>
      <c r="C872" s="11" t="s">
        <v>117</v>
      </c>
      <c r="D872" s="11" t="s">
        <v>118</v>
      </c>
      <c r="E872" s="11" t="s">
        <v>119</v>
      </c>
      <c r="F872" s="12" t="n">
        <v>8220549</v>
      </c>
      <c r="G872" s="12" t="n">
        <v>6500000</v>
      </c>
      <c r="H872" s="11" t="n">
        <v>1</v>
      </c>
      <c r="I872" s="11" t="s">
        <v>86</v>
      </c>
      <c r="J872" s="11" t="s">
        <v>87</v>
      </c>
      <c r="K872" s="11" t="s">
        <v>88</v>
      </c>
      <c r="L872" s="11" t="s">
        <v>89</v>
      </c>
      <c r="M872" s="11" t="s">
        <v>90</v>
      </c>
      <c r="N872" s="11" t="s">
        <v>133</v>
      </c>
      <c r="O872" s="11" t="s">
        <v>60</v>
      </c>
      <c r="P872" s="11" t="s">
        <v>76</v>
      </c>
      <c r="Q872" s="13" t="n">
        <f aca="false">F872*H872</f>
        <v>8220549</v>
      </c>
      <c r="R872" s="13" t="n">
        <f aca="false">G872*H872</f>
        <v>6500000</v>
      </c>
      <c r="S872" s="13" t="n">
        <f aca="false">Q872-R872</f>
        <v>1720549</v>
      </c>
      <c r="T872" s="14" t="n">
        <f aca="false">IFERROR(S872/Q872,0)</f>
        <v>0.209298551714733</v>
      </c>
      <c r="U872" s="15" t="str">
        <f aca="false">TEXT(A872,"yyyy-mm")</f>
        <v>2022-11</v>
      </c>
    </row>
    <row r="873" customFormat="false" ht="15" hidden="false" customHeight="false" outlineLevel="0" collapsed="false">
      <c r="A873" s="10" t="n">
        <v>44883</v>
      </c>
      <c r="B873" s="11" t="s">
        <v>1005</v>
      </c>
      <c r="C873" s="11" t="s">
        <v>121</v>
      </c>
      <c r="D873" s="11" t="s">
        <v>118</v>
      </c>
      <c r="E873" s="11" t="s">
        <v>122</v>
      </c>
      <c r="F873" s="12" t="n">
        <v>7687274</v>
      </c>
      <c r="G873" s="12" t="n">
        <v>6500000</v>
      </c>
      <c r="H873" s="11" t="n">
        <v>19</v>
      </c>
      <c r="I873" s="11" t="s">
        <v>69</v>
      </c>
      <c r="J873" s="11" t="s">
        <v>112</v>
      </c>
      <c r="K873" s="11" t="s">
        <v>113</v>
      </c>
      <c r="L873" s="11" t="s">
        <v>82</v>
      </c>
      <c r="M873" s="11" t="s">
        <v>157</v>
      </c>
      <c r="N873" s="11" t="s">
        <v>74</v>
      </c>
      <c r="O873" s="11" t="s">
        <v>75</v>
      </c>
      <c r="P873" s="11" t="s">
        <v>76</v>
      </c>
      <c r="Q873" s="13" t="n">
        <f aca="false">F873*H873</f>
        <v>146058206</v>
      </c>
      <c r="R873" s="13" t="n">
        <f aca="false">G873*H873</f>
        <v>123500000</v>
      </c>
      <c r="S873" s="13" t="n">
        <f aca="false">Q873-R873</f>
        <v>22558206</v>
      </c>
      <c r="T873" s="14" t="n">
        <f aca="false">IFERROR(S873/Q873,0)</f>
        <v>0.154446686822923</v>
      </c>
      <c r="U873" s="15" t="str">
        <f aca="false">TEXT(A873,"yyyy-mm")</f>
        <v>2022-11</v>
      </c>
    </row>
    <row r="874" customFormat="false" ht="15" hidden="false" customHeight="false" outlineLevel="0" collapsed="false">
      <c r="A874" s="10" t="n">
        <v>44883</v>
      </c>
      <c r="B874" s="11" t="s">
        <v>1006</v>
      </c>
      <c r="C874" s="11" t="s">
        <v>125</v>
      </c>
      <c r="D874" s="11" t="s">
        <v>118</v>
      </c>
      <c r="E874" s="11" t="s">
        <v>126</v>
      </c>
      <c r="F874" s="12" t="n">
        <v>5684211</v>
      </c>
      <c r="G874" s="12" t="n">
        <v>4300000</v>
      </c>
      <c r="H874" s="11" t="n">
        <v>13</v>
      </c>
      <c r="I874" s="11" t="s">
        <v>69</v>
      </c>
      <c r="J874" s="11" t="s">
        <v>112</v>
      </c>
      <c r="K874" s="11" t="s">
        <v>113</v>
      </c>
      <c r="L874" s="11" t="s">
        <v>82</v>
      </c>
      <c r="M874" s="11" t="s">
        <v>157</v>
      </c>
      <c r="N874" s="11" t="s">
        <v>149</v>
      </c>
      <c r="O874" s="11" t="s">
        <v>150</v>
      </c>
      <c r="P874" s="11" t="s">
        <v>151</v>
      </c>
      <c r="Q874" s="13" t="n">
        <f aca="false">F874*H874</f>
        <v>73894743</v>
      </c>
      <c r="R874" s="13" t="n">
        <f aca="false">G874*H874</f>
        <v>55900000</v>
      </c>
      <c r="S874" s="13" t="n">
        <f aca="false">Q874-R874</f>
        <v>17994743</v>
      </c>
      <c r="T874" s="14" t="n">
        <f aca="false">IFERROR(S874/Q874,0)</f>
        <v>0.243518581558637</v>
      </c>
      <c r="U874" s="15" t="str">
        <f aca="false">TEXT(A874,"yyyy-mm")</f>
        <v>2022-11</v>
      </c>
    </row>
    <row r="875" customFormat="false" ht="15" hidden="false" customHeight="false" outlineLevel="0" collapsed="false">
      <c r="A875" s="10" t="n">
        <v>44883</v>
      </c>
      <c r="B875" s="11" t="s">
        <v>1007</v>
      </c>
      <c r="C875" s="11" t="s">
        <v>128</v>
      </c>
      <c r="D875" s="11" t="s">
        <v>118</v>
      </c>
      <c r="E875" s="11" t="s">
        <v>119</v>
      </c>
      <c r="F875" s="12" t="n">
        <v>3370302</v>
      </c>
      <c r="G875" s="12" t="n">
        <v>2100000</v>
      </c>
      <c r="H875" s="11" t="n">
        <v>23</v>
      </c>
      <c r="I875" s="11" t="s">
        <v>69</v>
      </c>
      <c r="J875" s="11" t="s">
        <v>70</v>
      </c>
      <c r="K875" s="11" t="s">
        <v>71</v>
      </c>
      <c r="L875" s="11" t="s">
        <v>72</v>
      </c>
      <c r="M875" s="11" t="s">
        <v>73</v>
      </c>
      <c r="N875" s="11" t="s">
        <v>133</v>
      </c>
      <c r="O875" s="11" t="s">
        <v>60</v>
      </c>
      <c r="P875" s="11" t="s">
        <v>76</v>
      </c>
      <c r="Q875" s="13" t="n">
        <f aca="false">F875*H875</f>
        <v>77516946</v>
      </c>
      <c r="R875" s="13" t="n">
        <f aca="false">G875*H875</f>
        <v>48300000</v>
      </c>
      <c r="S875" s="13" t="n">
        <f aca="false">Q875-R875</f>
        <v>29216946</v>
      </c>
      <c r="T875" s="14" t="n">
        <f aca="false">IFERROR(S875/Q875,0)</f>
        <v>0.37691043710623</v>
      </c>
      <c r="U875" s="15" t="str">
        <f aca="false">TEXT(A875,"yyyy-mm")</f>
        <v>2022-11</v>
      </c>
    </row>
    <row r="876" customFormat="false" ht="15" hidden="false" customHeight="false" outlineLevel="0" collapsed="false">
      <c r="A876" s="10" t="n">
        <v>44883</v>
      </c>
      <c r="B876" s="11" t="s">
        <v>1008</v>
      </c>
      <c r="C876" s="11" t="s">
        <v>130</v>
      </c>
      <c r="D876" s="11" t="s">
        <v>118</v>
      </c>
      <c r="E876" s="11" t="s">
        <v>68</v>
      </c>
      <c r="F876" s="12" t="n">
        <v>2852897</v>
      </c>
      <c r="G876" s="12" t="n">
        <v>2450000</v>
      </c>
      <c r="H876" s="11" t="n">
        <v>11</v>
      </c>
      <c r="I876" s="11" t="s">
        <v>69</v>
      </c>
      <c r="J876" s="11" t="s">
        <v>70</v>
      </c>
      <c r="K876" s="11" t="s">
        <v>71</v>
      </c>
      <c r="L876" s="11" t="s">
        <v>72</v>
      </c>
      <c r="M876" s="11" t="s">
        <v>73</v>
      </c>
      <c r="N876" s="11" t="s">
        <v>133</v>
      </c>
      <c r="O876" s="11" t="s">
        <v>60</v>
      </c>
      <c r="P876" s="11" t="s">
        <v>76</v>
      </c>
      <c r="Q876" s="13" t="n">
        <f aca="false">F876*H876</f>
        <v>31381867</v>
      </c>
      <c r="R876" s="13" t="n">
        <f aca="false">G876*H876</f>
        <v>26950000</v>
      </c>
      <c r="S876" s="13" t="n">
        <f aca="false">Q876-R876</f>
        <v>4431867</v>
      </c>
      <c r="T876" s="14" t="n">
        <f aca="false">IFERROR(S876/Q876,0)</f>
        <v>0.141223815651249</v>
      </c>
      <c r="U876" s="15" t="str">
        <f aca="false">TEXT(A876,"yyyy-mm")</f>
        <v>2022-11</v>
      </c>
    </row>
    <row r="877" customFormat="false" ht="15" hidden="false" customHeight="false" outlineLevel="0" collapsed="false">
      <c r="A877" s="10" t="n">
        <v>44883</v>
      </c>
      <c r="B877" s="11" t="s">
        <v>1009</v>
      </c>
      <c r="C877" s="11" t="s">
        <v>132</v>
      </c>
      <c r="D877" s="11" t="s">
        <v>118</v>
      </c>
      <c r="E877" s="11" t="s">
        <v>68</v>
      </c>
      <c r="F877" s="12" t="n">
        <v>4803603</v>
      </c>
      <c r="G877" s="12" t="n">
        <v>4121000</v>
      </c>
      <c r="H877" s="11" t="n">
        <v>12</v>
      </c>
      <c r="I877" s="11" t="s">
        <v>69</v>
      </c>
      <c r="J877" s="11" t="s">
        <v>112</v>
      </c>
      <c r="K877" s="11" t="s">
        <v>113</v>
      </c>
      <c r="L877" s="11" t="s">
        <v>82</v>
      </c>
      <c r="M877" s="11" t="s">
        <v>157</v>
      </c>
      <c r="N877" s="11" t="s">
        <v>133</v>
      </c>
      <c r="O877" s="11" t="s">
        <v>60</v>
      </c>
      <c r="P877" s="11" t="s">
        <v>76</v>
      </c>
      <c r="Q877" s="13" t="n">
        <f aca="false">F877*H877</f>
        <v>57643236</v>
      </c>
      <c r="R877" s="13" t="n">
        <f aca="false">G877*H877</f>
        <v>49452000</v>
      </c>
      <c r="S877" s="13" t="n">
        <f aca="false">Q877-R877</f>
        <v>8191236</v>
      </c>
      <c r="T877" s="14" t="n">
        <f aca="false">IFERROR(S877/Q877,0)</f>
        <v>0.142102292799801</v>
      </c>
      <c r="U877" s="15" t="str">
        <f aca="false">TEXT(A877,"yyyy-mm")</f>
        <v>2022-11</v>
      </c>
    </row>
    <row r="878" customFormat="false" ht="15" hidden="false" customHeight="false" outlineLevel="0" collapsed="false">
      <c r="A878" s="10" t="n">
        <v>44883</v>
      </c>
      <c r="B878" s="11" t="s">
        <v>1010</v>
      </c>
      <c r="C878" s="11" t="s">
        <v>135</v>
      </c>
      <c r="D878" s="11" t="s">
        <v>118</v>
      </c>
      <c r="E878" s="11" t="s">
        <v>68</v>
      </c>
      <c r="F878" s="12" t="n">
        <v>5689947</v>
      </c>
      <c r="G878" s="12" t="n">
        <v>5235000</v>
      </c>
      <c r="H878" s="11" t="n">
        <v>29</v>
      </c>
      <c r="I878" s="11" t="s">
        <v>69</v>
      </c>
      <c r="J878" s="11" t="s">
        <v>80</v>
      </c>
      <c r="K878" s="11" t="s">
        <v>81</v>
      </c>
      <c r="L878" s="11" t="s">
        <v>82</v>
      </c>
      <c r="M878" s="11" t="s">
        <v>73</v>
      </c>
      <c r="N878" s="11" t="s">
        <v>123</v>
      </c>
      <c r="O878" s="11" t="s">
        <v>60</v>
      </c>
      <c r="P878" s="11" t="s">
        <v>106</v>
      </c>
      <c r="Q878" s="13" t="n">
        <f aca="false">F878*H878</f>
        <v>165008463</v>
      </c>
      <c r="R878" s="13" t="n">
        <f aca="false">G878*H878</f>
        <v>151815000</v>
      </c>
      <c r="S878" s="13" t="n">
        <f aca="false">Q878-R878</f>
        <v>13193463</v>
      </c>
      <c r="T878" s="14" t="n">
        <f aca="false">IFERROR(S878/Q878,0)</f>
        <v>0.0799562807878527</v>
      </c>
      <c r="U878" s="15" t="str">
        <f aca="false">TEXT(A878,"yyyy-mm")</f>
        <v>2022-11</v>
      </c>
    </row>
    <row r="879" customFormat="false" ht="15" hidden="false" customHeight="false" outlineLevel="0" collapsed="false">
      <c r="A879" s="10" t="n">
        <v>44884</v>
      </c>
      <c r="B879" s="11" t="s">
        <v>1011</v>
      </c>
      <c r="C879" s="11" t="s">
        <v>137</v>
      </c>
      <c r="D879" s="11" t="s">
        <v>138</v>
      </c>
      <c r="E879" s="11" t="s">
        <v>139</v>
      </c>
      <c r="F879" s="12" t="n">
        <v>5171827</v>
      </c>
      <c r="G879" s="12" t="n">
        <v>4890000</v>
      </c>
      <c r="H879" s="11" t="n">
        <v>10</v>
      </c>
      <c r="I879" s="11" t="s">
        <v>69</v>
      </c>
      <c r="J879" s="11" t="s">
        <v>112</v>
      </c>
      <c r="K879" s="11" t="s">
        <v>113</v>
      </c>
      <c r="L879" s="11" t="s">
        <v>82</v>
      </c>
      <c r="M879" s="11" t="s">
        <v>157</v>
      </c>
      <c r="N879" s="11" t="s">
        <v>93</v>
      </c>
      <c r="O879" s="11" t="s">
        <v>94</v>
      </c>
      <c r="P879" s="11" t="s">
        <v>95</v>
      </c>
      <c r="Q879" s="13" t="n">
        <f aca="false">F879*H879</f>
        <v>51718270</v>
      </c>
      <c r="R879" s="13" t="n">
        <f aca="false">G879*H879</f>
        <v>48900000</v>
      </c>
      <c r="S879" s="13" t="n">
        <f aca="false">Q879-R879</f>
        <v>2818270</v>
      </c>
      <c r="T879" s="14" t="n">
        <f aca="false">IFERROR(S879/Q879,0)</f>
        <v>0.0544927353525166</v>
      </c>
      <c r="U879" s="15" t="str">
        <f aca="false">TEXT(A879,"yyyy-mm")</f>
        <v>2022-11</v>
      </c>
    </row>
    <row r="880" customFormat="false" ht="15" hidden="false" customHeight="false" outlineLevel="0" collapsed="false">
      <c r="A880" s="10" t="n">
        <v>44885</v>
      </c>
      <c r="B880" s="11" t="s">
        <v>1012</v>
      </c>
      <c r="C880" s="11" t="s">
        <v>141</v>
      </c>
      <c r="D880" s="11" t="s">
        <v>138</v>
      </c>
      <c r="E880" s="11" t="s">
        <v>142</v>
      </c>
      <c r="F880" s="12" t="n">
        <v>2805124</v>
      </c>
      <c r="G880" s="12" t="n">
        <v>2178000</v>
      </c>
      <c r="H880" s="11" t="n">
        <v>13</v>
      </c>
      <c r="I880" s="11" t="s">
        <v>69</v>
      </c>
      <c r="J880" s="11" t="s">
        <v>112</v>
      </c>
      <c r="K880" s="11" t="s">
        <v>113</v>
      </c>
      <c r="L880" s="11" t="s">
        <v>82</v>
      </c>
      <c r="M880" s="11" t="s">
        <v>157</v>
      </c>
      <c r="N880" s="11" t="s">
        <v>149</v>
      </c>
      <c r="O880" s="11" t="s">
        <v>150</v>
      </c>
      <c r="P880" s="11" t="s">
        <v>151</v>
      </c>
      <c r="Q880" s="13" t="n">
        <f aca="false">F880*H880</f>
        <v>36466612</v>
      </c>
      <c r="R880" s="13" t="n">
        <f aca="false">G880*H880</f>
        <v>28314000</v>
      </c>
      <c r="S880" s="13" t="n">
        <f aca="false">Q880-R880</f>
        <v>8152612</v>
      </c>
      <c r="T880" s="14" t="n">
        <f aca="false">IFERROR(S880/Q880,0)</f>
        <v>0.22356373550688</v>
      </c>
      <c r="U880" s="15" t="str">
        <f aca="false">TEXT(A880,"yyyy-mm")</f>
        <v>2022-11</v>
      </c>
    </row>
    <row r="881" customFormat="false" ht="15" hidden="false" customHeight="false" outlineLevel="0" collapsed="false">
      <c r="A881" s="10" t="n">
        <v>44885</v>
      </c>
      <c r="B881" s="11" t="s">
        <v>1013</v>
      </c>
      <c r="C881" s="11" t="s">
        <v>146</v>
      </c>
      <c r="D881" s="11" t="s">
        <v>138</v>
      </c>
      <c r="E881" s="11" t="s">
        <v>139</v>
      </c>
      <c r="F881" s="12" t="n">
        <v>2728100</v>
      </c>
      <c r="G881" s="12" t="n">
        <v>2321000</v>
      </c>
      <c r="H881" s="11" t="n">
        <v>14</v>
      </c>
      <c r="I881" s="11" t="s">
        <v>69</v>
      </c>
      <c r="J881" s="11" t="s">
        <v>80</v>
      </c>
      <c r="K881" s="11" t="s">
        <v>81</v>
      </c>
      <c r="L881" s="11" t="s">
        <v>82</v>
      </c>
      <c r="M881" s="11" t="s">
        <v>73</v>
      </c>
      <c r="N881" s="11" t="s">
        <v>104</v>
      </c>
      <c r="O881" s="11" t="s">
        <v>105</v>
      </c>
      <c r="P881" s="11" t="s">
        <v>106</v>
      </c>
      <c r="Q881" s="13" t="n">
        <f aca="false">F881*H881</f>
        <v>38193400</v>
      </c>
      <c r="R881" s="13" t="n">
        <f aca="false">G881*H881</f>
        <v>32494000</v>
      </c>
      <c r="S881" s="13" t="n">
        <f aca="false">Q881-R881</f>
        <v>5699400</v>
      </c>
      <c r="T881" s="14" t="n">
        <f aca="false">IFERROR(S881/Q881,0)</f>
        <v>0.149224735163667</v>
      </c>
      <c r="U881" s="15" t="str">
        <f aca="false">TEXT(A881,"yyyy-mm")</f>
        <v>2022-11</v>
      </c>
    </row>
    <row r="882" customFormat="false" ht="15" hidden="false" customHeight="false" outlineLevel="0" collapsed="false">
      <c r="A882" s="10" t="n">
        <v>44886</v>
      </c>
      <c r="B882" s="11" t="s">
        <v>1014</v>
      </c>
      <c r="C882" s="11" t="s">
        <v>148</v>
      </c>
      <c r="D882" s="11" t="s">
        <v>138</v>
      </c>
      <c r="E882" s="11" t="s">
        <v>122</v>
      </c>
      <c r="F882" s="12" t="n">
        <v>4941716</v>
      </c>
      <c r="G882" s="12" t="n">
        <v>4456000</v>
      </c>
      <c r="H882" s="11" t="n">
        <v>27</v>
      </c>
      <c r="I882" s="11" t="s">
        <v>69</v>
      </c>
      <c r="J882" s="11" t="s">
        <v>70</v>
      </c>
      <c r="K882" s="11" t="s">
        <v>71</v>
      </c>
      <c r="L882" s="11" t="s">
        <v>72</v>
      </c>
      <c r="M882" s="11" t="s">
        <v>73</v>
      </c>
      <c r="N882" s="11" t="s">
        <v>99</v>
      </c>
      <c r="O882" s="11" t="s">
        <v>100</v>
      </c>
      <c r="P882" s="11" t="s">
        <v>101</v>
      </c>
      <c r="Q882" s="13" t="n">
        <f aca="false">F882*H882</f>
        <v>133426332</v>
      </c>
      <c r="R882" s="13" t="n">
        <f aca="false">G882*H882</f>
        <v>120312000</v>
      </c>
      <c r="S882" s="13" t="n">
        <f aca="false">Q882-R882</f>
        <v>13114332</v>
      </c>
      <c r="T882" s="14" t="n">
        <f aca="false">IFERROR(S882/Q882,0)</f>
        <v>0.0982889344511097</v>
      </c>
      <c r="U882" s="15" t="str">
        <f aca="false">TEXT(A882,"yyyy-mm")</f>
        <v>2022-11</v>
      </c>
    </row>
    <row r="883" customFormat="false" ht="15" hidden="false" customHeight="false" outlineLevel="0" collapsed="false">
      <c r="A883" s="10" t="n">
        <v>44886</v>
      </c>
      <c r="B883" s="11" t="s">
        <v>1015</v>
      </c>
      <c r="C883" s="11" t="s">
        <v>66</v>
      </c>
      <c r="D883" s="11" t="s">
        <v>67</v>
      </c>
      <c r="E883" s="11" t="s">
        <v>68</v>
      </c>
      <c r="F883" s="12" t="n">
        <v>3048952</v>
      </c>
      <c r="G883" s="12" t="n">
        <v>2560000</v>
      </c>
      <c r="H883" s="11" t="n">
        <v>2</v>
      </c>
      <c r="I883" s="11" t="s">
        <v>69</v>
      </c>
      <c r="J883" s="11" t="s">
        <v>112</v>
      </c>
      <c r="K883" s="11" t="s">
        <v>113</v>
      </c>
      <c r="L883" s="11" t="s">
        <v>82</v>
      </c>
      <c r="M883" s="11" t="s">
        <v>157</v>
      </c>
      <c r="N883" s="11" t="s">
        <v>133</v>
      </c>
      <c r="O883" s="11" t="s">
        <v>60</v>
      </c>
      <c r="P883" s="11" t="s">
        <v>76</v>
      </c>
      <c r="Q883" s="13" t="n">
        <f aca="false">F883*H883</f>
        <v>6097904</v>
      </c>
      <c r="R883" s="13" t="n">
        <f aca="false">G883*H883</f>
        <v>5120000</v>
      </c>
      <c r="S883" s="13" t="n">
        <f aca="false">Q883-R883</f>
        <v>977904</v>
      </c>
      <c r="T883" s="14" t="n">
        <f aca="false">IFERROR(S883/Q883,0)</f>
        <v>0.160367234380863</v>
      </c>
      <c r="U883" s="15" t="str">
        <f aca="false">TEXT(A883,"yyyy-mm")</f>
        <v>2022-11</v>
      </c>
    </row>
    <row r="884" customFormat="false" ht="15" hidden="false" customHeight="false" outlineLevel="0" collapsed="false">
      <c r="A884" s="10" t="n">
        <v>44887</v>
      </c>
      <c r="B884" s="11" t="s">
        <v>1016</v>
      </c>
      <c r="C884" s="11" t="s">
        <v>78</v>
      </c>
      <c r="D884" s="11" t="s">
        <v>67</v>
      </c>
      <c r="E884" s="11" t="s">
        <v>79</v>
      </c>
      <c r="F884" s="12" t="n">
        <v>1870000</v>
      </c>
      <c r="G884" s="12" t="n">
        <v>1650000</v>
      </c>
      <c r="H884" s="11" t="n">
        <v>18</v>
      </c>
      <c r="I884" s="11" t="s">
        <v>69</v>
      </c>
      <c r="J884" s="11" t="s">
        <v>70</v>
      </c>
      <c r="K884" s="11" t="s">
        <v>71</v>
      </c>
      <c r="L884" s="11" t="s">
        <v>72</v>
      </c>
      <c r="M884" s="11" t="s">
        <v>73</v>
      </c>
      <c r="N884" s="11" t="s">
        <v>99</v>
      </c>
      <c r="O884" s="11" t="s">
        <v>100</v>
      </c>
      <c r="P884" s="11" t="s">
        <v>101</v>
      </c>
      <c r="Q884" s="13" t="n">
        <f aca="false">F884*H884</f>
        <v>33660000</v>
      </c>
      <c r="R884" s="13" t="n">
        <f aca="false">G884*H884</f>
        <v>29700000</v>
      </c>
      <c r="S884" s="13" t="n">
        <f aca="false">Q884-R884</f>
        <v>3960000</v>
      </c>
      <c r="T884" s="14" t="n">
        <f aca="false">IFERROR(S884/Q884,0)</f>
        <v>0.117647058823529</v>
      </c>
      <c r="U884" s="15" t="str">
        <f aca="false">TEXT(A884,"yyyy-mm")</f>
        <v>2022-11</v>
      </c>
    </row>
    <row r="885" customFormat="false" ht="15" hidden="false" customHeight="false" outlineLevel="0" collapsed="false">
      <c r="A885" s="10" t="n">
        <v>44887</v>
      </c>
      <c r="B885" s="11" t="s">
        <v>1017</v>
      </c>
      <c r="C885" s="11" t="s">
        <v>84</v>
      </c>
      <c r="D885" s="11" t="s">
        <v>67</v>
      </c>
      <c r="E885" s="11" t="s">
        <v>85</v>
      </c>
      <c r="F885" s="12" t="n">
        <v>2600000</v>
      </c>
      <c r="G885" s="12" t="n">
        <v>2300000</v>
      </c>
      <c r="H885" s="11" t="n">
        <v>13</v>
      </c>
      <c r="I885" s="11" t="s">
        <v>86</v>
      </c>
      <c r="J885" s="11" t="s">
        <v>87</v>
      </c>
      <c r="K885" s="11" t="s">
        <v>88</v>
      </c>
      <c r="L885" s="11" t="s">
        <v>89</v>
      </c>
      <c r="M885" s="11" t="s">
        <v>90</v>
      </c>
      <c r="N885" s="11" t="s">
        <v>74</v>
      </c>
      <c r="O885" s="11" t="s">
        <v>75</v>
      </c>
      <c r="P885" s="11" t="s">
        <v>76</v>
      </c>
      <c r="Q885" s="13" t="n">
        <f aca="false">F885*H885</f>
        <v>33800000</v>
      </c>
      <c r="R885" s="13" t="n">
        <f aca="false">G885*H885</f>
        <v>29900000</v>
      </c>
      <c r="S885" s="13" t="n">
        <f aca="false">Q885-R885</f>
        <v>3900000</v>
      </c>
      <c r="T885" s="14" t="n">
        <f aca="false">IFERROR(S885/Q885,0)</f>
        <v>0.115384615384615</v>
      </c>
      <c r="U885" s="15" t="str">
        <f aca="false">TEXT(A885,"yyyy-mm")</f>
        <v>2022-11</v>
      </c>
    </row>
    <row r="886" customFormat="false" ht="15" hidden="false" customHeight="false" outlineLevel="0" collapsed="false">
      <c r="A886" s="10" t="n">
        <v>44887</v>
      </c>
      <c r="B886" s="11" t="s">
        <v>1018</v>
      </c>
      <c r="C886" s="11" t="s">
        <v>92</v>
      </c>
      <c r="D886" s="11" t="s">
        <v>67</v>
      </c>
      <c r="E886" s="11" t="s">
        <v>79</v>
      </c>
      <c r="F886" s="12" t="n">
        <v>3577480</v>
      </c>
      <c r="G886" s="12" t="n">
        <v>3100000</v>
      </c>
      <c r="H886" s="11" t="n">
        <v>29</v>
      </c>
      <c r="I886" s="11" t="s">
        <v>69</v>
      </c>
      <c r="J886" s="11" t="s">
        <v>80</v>
      </c>
      <c r="K886" s="11" t="s">
        <v>81</v>
      </c>
      <c r="L886" s="11" t="s">
        <v>82</v>
      </c>
      <c r="M886" s="11" t="s">
        <v>73</v>
      </c>
      <c r="N886" s="11" t="s">
        <v>143</v>
      </c>
      <c r="O886" s="11" t="s">
        <v>144</v>
      </c>
      <c r="P886" s="11" t="s">
        <v>101</v>
      </c>
      <c r="Q886" s="13" t="n">
        <f aca="false">F886*H886</f>
        <v>103746920</v>
      </c>
      <c r="R886" s="13" t="n">
        <f aca="false">G886*H886</f>
        <v>89900000</v>
      </c>
      <c r="S886" s="13" t="n">
        <f aca="false">Q886-R886</f>
        <v>13846920</v>
      </c>
      <c r="T886" s="14" t="n">
        <f aca="false">IFERROR(S886/Q886,0)</f>
        <v>0.133468251394837</v>
      </c>
      <c r="U886" s="15" t="str">
        <f aca="false">TEXT(A886,"yyyy-mm")</f>
        <v>2022-11</v>
      </c>
    </row>
    <row r="887" customFormat="false" ht="15" hidden="false" customHeight="false" outlineLevel="0" collapsed="false">
      <c r="A887" s="10" t="n">
        <v>44887</v>
      </c>
      <c r="B887" s="11" t="s">
        <v>1019</v>
      </c>
      <c r="C887" s="11" t="s">
        <v>97</v>
      </c>
      <c r="D887" s="11" t="s">
        <v>67</v>
      </c>
      <c r="E887" s="11" t="s">
        <v>98</v>
      </c>
      <c r="F887" s="12" t="n">
        <v>4969724</v>
      </c>
      <c r="G887" s="12" t="n">
        <v>4121560</v>
      </c>
      <c r="H887" s="11" t="n">
        <v>8</v>
      </c>
      <c r="I887" s="11" t="s">
        <v>69</v>
      </c>
      <c r="J887" s="11" t="s">
        <v>112</v>
      </c>
      <c r="K887" s="11" t="s">
        <v>113</v>
      </c>
      <c r="L887" s="11" t="s">
        <v>82</v>
      </c>
      <c r="M887" s="11" t="s">
        <v>157</v>
      </c>
      <c r="N887" s="11" t="s">
        <v>133</v>
      </c>
      <c r="O887" s="11" t="s">
        <v>60</v>
      </c>
      <c r="P887" s="11" t="s">
        <v>76</v>
      </c>
      <c r="Q887" s="13" t="n">
        <f aca="false">F887*H887</f>
        <v>39757792</v>
      </c>
      <c r="R887" s="13" t="n">
        <f aca="false">G887*H887</f>
        <v>32972480</v>
      </c>
      <c r="S887" s="13" t="n">
        <f aca="false">Q887-R887</f>
        <v>6785312</v>
      </c>
      <c r="T887" s="14" t="n">
        <f aca="false">IFERROR(S887/Q887,0)</f>
        <v>0.170666218083741</v>
      </c>
      <c r="U887" s="15" t="str">
        <f aca="false">TEXT(A887,"yyyy-mm")</f>
        <v>2022-11</v>
      </c>
    </row>
    <row r="888" customFormat="false" ht="15" hidden="false" customHeight="false" outlineLevel="0" collapsed="false">
      <c r="A888" s="10" t="n">
        <v>44887</v>
      </c>
      <c r="B888" s="11" t="s">
        <v>1020</v>
      </c>
      <c r="C888" s="11" t="s">
        <v>103</v>
      </c>
      <c r="D888" s="11" t="s">
        <v>67</v>
      </c>
      <c r="E888" s="11" t="s">
        <v>68</v>
      </c>
      <c r="F888" s="12" t="n">
        <v>3319925</v>
      </c>
      <c r="G888" s="12" t="n">
        <v>2800000</v>
      </c>
      <c r="H888" s="11" t="n">
        <v>5</v>
      </c>
      <c r="I888" s="11" t="s">
        <v>86</v>
      </c>
      <c r="J888" s="11" t="s">
        <v>87</v>
      </c>
      <c r="K888" s="11" t="s">
        <v>88</v>
      </c>
      <c r="L888" s="11" t="s">
        <v>89</v>
      </c>
      <c r="M888" s="11" t="s">
        <v>90</v>
      </c>
      <c r="N888" s="11" t="s">
        <v>173</v>
      </c>
      <c r="O888" s="11" t="s">
        <v>174</v>
      </c>
      <c r="P888" s="11" t="s">
        <v>95</v>
      </c>
      <c r="Q888" s="13" t="n">
        <f aca="false">F888*H888</f>
        <v>16599625</v>
      </c>
      <c r="R888" s="13" t="n">
        <f aca="false">G888*H888</f>
        <v>14000000</v>
      </c>
      <c r="S888" s="13" t="n">
        <f aca="false">Q888-R888</f>
        <v>2599625</v>
      </c>
      <c r="T888" s="14" t="n">
        <f aca="false">IFERROR(S888/Q888,0)</f>
        <v>0.15660745348163</v>
      </c>
      <c r="U888" s="15" t="str">
        <f aca="false">TEXT(A888,"yyyy-mm")</f>
        <v>2022-11</v>
      </c>
    </row>
    <row r="889" customFormat="false" ht="15" hidden="false" customHeight="false" outlineLevel="0" collapsed="false">
      <c r="A889" s="10" t="n">
        <v>44888</v>
      </c>
      <c r="B889" s="11" t="s">
        <v>1021</v>
      </c>
      <c r="C889" s="11" t="s">
        <v>108</v>
      </c>
      <c r="D889" s="11" t="s">
        <v>67</v>
      </c>
      <c r="E889" s="11" t="s">
        <v>68</v>
      </c>
      <c r="F889" s="12" t="n">
        <v>4757880</v>
      </c>
      <c r="G889" s="12" t="n">
        <v>3450000</v>
      </c>
      <c r="H889" s="11" t="n">
        <v>12</v>
      </c>
      <c r="I889" s="11" t="s">
        <v>69</v>
      </c>
      <c r="J889" s="11" t="s">
        <v>80</v>
      </c>
      <c r="K889" s="11" t="s">
        <v>81</v>
      </c>
      <c r="L889" s="11" t="s">
        <v>82</v>
      </c>
      <c r="M889" s="11" t="s">
        <v>73</v>
      </c>
      <c r="N889" s="11" t="s">
        <v>123</v>
      </c>
      <c r="O889" s="11" t="s">
        <v>60</v>
      </c>
      <c r="P889" s="11" t="s">
        <v>106</v>
      </c>
      <c r="Q889" s="13" t="n">
        <f aca="false">F889*H889</f>
        <v>57094560</v>
      </c>
      <c r="R889" s="13" t="n">
        <f aca="false">G889*H889</f>
        <v>41400000</v>
      </c>
      <c r="S889" s="13" t="n">
        <f aca="false">Q889-R889</f>
        <v>15694560</v>
      </c>
      <c r="T889" s="14" t="n">
        <f aca="false">IFERROR(S889/Q889,0)</f>
        <v>0.274887134606169</v>
      </c>
      <c r="U889" s="15" t="str">
        <f aca="false">TEXT(A889,"yyyy-mm")</f>
        <v>2022-11</v>
      </c>
    </row>
    <row r="890" customFormat="false" ht="15" hidden="false" customHeight="false" outlineLevel="0" collapsed="false">
      <c r="A890" s="10" t="n">
        <v>44888</v>
      </c>
      <c r="B890" s="11" t="s">
        <v>1022</v>
      </c>
      <c r="C890" s="11" t="s">
        <v>111</v>
      </c>
      <c r="D890" s="11" t="s">
        <v>67</v>
      </c>
      <c r="E890" s="11" t="s">
        <v>79</v>
      </c>
      <c r="F890" s="12" t="n">
        <v>3545808</v>
      </c>
      <c r="G890" s="12" t="n">
        <v>3350000</v>
      </c>
      <c r="H890" s="11" t="n">
        <v>17</v>
      </c>
      <c r="I890" s="11" t="s">
        <v>86</v>
      </c>
      <c r="J890" s="11" t="s">
        <v>87</v>
      </c>
      <c r="K890" s="11" t="s">
        <v>88</v>
      </c>
      <c r="L890" s="11" t="s">
        <v>89</v>
      </c>
      <c r="M890" s="11" t="s">
        <v>90</v>
      </c>
      <c r="N890" s="11" t="s">
        <v>143</v>
      </c>
      <c r="O890" s="11" t="s">
        <v>144</v>
      </c>
      <c r="P890" s="11" t="s">
        <v>101</v>
      </c>
      <c r="Q890" s="13" t="n">
        <f aca="false">F890*H890</f>
        <v>60278736</v>
      </c>
      <c r="R890" s="13" t="n">
        <f aca="false">G890*H890</f>
        <v>56950000</v>
      </c>
      <c r="S890" s="13" t="n">
        <f aca="false">Q890-R890</f>
        <v>3328736</v>
      </c>
      <c r="T890" s="14" t="n">
        <f aca="false">IFERROR(S890/Q890,0)</f>
        <v>0.0552223921881839</v>
      </c>
      <c r="U890" s="15" t="str">
        <f aca="false">TEXT(A890,"yyyy-mm")</f>
        <v>2022-11</v>
      </c>
    </row>
    <row r="891" customFormat="false" ht="15" hidden="false" customHeight="false" outlineLevel="0" collapsed="false">
      <c r="A891" s="10" t="n">
        <v>44888</v>
      </c>
      <c r="B891" s="11" t="s">
        <v>1023</v>
      </c>
      <c r="C891" s="11" t="s">
        <v>115</v>
      </c>
      <c r="D891" s="11" t="s">
        <v>67</v>
      </c>
      <c r="E891" s="11" t="s">
        <v>98</v>
      </c>
      <c r="F891" s="12" t="n">
        <v>4200743</v>
      </c>
      <c r="G891" s="12" t="n">
        <v>4101000</v>
      </c>
      <c r="H891" s="11" t="n">
        <v>3</v>
      </c>
      <c r="I891" s="11" t="s">
        <v>86</v>
      </c>
      <c r="J891" s="11" t="s">
        <v>87</v>
      </c>
      <c r="K891" s="11" t="s">
        <v>88</v>
      </c>
      <c r="L891" s="11" t="s">
        <v>89</v>
      </c>
      <c r="M891" s="11" t="s">
        <v>90</v>
      </c>
      <c r="N891" s="11" t="s">
        <v>109</v>
      </c>
      <c r="O891" s="11" t="s">
        <v>75</v>
      </c>
      <c r="P891" s="11" t="s">
        <v>95</v>
      </c>
      <c r="Q891" s="13" t="n">
        <f aca="false">F891*H891</f>
        <v>12602229</v>
      </c>
      <c r="R891" s="13" t="n">
        <f aca="false">G891*H891</f>
        <v>12303000</v>
      </c>
      <c r="S891" s="13" t="n">
        <f aca="false">Q891-R891</f>
        <v>299229</v>
      </c>
      <c r="T891" s="14" t="n">
        <f aca="false">IFERROR(S891/Q891,0)</f>
        <v>0.023744132883159</v>
      </c>
      <c r="U891" s="15" t="str">
        <f aca="false">TEXT(A891,"yyyy-mm")</f>
        <v>2022-11</v>
      </c>
    </row>
    <row r="892" customFormat="false" ht="15" hidden="false" customHeight="false" outlineLevel="0" collapsed="false">
      <c r="A892" s="10" t="n">
        <v>44888</v>
      </c>
      <c r="B892" s="11" t="s">
        <v>1024</v>
      </c>
      <c r="C892" s="11" t="s">
        <v>117</v>
      </c>
      <c r="D892" s="11" t="s">
        <v>118</v>
      </c>
      <c r="E892" s="11" t="s">
        <v>119</v>
      </c>
      <c r="F892" s="12" t="n">
        <v>8220549</v>
      </c>
      <c r="G892" s="12" t="n">
        <v>6500000</v>
      </c>
      <c r="H892" s="11" t="n">
        <v>23</v>
      </c>
      <c r="I892" s="11" t="s">
        <v>86</v>
      </c>
      <c r="J892" s="11" t="s">
        <v>87</v>
      </c>
      <c r="K892" s="11" t="s">
        <v>88</v>
      </c>
      <c r="L892" s="11" t="s">
        <v>89</v>
      </c>
      <c r="M892" s="11" t="s">
        <v>90</v>
      </c>
      <c r="N892" s="11" t="s">
        <v>173</v>
      </c>
      <c r="O892" s="11" t="s">
        <v>174</v>
      </c>
      <c r="P892" s="11" t="s">
        <v>95</v>
      </c>
      <c r="Q892" s="13" t="n">
        <f aca="false">F892*H892</f>
        <v>189072627</v>
      </c>
      <c r="R892" s="13" t="n">
        <f aca="false">G892*H892</f>
        <v>149500000</v>
      </c>
      <c r="S892" s="13" t="n">
        <f aca="false">Q892-R892</f>
        <v>39572627</v>
      </c>
      <c r="T892" s="14" t="n">
        <f aca="false">IFERROR(S892/Q892,0)</f>
        <v>0.209298551714733</v>
      </c>
      <c r="U892" s="15" t="str">
        <f aca="false">TEXT(A892,"yyyy-mm")</f>
        <v>2022-11</v>
      </c>
    </row>
    <row r="893" customFormat="false" ht="15" hidden="false" customHeight="false" outlineLevel="0" collapsed="false">
      <c r="A893" s="10" t="n">
        <v>44888</v>
      </c>
      <c r="B893" s="11" t="s">
        <v>1025</v>
      </c>
      <c r="C893" s="11" t="s">
        <v>121</v>
      </c>
      <c r="D893" s="11" t="s">
        <v>118</v>
      </c>
      <c r="E893" s="11" t="s">
        <v>122</v>
      </c>
      <c r="F893" s="12" t="n">
        <v>7687274</v>
      </c>
      <c r="G893" s="12" t="n">
        <v>6500000</v>
      </c>
      <c r="H893" s="11" t="n">
        <v>4</v>
      </c>
      <c r="I893" s="11" t="s">
        <v>69</v>
      </c>
      <c r="J893" s="11" t="s">
        <v>80</v>
      </c>
      <c r="K893" s="11" t="s">
        <v>81</v>
      </c>
      <c r="L893" s="11" t="s">
        <v>82</v>
      </c>
      <c r="M893" s="11" t="s">
        <v>73</v>
      </c>
      <c r="N893" s="11" t="s">
        <v>104</v>
      </c>
      <c r="O893" s="11" t="s">
        <v>105</v>
      </c>
      <c r="P893" s="11" t="s">
        <v>106</v>
      </c>
      <c r="Q893" s="13" t="n">
        <f aca="false">F893*H893</f>
        <v>30749096</v>
      </c>
      <c r="R893" s="13" t="n">
        <f aca="false">G893*H893</f>
        <v>26000000</v>
      </c>
      <c r="S893" s="13" t="n">
        <f aca="false">Q893-R893</f>
        <v>4749096</v>
      </c>
      <c r="T893" s="14" t="n">
        <f aca="false">IFERROR(S893/Q893,0)</f>
        <v>0.154446686822923</v>
      </c>
      <c r="U893" s="15" t="str">
        <f aca="false">TEXT(A893,"yyyy-mm")</f>
        <v>2022-11</v>
      </c>
    </row>
    <row r="894" customFormat="false" ht="15" hidden="false" customHeight="false" outlineLevel="0" collapsed="false">
      <c r="A894" s="10" t="n">
        <v>44889</v>
      </c>
      <c r="B894" s="11" t="s">
        <v>1026</v>
      </c>
      <c r="C894" s="11" t="s">
        <v>125</v>
      </c>
      <c r="D894" s="11" t="s">
        <v>118</v>
      </c>
      <c r="E894" s="11" t="s">
        <v>126</v>
      </c>
      <c r="F894" s="12" t="n">
        <v>5684211</v>
      </c>
      <c r="G894" s="12" t="n">
        <v>4300000</v>
      </c>
      <c r="H894" s="11" t="n">
        <v>1</v>
      </c>
      <c r="I894" s="11" t="s">
        <v>69</v>
      </c>
      <c r="J894" s="11" t="s">
        <v>70</v>
      </c>
      <c r="K894" s="11" t="s">
        <v>71</v>
      </c>
      <c r="L894" s="11" t="s">
        <v>72</v>
      </c>
      <c r="M894" s="11" t="s">
        <v>73</v>
      </c>
      <c r="N894" s="11" t="s">
        <v>99</v>
      </c>
      <c r="O894" s="11" t="s">
        <v>100</v>
      </c>
      <c r="P894" s="11" t="s">
        <v>101</v>
      </c>
      <c r="Q894" s="13" t="n">
        <f aca="false">F894*H894</f>
        <v>5684211</v>
      </c>
      <c r="R894" s="13" t="n">
        <f aca="false">G894*H894</f>
        <v>4300000</v>
      </c>
      <c r="S894" s="13" t="n">
        <f aca="false">Q894-R894</f>
        <v>1384211</v>
      </c>
      <c r="T894" s="14" t="n">
        <f aca="false">IFERROR(S894/Q894,0)</f>
        <v>0.243518581558637</v>
      </c>
      <c r="U894" s="15" t="str">
        <f aca="false">TEXT(A894,"yyyy-mm")</f>
        <v>2022-11</v>
      </c>
    </row>
    <row r="895" customFormat="false" ht="15" hidden="false" customHeight="false" outlineLevel="0" collapsed="false">
      <c r="A895" s="10" t="n">
        <v>44889</v>
      </c>
      <c r="B895" s="11" t="s">
        <v>1027</v>
      </c>
      <c r="C895" s="11" t="s">
        <v>128</v>
      </c>
      <c r="D895" s="11" t="s">
        <v>118</v>
      </c>
      <c r="E895" s="11" t="s">
        <v>119</v>
      </c>
      <c r="F895" s="12" t="n">
        <v>3370302</v>
      </c>
      <c r="G895" s="12" t="n">
        <v>2100000</v>
      </c>
      <c r="H895" s="11" t="n">
        <v>28</v>
      </c>
      <c r="I895" s="11" t="s">
        <v>69</v>
      </c>
      <c r="J895" s="11" t="s">
        <v>70</v>
      </c>
      <c r="K895" s="11" t="s">
        <v>71</v>
      </c>
      <c r="L895" s="11" t="s">
        <v>72</v>
      </c>
      <c r="M895" s="11" t="s">
        <v>73</v>
      </c>
      <c r="N895" s="11" t="s">
        <v>173</v>
      </c>
      <c r="O895" s="11" t="s">
        <v>174</v>
      </c>
      <c r="P895" s="11" t="s">
        <v>95</v>
      </c>
      <c r="Q895" s="13" t="n">
        <f aca="false">F895*H895</f>
        <v>94368456</v>
      </c>
      <c r="R895" s="13" t="n">
        <f aca="false">G895*H895</f>
        <v>58800000</v>
      </c>
      <c r="S895" s="13" t="n">
        <f aca="false">Q895-R895</f>
        <v>35568456</v>
      </c>
      <c r="T895" s="14" t="n">
        <f aca="false">IFERROR(S895/Q895,0)</f>
        <v>0.37691043710623</v>
      </c>
      <c r="U895" s="15" t="str">
        <f aca="false">TEXT(A895,"yyyy-mm")</f>
        <v>2022-11</v>
      </c>
    </row>
    <row r="896" customFormat="false" ht="15" hidden="false" customHeight="false" outlineLevel="0" collapsed="false">
      <c r="A896" s="10" t="n">
        <v>44889</v>
      </c>
      <c r="B896" s="11" t="s">
        <v>1028</v>
      </c>
      <c r="C896" s="11" t="s">
        <v>130</v>
      </c>
      <c r="D896" s="11" t="s">
        <v>118</v>
      </c>
      <c r="E896" s="11" t="s">
        <v>68</v>
      </c>
      <c r="F896" s="12" t="n">
        <v>2852897</v>
      </c>
      <c r="G896" s="12" t="n">
        <v>2450000</v>
      </c>
      <c r="H896" s="11" t="n">
        <v>13</v>
      </c>
      <c r="I896" s="11" t="s">
        <v>86</v>
      </c>
      <c r="J896" s="11" t="s">
        <v>87</v>
      </c>
      <c r="K896" s="11" t="s">
        <v>88</v>
      </c>
      <c r="L896" s="11" t="s">
        <v>89</v>
      </c>
      <c r="M896" s="11" t="s">
        <v>90</v>
      </c>
      <c r="N896" s="11" t="s">
        <v>133</v>
      </c>
      <c r="O896" s="11" t="s">
        <v>60</v>
      </c>
      <c r="P896" s="11" t="s">
        <v>76</v>
      </c>
      <c r="Q896" s="13" t="n">
        <f aca="false">F896*H896</f>
        <v>37087661</v>
      </c>
      <c r="R896" s="13" t="n">
        <f aca="false">G896*H896</f>
        <v>31850000</v>
      </c>
      <c r="S896" s="13" t="n">
        <f aca="false">Q896-R896</f>
        <v>5237661</v>
      </c>
      <c r="T896" s="14" t="n">
        <f aca="false">IFERROR(S896/Q896,0)</f>
        <v>0.141223815651249</v>
      </c>
      <c r="U896" s="15" t="str">
        <f aca="false">TEXT(A896,"yyyy-mm")</f>
        <v>2022-11</v>
      </c>
    </row>
    <row r="897" customFormat="false" ht="15" hidden="false" customHeight="false" outlineLevel="0" collapsed="false">
      <c r="A897" s="10" t="n">
        <v>44889</v>
      </c>
      <c r="B897" s="11" t="s">
        <v>1029</v>
      </c>
      <c r="C897" s="11" t="s">
        <v>132</v>
      </c>
      <c r="D897" s="11" t="s">
        <v>118</v>
      </c>
      <c r="E897" s="11" t="s">
        <v>68</v>
      </c>
      <c r="F897" s="12" t="n">
        <v>4803603</v>
      </c>
      <c r="G897" s="12" t="n">
        <v>4121000</v>
      </c>
      <c r="H897" s="11" t="n">
        <v>16</v>
      </c>
      <c r="I897" s="11" t="s">
        <v>69</v>
      </c>
      <c r="J897" s="11" t="s">
        <v>112</v>
      </c>
      <c r="K897" s="11" t="s">
        <v>113</v>
      </c>
      <c r="L897" s="11" t="s">
        <v>82</v>
      </c>
      <c r="M897" s="11" t="s">
        <v>157</v>
      </c>
      <c r="N897" s="11" t="s">
        <v>173</v>
      </c>
      <c r="O897" s="11" t="s">
        <v>174</v>
      </c>
      <c r="P897" s="11" t="s">
        <v>95</v>
      </c>
      <c r="Q897" s="13" t="n">
        <f aca="false">F897*H897</f>
        <v>76857648</v>
      </c>
      <c r="R897" s="13" t="n">
        <f aca="false">G897*H897</f>
        <v>65936000</v>
      </c>
      <c r="S897" s="13" t="n">
        <f aca="false">Q897-R897</f>
        <v>10921648</v>
      </c>
      <c r="T897" s="14" t="n">
        <f aca="false">IFERROR(S897/Q897,0)</f>
        <v>0.142102292799801</v>
      </c>
      <c r="U897" s="15" t="str">
        <f aca="false">TEXT(A897,"yyyy-mm")</f>
        <v>2022-11</v>
      </c>
    </row>
    <row r="898" customFormat="false" ht="15" hidden="false" customHeight="false" outlineLevel="0" collapsed="false">
      <c r="A898" s="10" t="n">
        <v>44889</v>
      </c>
      <c r="B898" s="11" t="s">
        <v>1030</v>
      </c>
      <c r="C898" s="11" t="s">
        <v>135</v>
      </c>
      <c r="D898" s="11" t="s">
        <v>118</v>
      </c>
      <c r="E898" s="11" t="s">
        <v>68</v>
      </c>
      <c r="F898" s="12" t="n">
        <v>5689947</v>
      </c>
      <c r="G898" s="12" t="n">
        <v>5235000</v>
      </c>
      <c r="H898" s="11" t="n">
        <v>20</v>
      </c>
      <c r="I898" s="11" t="s">
        <v>86</v>
      </c>
      <c r="J898" s="11" t="s">
        <v>87</v>
      </c>
      <c r="K898" s="11" t="s">
        <v>88</v>
      </c>
      <c r="L898" s="11" t="s">
        <v>89</v>
      </c>
      <c r="M898" s="11" t="s">
        <v>90</v>
      </c>
      <c r="N898" s="11" t="s">
        <v>133</v>
      </c>
      <c r="O898" s="11" t="s">
        <v>60</v>
      </c>
      <c r="P898" s="11" t="s">
        <v>76</v>
      </c>
      <c r="Q898" s="13" t="n">
        <f aca="false">F898*H898</f>
        <v>113798940</v>
      </c>
      <c r="R898" s="13" t="n">
        <f aca="false">G898*H898</f>
        <v>104700000</v>
      </c>
      <c r="S898" s="13" t="n">
        <f aca="false">Q898-R898</f>
        <v>9098940</v>
      </c>
      <c r="T898" s="14" t="n">
        <f aca="false">IFERROR(S898/Q898,0)</f>
        <v>0.0799562807878527</v>
      </c>
      <c r="U898" s="15" t="str">
        <f aca="false">TEXT(A898,"yyyy-mm")</f>
        <v>2022-11</v>
      </c>
    </row>
    <row r="899" customFormat="false" ht="15" hidden="false" customHeight="false" outlineLevel="0" collapsed="false">
      <c r="A899" s="10" t="n">
        <v>44890</v>
      </c>
      <c r="B899" s="11" t="s">
        <v>1031</v>
      </c>
      <c r="C899" s="11" t="s">
        <v>137</v>
      </c>
      <c r="D899" s="11" t="s">
        <v>138</v>
      </c>
      <c r="E899" s="11" t="s">
        <v>139</v>
      </c>
      <c r="F899" s="12" t="n">
        <v>5171827</v>
      </c>
      <c r="G899" s="12" t="n">
        <v>4890000</v>
      </c>
      <c r="H899" s="11" t="n">
        <v>17</v>
      </c>
      <c r="I899" s="11" t="s">
        <v>69</v>
      </c>
      <c r="J899" s="11" t="s">
        <v>80</v>
      </c>
      <c r="K899" s="11" t="s">
        <v>81</v>
      </c>
      <c r="L899" s="11" t="s">
        <v>82</v>
      </c>
      <c r="M899" s="11" t="s">
        <v>73</v>
      </c>
      <c r="N899" s="11" t="s">
        <v>149</v>
      </c>
      <c r="O899" s="11" t="s">
        <v>150</v>
      </c>
      <c r="P899" s="11" t="s">
        <v>151</v>
      </c>
      <c r="Q899" s="13" t="n">
        <f aca="false">F899*H899</f>
        <v>87921059</v>
      </c>
      <c r="R899" s="13" t="n">
        <f aca="false">G899*H899</f>
        <v>83130000</v>
      </c>
      <c r="S899" s="13" t="n">
        <f aca="false">Q899-R899</f>
        <v>4791059</v>
      </c>
      <c r="T899" s="14" t="n">
        <f aca="false">IFERROR(S899/Q899,0)</f>
        <v>0.0544927353525166</v>
      </c>
      <c r="U899" s="15" t="str">
        <f aca="false">TEXT(A899,"yyyy-mm")</f>
        <v>2022-11</v>
      </c>
    </row>
    <row r="900" customFormat="false" ht="15" hidden="false" customHeight="false" outlineLevel="0" collapsed="false">
      <c r="A900" s="10" t="n">
        <v>44890</v>
      </c>
      <c r="B900" s="11" t="s">
        <v>1032</v>
      </c>
      <c r="C900" s="11" t="s">
        <v>141</v>
      </c>
      <c r="D900" s="11" t="s">
        <v>138</v>
      </c>
      <c r="E900" s="11" t="s">
        <v>142</v>
      </c>
      <c r="F900" s="12" t="n">
        <v>2805124</v>
      </c>
      <c r="G900" s="12" t="n">
        <v>2178000</v>
      </c>
      <c r="H900" s="11" t="n">
        <v>14</v>
      </c>
      <c r="I900" s="11" t="s">
        <v>69</v>
      </c>
      <c r="J900" s="11" t="s">
        <v>112</v>
      </c>
      <c r="K900" s="11" t="s">
        <v>113</v>
      </c>
      <c r="L900" s="11" t="s">
        <v>82</v>
      </c>
      <c r="M900" s="11" t="s">
        <v>157</v>
      </c>
      <c r="N900" s="11" t="s">
        <v>104</v>
      </c>
      <c r="O900" s="11" t="s">
        <v>105</v>
      </c>
      <c r="P900" s="11" t="s">
        <v>106</v>
      </c>
      <c r="Q900" s="13" t="n">
        <f aca="false">F900*H900</f>
        <v>39271736</v>
      </c>
      <c r="R900" s="13" t="n">
        <f aca="false">G900*H900</f>
        <v>30492000</v>
      </c>
      <c r="S900" s="13" t="n">
        <f aca="false">Q900-R900</f>
        <v>8779736</v>
      </c>
      <c r="T900" s="14" t="n">
        <f aca="false">IFERROR(S900/Q900,0)</f>
        <v>0.22356373550688</v>
      </c>
      <c r="U900" s="15" t="str">
        <f aca="false">TEXT(A900,"yyyy-mm")</f>
        <v>2022-11</v>
      </c>
    </row>
    <row r="901" customFormat="false" ht="15" hidden="false" customHeight="false" outlineLevel="0" collapsed="false">
      <c r="A901" s="10" t="n">
        <v>44890</v>
      </c>
      <c r="B901" s="11" t="s">
        <v>1033</v>
      </c>
      <c r="C901" s="11" t="s">
        <v>146</v>
      </c>
      <c r="D901" s="11" t="s">
        <v>138</v>
      </c>
      <c r="E901" s="11" t="s">
        <v>139</v>
      </c>
      <c r="F901" s="12" t="n">
        <v>2728100</v>
      </c>
      <c r="G901" s="12" t="n">
        <v>2321000</v>
      </c>
      <c r="H901" s="11" t="n">
        <v>18</v>
      </c>
      <c r="I901" s="11" t="s">
        <v>69</v>
      </c>
      <c r="J901" s="11" t="s">
        <v>80</v>
      </c>
      <c r="K901" s="11" t="s">
        <v>81</v>
      </c>
      <c r="L901" s="11" t="s">
        <v>82</v>
      </c>
      <c r="M901" s="11" t="s">
        <v>73</v>
      </c>
      <c r="N901" s="11" t="s">
        <v>133</v>
      </c>
      <c r="O901" s="11" t="s">
        <v>60</v>
      </c>
      <c r="P901" s="11" t="s">
        <v>76</v>
      </c>
      <c r="Q901" s="13" t="n">
        <f aca="false">F901*H901</f>
        <v>49105800</v>
      </c>
      <c r="R901" s="13" t="n">
        <f aca="false">G901*H901</f>
        <v>41778000</v>
      </c>
      <c r="S901" s="13" t="n">
        <f aca="false">Q901-R901</f>
        <v>7327800</v>
      </c>
      <c r="T901" s="14" t="n">
        <f aca="false">IFERROR(S901/Q901,0)</f>
        <v>0.149224735163667</v>
      </c>
      <c r="U901" s="15" t="str">
        <f aca="false">TEXT(A901,"yyyy-mm")</f>
        <v>2022-11</v>
      </c>
    </row>
    <row r="902" customFormat="false" ht="15" hidden="false" customHeight="false" outlineLevel="0" collapsed="false">
      <c r="A902" s="10" t="n">
        <v>44890</v>
      </c>
      <c r="B902" s="11" t="s">
        <v>1034</v>
      </c>
      <c r="C902" s="11" t="s">
        <v>148</v>
      </c>
      <c r="D902" s="11" t="s">
        <v>138</v>
      </c>
      <c r="E902" s="11" t="s">
        <v>122</v>
      </c>
      <c r="F902" s="12" t="n">
        <v>4941716</v>
      </c>
      <c r="G902" s="12" t="n">
        <v>4456000</v>
      </c>
      <c r="H902" s="11" t="n">
        <v>26</v>
      </c>
      <c r="I902" s="11" t="s">
        <v>69</v>
      </c>
      <c r="J902" s="11" t="s">
        <v>70</v>
      </c>
      <c r="K902" s="11" t="s">
        <v>71</v>
      </c>
      <c r="L902" s="11" t="s">
        <v>72</v>
      </c>
      <c r="M902" s="11" t="s">
        <v>73</v>
      </c>
      <c r="N902" s="11" t="s">
        <v>173</v>
      </c>
      <c r="O902" s="11" t="s">
        <v>174</v>
      </c>
      <c r="P902" s="11" t="s">
        <v>95</v>
      </c>
      <c r="Q902" s="13" t="n">
        <f aca="false">F902*H902</f>
        <v>128484616</v>
      </c>
      <c r="R902" s="13" t="n">
        <f aca="false">G902*H902</f>
        <v>115856000</v>
      </c>
      <c r="S902" s="13" t="n">
        <f aca="false">Q902-R902</f>
        <v>12628616</v>
      </c>
      <c r="T902" s="14" t="n">
        <f aca="false">IFERROR(S902/Q902,0)</f>
        <v>0.0982889344511097</v>
      </c>
      <c r="U902" s="15" t="str">
        <f aca="false">TEXT(A902,"yyyy-mm")</f>
        <v>2022-11</v>
      </c>
    </row>
    <row r="903" customFormat="false" ht="15" hidden="false" customHeight="false" outlineLevel="0" collapsed="false">
      <c r="A903" s="10" t="n">
        <v>44893</v>
      </c>
      <c r="B903" s="11" t="s">
        <v>1035</v>
      </c>
      <c r="C903" s="11" t="s">
        <v>66</v>
      </c>
      <c r="D903" s="11" t="s">
        <v>67</v>
      </c>
      <c r="E903" s="11" t="s">
        <v>68</v>
      </c>
      <c r="F903" s="12" t="n">
        <v>3048952</v>
      </c>
      <c r="G903" s="12" t="n">
        <v>2560000</v>
      </c>
      <c r="H903" s="11" t="n">
        <v>6</v>
      </c>
      <c r="I903" s="11" t="s">
        <v>69</v>
      </c>
      <c r="J903" s="11" t="s">
        <v>80</v>
      </c>
      <c r="K903" s="11" t="s">
        <v>81</v>
      </c>
      <c r="L903" s="11" t="s">
        <v>82</v>
      </c>
      <c r="M903" s="11" t="s">
        <v>73</v>
      </c>
      <c r="N903" s="11" t="s">
        <v>99</v>
      </c>
      <c r="O903" s="11" t="s">
        <v>100</v>
      </c>
      <c r="P903" s="11" t="s">
        <v>101</v>
      </c>
      <c r="Q903" s="13" t="n">
        <f aca="false">F903*H903</f>
        <v>18293712</v>
      </c>
      <c r="R903" s="13" t="n">
        <f aca="false">G903*H903</f>
        <v>15360000</v>
      </c>
      <c r="S903" s="13" t="n">
        <f aca="false">Q903-R903</f>
        <v>2933712</v>
      </c>
      <c r="T903" s="14" t="n">
        <f aca="false">IFERROR(S903/Q903,0)</f>
        <v>0.160367234380863</v>
      </c>
      <c r="U903" s="15" t="str">
        <f aca="false">TEXT(A903,"yyyy-mm")</f>
        <v>2022-11</v>
      </c>
    </row>
    <row r="904" customFormat="false" ht="15" hidden="false" customHeight="false" outlineLevel="0" collapsed="false">
      <c r="A904" s="10" t="n">
        <v>44893</v>
      </c>
      <c r="B904" s="11" t="s">
        <v>1036</v>
      </c>
      <c r="C904" s="11" t="s">
        <v>78</v>
      </c>
      <c r="D904" s="11" t="s">
        <v>67</v>
      </c>
      <c r="E904" s="11" t="s">
        <v>79</v>
      </c>
      <c r="F904" s="12" t="n">
        <v>1870000</v>
      </c>
      <c r="G904" s="12" t="n">
        <v>1650000</v>
      </c>
      <c r="H904" s="11" t="n">
        <v>6</v>
      </c>
      <c r="I904" s="11" t="s">
        <v>69</v>
      </c>
      <c r="J904" s="11" t="s">
        <v>80</v>
      </c>
      <c r="K904" s="11" t="s">
        <v>81</v>
      </c>
      <c r="L904" s="11" t="s">
        <v>82</v>
      </c>
      <c r="M904" s="11" t="s">
        <v>73</v>
      </c>
      <c r="N904" s="11" t="s">
        <v>93</v>
      </c>
      <c r="O904" s="11" t="s">
        <v>94</v>
      </c>
      <c r="P904" s="11" t="s">
        <v>95</v>
      </c>
      <c r="Q904" s="13" t="n">
        <f aca="false">F904*H904</f>
        <v>11220000</v>
      </c>
      <c r="R904" s="13" t="n">
        <f aca="false">G904*H904</f>
        <v>9900000</v>
      </c>
      <c r="S904" s="13" t="n">
        <f aca="false">Q904-R904</f>
        <v>1320000</v>
      </c>
      <c r="T904" s="14" t="n">
        <f aca="false">IFERROR(S904/Q904,0)</f>
        <v>0.117647058823529</v>
      </c>
      <c r="U904" s="15" t="str">
        <f aca="false">TEXT(A904,"yyyy-mm")</f>
        <v>2022-11</v>
      </c>
    </row>
    <row r="905" customFormat="false" ht="15" hidden="false" customHeight="false" outlineLevel="0" collapsed="false">
      <c r="A905" s="10" t="n">
        <v>44894</v>
      </c>
      <c r="B905" s="11" t="s">
        <v>1037</v>
      </c>
      <c r="C905" s="11" t="s">
        <v>84</v>
      </c>
      <c r="D905" s="11" t="s">
        <v>67</v>
      </c>
      <c r="E905" s="11" t="s">
        <v>85</v>
      </c>
      <c r="F905" s="12" t="n">
        <v>2600000</v>
      </c>
      <c r="G905" s="12" t="n">
        <v>2300000</v>
      </c>
      <c r="H905" s="11" t="n">
        <v>18</v>
      </c>
      <c r="I905" s="11" t="s">
        <v>69</v>
      </c>
      <c r="J905" s="11" t="s">
        <v>70</v>
      </c>
      <c r="K905" s="11" t="s">
        <v>71</v>
      </c>
      <c r="L905" s="11" t="s">
        <v>72</v>
      </c>
      <c r="M905" s="11" t="s">
        <v>73</v>
      </c>
      <c r="N905" s="11" t="s">
        <v>123</v>
      </c>
      <c r="O905" s="11" t="s">
        <v>60</v>
      </c>
      <c r="P905" s="11" t="s">
        <v>106</v>
      </c>
      <c r="Q905" s="13" t="n">
        <f aca="false">F905*H905</f>
        <v>46800000</v>
      </c>
      <c r="R905" s="13" t="n">
        <f aca="false">G905*H905</f>
        <v>41400000</v>
      </c>
      <c r="S905" s="13" t="n">
        <f aca="false">Q905-R905</f>
        <v>5400000</v>
      </c>
      <c r="T905" s="14" t="n">
        <f aca="false">IFERROR(S905/Q905,0)</f>
        <v>0.115384615384615</v>
      </c>
      <c r="U905" s="15" t="str">
        <f aca="false">TEXT(A905,"yyyy-mm")</f>
        <v>2022-11</v>
      </c>
    </row>
    <row r="906" customFormat="false" ht="15" hidden="false" customHeight="false" outlineLevel="0" collapsed="false">
      <c r="A906" s="10" t="n">
        <v>44894</v>
      </c>
      <c r="B906" s="11" t="s">
        <v>1038</v>
      </c>
      <c r="C906" s="11" t="s">
        <v>92</v>
      </c>
      <c r="D906" s="11" t="s">
        <v>67</v>
      </c>
      <c r="E906" s="11" t="s">
        <v>79</v>
      </c>
      <c r="F906" s="12" t="n">
        <v>3577480</v>
      </c>
      <c r="G906" s="12" t="n">
        <v>3100000</v>
      </c>
      <c r="H906" s="11" t="n">
        <v>25</v>
      </c>
      <c r="I906" s="11" t="s">
        <v>69</v>
      </c>
      <c r="J906" s="11" t="s">
        <v>70</v>
      </c>
      <c r="K906" s="11" t="s">
        <v>71</v>
      </c>
      <c r="L906" s="11" t="s">
        <v>72</v>
      </c>
      <c r="M906" s="11" t="s">
        <v>73</v>
      </c>
      <c r="N906" s="11" t="s">
        <v>149</v>
      </c>
      <c r="O906" s="11" t="s">
        <v>150</v>
      </c>
      <c r="P906" s="11" t="s">
        <v>151</v>
      </c>
      <c r="Q906" s="13" t="n">
        <f aca="false">F906*H906</f>
        <v>89437000</v>
      </c>
      <c r="R906" s="13" t="n">
        <f aca="false">G906*H906</f>
        <v>77500000</v>
      </c>
      <c r="S906" s="13" t="n">
        <f aca="false">Q906-R906</f>
        <v>11937000</v>
      </c>
      <c r="T906" s="14" t="n">
        <f aca="false">IFERROR(S906/Q906,0)</f>
        <v>0.133468251394837</v>
      </c>
      <c r="U906" s="15" t="str">
        <f aca="false">TEXT(A906,"yyyy-mm")</f>
        <v>2022-11</v>
      </c>
    </row>
    <row r="907" customFormat="false" ht="15" hidden="false" customHeight="false" outlineLevel="0" collapsed="false">
      <c r="A907" s="10" t="n">
        <v>44895</v>
      </c>
      <c r="B907" s="11" t="s">
        <v>1039</v>
      </c>
      <c r="C907" s="11" t="s">
        <v>97</v>
      </c>
      <c r="D907" s="11" t="s">
        <v>67</v>
      </c>
      <c r="E907" s="11" t="s">
        <v>98</v>
      </c>
      <c r="F907" s="12" t="n">
        <v>4969724</v>
      </c>
      <c r="G907" s="12" t="n">
        <v>4121560</v>
      </c>
      <c r="H907" s="11" t="n">
        <v>16</v>
      </c>
      <c r="I907" s="11" t="s">
        <v>69</v>
      </c>
      <c r="J907" s="11" t="s">
        <v>80</v>
      </c>
      <c r="K907" s="11" t="s">
        <v>81</v>
      </c>
      <c r="L907" s="11" t="s">
        <v>82</v>
      </c>
      <c r="M907" s="11" t="s">
        <v>73</v>
      </c>
      <c r="N907" s="11" t="s">
        <v>143</v>
      </c>
      <c r="O907" s="11" t="s">
        <v>144</v>
      </c>
      <c r="P907" s="11" t="s">
        <v>101</v>
      </c>
      <c r="Q907" s="13" t="n">
        <f aca="false">F907*H907</f>
        <v>79515584</v>
      </c>
      <c r="R907" s="13" t="n">
        <f aca="false">G907*H907</f>
        <v>65944960</v>
      </c>
      <c r="S907" s="13" t="n">
        <f aca="false">Q907-R907</f>
        <v>13570624</v>
      </c>
      <c r="T907" s="14" t="n">
        <f aca="false">IFERROR(S907/Q907,0)</f>
        <v>0.170666218083741</v>
      </c>
      <c r="U907" s="15" t="str">
        <f aca="false">TEXT(A907,"yyyy-mm")</f>
        <v>2022-11</v>
      </c>
    </row>
    <row r="908" customFormat="false" ht="15" hidden="false" customHeight="false" outlineLevel="0" collapsed="false">
      <c r="A908" s="10" t="n">
        <v>44895</v>
      </c>
      <c r="B908" s="11" t="s">
        <v>1040</v>
      </c>
      <c r="C908" s="11" t="s">
        <v>103</v>
      </c>
      <c r="D908" s="11" t="s">
        <v>67</v>
      </c>
      <c r="E908" s="11" t="s">
        <v>68</v>
      </c>
      <c r="F908" s="12" t="n">
        <v>3319925</v>
      </c>
      <c r="G908" s="12" t="n">
        <v>2800000</v>
      </c>
      <c r="H908" s="11" t="n">
        <v>3</v>
      </c>
      <c r="I908" s="11" t="s">
        <v>69</v>
      </c>
      <c r="J908" s="11" t="s">
        <v>112</v>
      </c>
      <c r="K908" s="11" t="s">
        <v>113</v>
      </c>
      <c r="L908" s="11" t="s">
        <v>82</v>
      </c>
      <c r="M908" s="11" t="s">
        <v>157</v>
      </c>
      <c r="N908" s="11" t="s">
        <v>99</v>
      </c>
      <c r="O908" s="11" t="s">
        <v>100</v>
      </c>
      <c r="P908" s="11" t="s">
        <v>101</v>
      </c>
      <c r="Q908" s="13" t="n">
        <f aca="false">F908*H908</f>
        <v>9959775</v>
      </c>
      <c r="R908" s="13" t="n">
        <f aca="false">G908*H908</f>
        <v>8400000</v>
      </c>
      <c r="S908" s="13" t="n">
        <f aca="false">Q908-R908</f>
        <v>1559775</v>
      </c>
      <c r="T908" s="14" t="n">
        <f aca="false">IFERROR(S908/Q908,0)</f>
        <v>0.15660745348163</v>
      </c>
      <c r="U908" s="15" t="str">
        <f aca="false">TEXT(A908,"yyyy-mm")</f>
        <v>2022-11</v>
      </c>
    </row>
    <row r="909" customFormat="false" ht="15" hidden="false" customHeight="false" outlineLevel="0" collapsed="false">
      <c r="A909" s="10" t="n">
        <v>44895</v>
      </c>
      <c r="B909" s="11" t="s">
        <v>1041</v>
      </c>
      <c r="C909" s="11" t="s">
        <v>108</v>
      </c>
      <c r="D909" s="11" t="s">
        <v>67</v>
      </c>
      <c r="E909" s="11" t="s">
        <v>68</v>
      </c>
      <c r="F909" s="12" t="n">
        <v>4757880</v>
      </c>
      <c r="G909" s="12" t="n">
        <v>3450000</v>
      </c>
      <c r="H909" s="11" t="n">
        <v>2</v>
      </c>
      <c r="I909" s="11" t="s">
        <v>69</v>
      </c>
      <c r="J909" s="11" t="s">
        <v>80</v>
      </c>
      <c r="K909" s="11" t="s">
        <v>81</v>
      </c>
      <c r="L909" s="11" t="s">
        <v>82</v>
      </c>
      <c r="M909" s="11" t="s">
        <v>73</v>
      </c>
      <c r="N909" s="11" t="s">
        <v>104</v>
      </c>
      <c r="O909" s="11" t="s">
        <v>105</v>
      </c>
      <c r="P909" s="11" t="s">
        <v>106</v>
      </c>
      <c r="Q909" s="13" t="n">
        <f aca="false">F909*H909</f>
        <v>9515760</v>
      </c>
      <c r="R909" s="13" t="n">
        <f aca="false">G909*H909</f>
        <v>6900000</v>
      </c>
      <c r="S909" s="13" t="n">
        <f aca="false">Q909-R909</f>
        <v>2615760</v>
      </c>
      <c r="T909" s="14" t="n">
        <f aca="false">IFERROR(S909/Q909,0)</f>
        <v>0.274887134606169</v>
      </c>
      <c r="U909" s="15" t="str">
        <f aca="false">TEXT(A909,"yyyy-mm")</f>
        <v>2022-11</v>
      </c>
    </row>
    <row r="910" customFormat="false" ht="15" hidden="false" customHeight="false" outlineLevel="0" collapsed="false">
      <c r="A910" s="10" t="n">
        <v>44895</v>
      </c>
      <c r="B910" s="11" t="s">
        <v>1042</v>
      </c>
      <c r="C910" s="11" t="s">
        <v>111</v>
      </c>
      <c r="D910" s="11" t="s">
        <v>67</v>
      </c>
      <c r="E910" s="11" t="s">
        <v>79</v>
      </c>
      <c r="F910" s="12" t="n">
        <v>3545808</v>
      </c>
      <c r="G910" s="12" t="n">
        <v>3350000</v>
      </c>
      <c r="H910" s="11" t="n">
        <v>15</v>
      </c>
      <c r="I910" s="11" t="s">
        <v>69</v>
      </c>
      <c r="J910" s="11" t="s">
        <v>80</v>
      </c>
      <c r="K910" s="11" t="s">
        <v>81</v>
      </c>
      <c r="L910" s="11" t="s">
        <v>82</v>
      </c>
      <c r="M910" s="11" t="s">
        <v>73</v>
      </c>
      <c r="N910" s="11" t="s">
        <v>143</v>
      </c>
      <c r="O910" s="11" t="s">
        <v>144</v>
      </c>
      <c r="P910" s="11" t="s">
        <v>101</v>
      </c>
      <c r="Q910" s="13" t="n">
        <f aca="false">F910*H910</f>
        <v>53187120</v>
      </c>
      <c r="R910" s="13" t="n">
        <f aca="false">G910*H910</f>
        <v>50250000</v>
      </c>
      <c r="S910" s="13" t="n">
        <f aca="false">Q910-R910</f>
        <v>2937120</v>
      </c>
      <c r="T910" s="14" t="n">
        <f aca="false">IFERROR(S910/Q910,0)</f>
        <v>0.0552223921881839</v>
      </c>
      <c r="U910" s="15" t="str">
        <f aca="false">TEXT(A910,"yyyy-mm")</f>
        <v>2022-11</v>
      </c>
    </row>
    <row r="911" customFormat="false" ht="15" hidden="false" customHeight="false" outlineLevel="0" collapsed="false">
      <c r="A911" s="10" t="n">
        <v>44895</v>
      </c>
      <c r="B911" s="11" t="s">
        <v>1043</v>
      </c>
      <c r="C911" s="11" t="s">
        <v>115</v>
      </c>
      <c r="D911" s="11" t="s">
        <v>67</v>
      </c>
      <c r="E911" s="11" t="s">
        <v>98</v>
      </c>
      <c r="F911" s="12" t="n">
        <v>4200743</v>
      </c>
      <c r="G911" s="12" t="n">
        <v>4101000</v>
      </c>
      <c r="H911" s="11" t="n">
        <v>12</v>
      </c>
      <c r="I911" s="11" t="s">
        <v>86</v>
      </c>
      <c r="J911" s="11" t="s">
        <v>87</v>
      </c>
      <c r="K911" s="11" t="s">
        <v>88</v>
      </c>
      <c r="L911" s="11" t="s">
        <v>89</v>
      </c>
      <c r="M911" s="11" t="s">
        <v>90</v>
      </c>
      <c r="N911" s="11" t="s">
        <v>149</v>
      </c>
      <c r="O911" s="11" t="s">
        <v>150</v>
      </c>
      <c r="P911" s="11" t="s">
        <v>151</v>
      </c>
      <c r="Q911" s="13" t="n">
        <f aca="false">F911*H911</f>
        <v>50408916</v>
      </c>
      <c r="R911" s="13" t="n">
        <f aca="false">G911*H911</f>
        <v>49212000</v>
      </c>
      <c r="S911" s="13" t="n">
        <f aca="false">Q911-R911</f>
        <v>1196916</v>
      </c>
      <c r="T911" s="14" t="n">
        <f aca="false">IFERROR(S911/Q911,0)</f>
        <v>0.023744132883159</v>
      </c>
      <c r="U911" s="15" t="str">
        <f aca="false">TEXT(A911,"yyyy-mm")</f>
        <v>2022-11</v>
      </c>
    </row>
    <row r="912" customFormat="false" ht="15" hidden="false" customHeight="false" outlineLevel="0" collapsed="false">
      <c r="A912" s="10" t="n">
        <v>44895</v>
      </c>
      <c r="B912" s="11" t="s">
        <v>1044</v>
      </c>
      <c r="C912" s="11" t="s">
        <v>117</v>
      </c>
      <c r="D912" s="11" t="s">
        <v>118</v>
      </c>
      <c r="E912" s="11" t="s">
        <v>119</v>
      </c>
      <c r="F912" s="12" t="n">
        <v>8220549</v>
      </c>
      <c r="G912" s="12" t="n">
        <v>6500000</v>
      </c>
      <c r="H912" s="11" t="n">
        <v>6</v>
      </c>
      <c r="I912" s="11" t="s">
        <v>69</v>
      </c>
      <c r="J912" s="11" t="s">
        <v>80</v>
      </c>
      <c r="K912" s="11" t="s">
        <v>81</v>
      </c>
      <c r="L912" s="11" t="s">
        <v>82</v>
      </c>
      <c r="M912" s="11" t="s">
        <v>73</v>
      </c>
      <c r="N912" s="11" t="s">
        <v>143</v>
      </c>
      <c r="O912" s="11" t="s">
        <v>144</v>
      </c>
      <c r="P912" s="11" t="s">
        <v>101</v>
      </c>
      <c r="Q912" s="13" t="n">
        <f aca="false">F912*H912</f>
        <v>49323294</v>
      </c>
      <c r="R912" s="13" t="n">
        <f aca="false">G912*H912</f>
        <v>39000000</v>
      </c>
      <c r="S912" s="13" t="n">
        <f aca="false">Q912-R912</f>
        <v>10323294</v>
      </c>
      <c r="T912" s="14" t="n">
        <f aca="false">IFERROR(S912/Q912,0)</f>
        <v>0.209298551714733</v>
      </c>
      <c r="U912" s="15" t="str">
        <f aca="false">TEXT(A912,"yyyy-mm")</f>
        <v>2022-11</v>
      </c>
    </row>
    <row r="913" customFormat="false" ht="15" hidden="false" customHeight="false" outlineLevel="0" collapsed="false">
      <c r="A913" s="10" t="n">
        <v>44896</v>
      </c>
      <c r="B913" s="11" t="s">
        <v>1045</v>
      </c>
      <c r="C913" s="11" t="s">
        <v>121</v>
      </c>
      <c r="D913" s="11" t="s">
        <v>118</v>
      </c>
      <c r="E913" s="11" t="s">
        <v>122</v>
      </c>
      <c r="F913" s="12" t="n">
        <v>7687274</v>
      </c>
      <c r="G913" s="12" t="n">
        <v>6500000</v>
      </c>
      <c r="H913" s="11" t="n">
        <v>8</v>
      </c>
      <c r="I913" s="11" t="s">
        <v>69</v>
      </c>
      <c r="J913" s="11" t="s">
        <v>80</v>
      </c>
      <c r="K913" s="11" t="s">
        <v>81</v>
      </c>
      <c r="L913" s="11" t="s">
        <v>82</v>
      </c>
      <c r="M913" s="11" t="s">
        <v>73</v>
      </c>
      <c r="N913" s="11" t="s">
        <v>93</v>
      </c>
      <c r="O913" s="11" t="s">
        <v>94</v>
      </c>
      <c r="P913" s="11" t="s">
        <v>95</v>
      </c>
      <c r="Q913" s="13" t="n">
        <f aca="false">F913*H913</f>
        <v>61498192</v>
      </c>
      <c r="R913" s="13" t="n">
        <f aca="false">G913*H913</f>
        <v>52000000</v>
      </c>
      <c r="S913" s="13" t="n">
        <f aca="false">Q913-R913</f>
        <v>9498192</v>
      </c>
      <c r="T913" s="14" t="n">
        <f aca="false">IFERROR(S913/Q913,0)</f>
        <v>0.154446686822923</v>
      </c>
      <c r="U913" s="15" t="str">
        <f aca="false">TEXT(A913,"yyyy-mm")</f>
        <v>2022-12</v>
      </c>
    </row>
    <row r="914" customFormat="false" ht="15" hidden="false" customHeight="false" outlineLevel="0" collapsed="false">
      <c r="A914" s="10" t="n">
        <v>44896</v>
      </c>
      <c r="B914" s="11" t="s">
        <v>1046</v>
      </c>
      <c r="C914" s="11" t="s">
        <v>125</v>
      </c>
      <c r="D914" s="11" t="s">
        <v>118</v>
      </c>
      <c r="E914" s="11" t="s">
        <v>126</v>
      </c>
      <c r="F914" s="12" t="n">
        <v>5684211</v>
      </c>
      <c r="G914" s="12" t="n">
        <v>4300000</v>
      </c>
      <c r="H914" s="11" t="n">
        <v>3</v>
      </c>
      <c r="I914" s="11" t="s">
        <v>69</v>
      </c>
      <c r="J914" s="11" t="s">
        <v>70</v>
      </c>
      <c r="K914" s="11" t="s">
        <v>71</v>
      </c>
      <c r="L914" s="11" t="s">
        <v>72</v>
      </c>
      <c r="M914" s="11" t="s">
        <v>73</v>
      </c>
      <c r="N914" s="11" t="s">
        <v>93</v>
      </c>
      <c r="O914" s="11" t="s">
        <v>94</v>
      </c>
      <c r="P914" s="11" t="s">
        <v>95</v>
      </c>
      <c r="Q914" s="13" t="n">
        <f aca="false">F914*H914</f>
        <v>17052633</v>
      </c>
      <c r="R914" s="13" t="n">
        <f aca="false">G914*H914</f>
        <v>12900000</v>
      </c>
      <c r="S914" s="13" t="n">
        <f aca="false">Q914-R914</f>
        <v>4152633</v>
      </c>
      <c r="T914" s="14" t="n">
        <f aca="false">IFERROR(S914/Q914,0)</f>
        <v>0.243518581558637</v>
      </c>
      <c r="U914" s="15" t="str">
        <f aca="false">TEXT(A914,"yyyy-mm")</f>
        <v>2022-12</v>
      </c>
    </row>
    <row r="915" customFormat="false" ht="15" hidden="false" customHeight="false" outlineLevel="0" collapsed="false">
      <c r="A915" s="10" t="n">
        <v>44896</v>
      </c>
      <c r="B915" s="11" t="s">
        <v>1047</v>
      </c>
      <c r="C915" s="11" t="s">
        <v>128</v>
      </c>
      <c r="D915" s="11" t="s">
        <v>118</v>
      </c>
      <c r="E915" s="11" t="s">
        <v>119</v>
      </c>
      <c r="F915" s="12" t="n">
        <v>3370302</v>
      </c>
      <c r="G915" s="12" t="n">
        <v>2100000</v>
      </c>
      <c r="H915" s="11" t="n">
        <v>18</v>
      </c>
      <c r="I915" s="11" t="s">
        <v>69</v>
      </c>
      <c r="J915" s="11" t="s">
        <v>112</v>
      </c>
      <c r="K915" s="11" t="s">
        <v>113</v>
      </c>
      <c r="L915" s="11" t="s">
        <v>82</v>
      </c>
      <c r="M915" s="11" t="s">
        <v>157</v>
      </c>
      <c r="N915" s="11" t="s">
        <v>93</v>
      </c>
      <c r="O915" s="11" t="s">
        <v>94</v>
      </c>
      <c r="P915" s="11" t="s">
        <v>95</v>
      </c>
      <c r="Q915" s="13" t="n">
        <f aca="false">F915*H915</f>
        <v>60665436</v>
      </c>
      <c r="R915" s="13" t="n">
        <f aca="false">G915*H915</f>
        <v>37800000</v>
      </c>
      <c r="S915" s="13" t="n">
        <f aca="false">Q915-R915</f>
        <v>22865436</v>
      </c>
      <c r="T915" s="14" t="n">
        <f aca="false">IFERROR(S915/Q915,0)</f>
        <v>0.37691043710623</v>
      </c>
      <c r="U915" s="15" t="str">
        <f aca="false">TEXT(A915,"yyyy-mm")</f>
        <v>2022-12</v>
      </c>
    </row>
    <row r="916" customFormat="false" ht="15" hidden="false" customHeight="false" outlineLevel="0" collapsed="false">
      <c r="A916" s="10" t="n">
        <v>44896</v>
      </c>
      <c r="B916" s="11" t="s">
        <v>1048</v>
      </c>
      <c r="C916" s="11" t="s">
        <v>130</v>
      </c>
      <c r="D916" s="11" t="s">
        <v>118</v>
      </c>
      <c r="E916" s="11" t="s">
        <v>68</v>
      </c>
      <c r="F916" s="12" t="n">
        <v>2852897</v>
      </c>
      <c r="G916" s="12" t="n">
        <v>2450000</v>
      </c>
      <c r="H916" s="11" t="n">
        <v>15</v>
      </c>
      <c r="I916" s="11" t="s">
        <v>69</v>
      </c>
      <c r="J916" s="11" t="s">
        <v>80</v>
      </c>
      <c r="K916" s="11" t="s">
        <v>81</v>
      </c>
      <c r="L916" s="11" t="s">
        <v>82</v>
      </c>
      <c r="M916" s="11" t="s">
        <v>73</v>
      </c>
      <c r="N916" s="11" t="s">
        <v>104</v>
      </c>
      <c r="O916" s="11" t="s">
        <v>105</v>
      </c>
      <c r="P916" s="11" t="s">
        <v>106</v>
      </c>
      <c r="Q916" s="13" t="n">
        <f aca="false">F916*H916</f>
        <v>42793455</v>
      </c>
      <c r="R916" s="13" t="n">
        <f aca="false">G916*H916</f>
        <v>36750000</v>
      </c>
      <c r="S916" s="13" t="n">
        <f aca="false">Q916-R916</f>
        <v>6043455</v>
      </c>
      <c r="T916" s="14" t="n">
        <f aca="false">IFERROR(S916/Q916,0)</f>
        <v>0.141223815651249</v>
      </c>
      <c r="U916" s="15" t="str">
        <f aca="false">TEXT(A916,"yyyy-mm")</f>
        <v>2022-12</v>
      </c>
    </row>
    <row r="917" customFormat="false" ht="15" hidden="false" customHeight="false" outlineLevel="0" collapsed="false">
      <c r="A917" s="10" t="n">
        <v>44897</v>
      </c>
      <c r="B917" s="11" t="s">
        <v>1049</v>
      </c>
      <c r="C917" s="11" t="s">
        <v>132</v>
      </c>
      <c r="D917" s="11" t="s">
        <v>118</v>
      </c>
      <c r="E917" s="11" t="s">
        <v>68</v>
      </c>
      <c r="F917" s="12" t="n">
        <v>4803603</v>
      </c>
      <c r="G917" s="12" t="n">
        <v>4121000</v>
      </c>
      <c r="H917" s="11" t="n">
        <v>25</v>
      </c>
      <c r="I917" s="11" t="s">
        <v>69</v>
      </c>
      <c r="J917" s="11" t="s">
        <v>70</v>
      </c>
      <c r="K917" s="11" t="s">
        <v>71</v>
      </c>
      <c r="L917" s="11" t="s">
        <v>72</v>
      </c>
      <c r="M917" s="11" t="s">
        <v>73</v>
      </c>
      <c r="N917" s="11" t="s">
        <v>149</v>
      </c>
      <c r="O917" s="11" t="s">
        <v>150</v>
      </c>
      <c r="P917" s="11" t="s">
        <v>151</v>
      </c>
      <c r="Q917" s="13" t="n">
        <f aca="false">F917*H917</f>
        <v>120090075</v>
      </c>
      <c r="R917" s="13" t="n">
        <f aca="false">G917*H917</f>
        <v>103025000</v>
      </c>
      <c r="S917" s="13" t="n">
        <f aca="false">Q917-R917</f>
        <v>17065075</v>
      </c>
      <c r="T917" s="14" t="n">
        <f aca="false">IFERROR(S917/Q917,0)</f>
        <v>0.142102292799801</v>
      </c>
      <c r="U917" s="15" t="str">
        <f aca="false">TEXT(A917,"yyyy-mm")</f>
        <v>2022-12</v>
      </c>
    </row>
    <row r="918" customFormat="false" ht="15" hidden="false" customHeight="false" outlineLevel="0" collapsed="false">
      <c r="A918" s="10" t="n">
        <v>44897</v>
      </c>
      <c r="B918" s="11" t="s">
        <v>1050</v>
      </c>
      <c r="C918" s="11" t="s">
        <v>135</v>
      </c>
      <c r="D918" s="11" t="s">
        <v>118</v>
      </c>
      <c r="E918" s="11" t="s">
        <v>68</v>
      </c>
      <c r="F918" s="12" t="n">
        <v>5689947</v>
      </c>
      <c r="G918" s="12" t="n">
        <v>5235000</v>
      </c>
      <c r="H918" s="11" t="n">
        <v>5</v>
      </c>
      <c r="I918" s="11" t="s">
        <v>69</v>
      </c>
      <c r="J918" s="11" t="s">
        <v>70</v>
      </c>
      <c r="K918" s="11" t="s">
        <v>71</v>
      </c>
      <c r="L918" s="11" t="s">
        <v>72</v>
      </c>
      <c r="M918" s="11" t="s">
        <v>73</v>
      </c>
      <c r="N918" s="11" t="s">
        <v>74</v>
      </c>
      <c r="O918" s="11" t="s">
        <v>75</v>
      </c>
      <c r="P918" s="11" t="s">
        <v>76</v>
      </c>
      <c r="Q918" s="13" t="n">
        <f aca="false">F918*H918</f>
        <v>28449735</v>
      </c>
      <c r="R918" s="13" t="n">
        <f aca="false">G918*H918</f>
        <v>26175000</v>
      </c>
      <c r="S918" s="13" t="n">
        <f aca="false">Q918-R918</f>
        <v>2274735</v>
      </c>
      <c r="T918" s="14" t="n">
        <f aca="false">IFERROR(S918/Q918,0)</f>
        <v>0.0799562807878527</v>
      </c>
      <c r="U918" s="15" t="str">
        <f aca="false">TEXT(A918,"yyyy-mm")</f>
        <v>2022-12</v>
      </c>
    </row>
    <row r="919" customFormat="false" ht="15" hidden="false" customHeight="false" outlineLevel="0" collapsed="false">
      <c r="A919" s="10" t="n">
        <v>44899</v>
      </c>
      <c r="B919" s="11" t="s">
        <v>1051</v>
      </c>
      <c r="C919" s="11" t="s">
        <v>137</v>
      </c>
      <c r="D919" s="11" t="s">
        <v>138</v>
      </c>
      <c r="E919" s="11" t="s">
        <v>139</v>
      </c>
      <c r="F919" s="12" t="n">
        <v>5171827</v>
      </c>
      <c r="G919" s="12" t="n">
        <v>4890000</v>
      </c>
      <c r="H919" s="11" t="n">
        <v>4</v>
      </c>
      <c r="I919" s="11" t="s">
        <v>86</v>
      </c>
      <c r="J919" s="11" t="s">
        <v>87</v>
      </c>
      <c r="K919" s="11" t="s">
        <v>88</v>
      </c>
      <c r="L919" s="11" t="s">
        <v>89</v>
      </c>
      <c r="M919" s="11" t="s">
        <v>90</v>
      </c>
      <c r="N919" s="11" t="s">
        <v>149</v>
      </c>
      <c r="O919" s="11" t="s">
        <v>150</v>
      </c>
      <c r="P919" s="11" t="s">
        <v>151</v>
      </c>
      <c r="Q919" s="13" t="n">
        <f aca="false">F919*H919</f>
        <v>20687308</v>
      </c>
      <c r="R919" s="13" t="n">
        <f aca="false">G919*H919</f>
        <v>19560000</v>
      </c>
      <c r="S919" s="13" t="n">
        <f aca="false">Q919-R919</f>
        <v>1127308</v>
      </c>
      <c r="T919" s="14" t="n">
        <f aca="false">IFERROR(S919/Q919,0)</f>
        <v>0.0544927353525166</v>
      </c>
      <c r="U919" s="15" t="str">
        <f aca="false">TEXT(A919,"yyyy-mm")</f>
        <v>2022-12</v>
      </c>
    </row>
    <row r="920" customFormat="false" ht="15" hidden="false" customHeight="false" outlineLevel="0" collapsed="false">
      <c r="A920" s="10" t="n">
        <v>44899</v>
      </c>
      <c r="B920" s="11" t="s">
        <v>1052</v>
      </c>
      <c r="C920" s="11" t="s">
        <v>141</v>
      </c>
      <c r="D920" s="11" t="s">
        <v>138</v>
      </c>
      <c r="E920" s="11" t="s">
        <v>142</v>
      </c>
      <c r="F920" s="12" t="n">
        <v>2805124</v>
      </c>
      <c r="G920" s="12" t="n">
        <v>2178000</v>
      </c>
      <c r="H920" s="11" t="n">
        <v>11</v>
      </c>
      <c r="I920" s="11" t="s">
        <v>69</v>
      </c>
      <c r="J920" s="11" t="s">
        <v>80</v>
      </c>
      <c r="K920" s="11" t="s">
        <v>81</v>
      </c>
      <c r="L920" s="11" t="s">
        <v>82</v>
      </c>
      <c r="M920" s="11" t="s">
        <v>73</v>
      </c>
      <c r="N920" s="11" t="s">
        <v>143</v>
      </c>
      <c r="O920" s="11" t="s">
        <v>144</v>
      </c>
      <c r="P920" s="11" t="s">
        <v>101</v>
      </c>
      <c r="Q920" s="13" t="n">
        <f aca="false">F920*H920</f>
        <v>30856364</v>
      </c>
      <c r="R920" s="13" t="n">
        <f aca="false">G920*H920</f>
        <v>23958000</v>
      </c>
      <c r="S920" s="13" t="n">
        <f aca="false">Q920-R920</f>
        <v>6898364</v>
      </c>
      <c r="T920" s="14" t="n">
        <f aca="false">IFERROR(S920/Q920,0)</f>
        <v>0.22356373550688</v>
      </c>
      <c r="U920" s="15" t="str">
        <f aca="false">TEXT(A920,"yyyy-mm")</f>
        <v>2022-12</v>
      </c>
    </row>
    <row r="921" customFormat="false" ht="15" hidden="false" customHeight="false" outlineLevel="0" collapsed="false">
      <c r="A921" s="10" t="n">
        <v>44899</v>
      </c>
      <c r="B921" s="11" t="s">
        <v>1053</v>
      </c>
      <c r="C921" s="11" t="s">
        <v>146</v>
      </c>
      <c r="D921" s="11" t="s">
        <v>138</v>
      </c>
      <c r="E921" s="11" t="s">
        <v>139</v>
      </c>
      <c r="F921" s="12" t="n">
        <v>2728100</v>
      </c>
      <c r="G921" s="12" t="n">
        <v>2321000</v>
      </c>
      <c r="H921" s="11" t="n">
        <v>5</v>
      </c>
      <c r="I921" s="11" t="s">
        <v>86</v>
      </c>
      <c r="J921" s="11" t="s">
        <v>87</v>
      </c>
      <c r="K921" s="11" t="s">
        <v>88</v>
      </c>
      <c r="L921" s="11" t="s">
        <v>89</v>
      </c>
      <c r="M921" s="11" t="s">
        <v>90</v>
      </c>
      <c r="N921" s="11" t="s">
        <v>173</v>
      </c>
      <c r="O921" s="11" t="s">
        <v>174</v>
      </c>
      <c r="P921" s="11" t="s">
        <v>95</v>
      </c>
      <c r="Q921" s="13" t="n">
        <f aca="false">F921*H921</f>
        <v>13640500</v>
      </c>
      <c r="R921" s="13" t="n">
        <f aca="false">G921*H921</f>
        <v>11605000</v>
      </c>
      <c r="S921" s="13" t="n">
        <f aca="false">Q921-R921</f>
        <v>2035500</v>
      </c>
      <c r="T921" s="14" t="n">
        <f aca="false">IFERROR(S921/Q921,0)</f>
        <v>0.149224735163667</v>
      </c>
      <c r="U921" s="15" t="str">
        <f aca="false">TEXT(A921,"yyyy-mm")</f>
        <v>2022-12</v>
      </c>
    </row>
    <row r="922" customFormat="false" ht="15" hidden="false" customHeight="false" outlineLevel="0" collapsed="false">
      <c r="A922" s="10" t="n">
        <v>44899</v>
      </c>
      <c r="B922" s="11" t="s">
        <v>1054</v>
      </c>
      <c r="C922" s="11" t="s">
        <v>148</v>
      </c>
      <c r="D922" s="11" t="s">
        <v>138</v>
      </c>
      <c r="E922" s="11" t="s">
        <v>122</v>
      </c>
      <c r="F922" s="12" t="n">
        <v>4941716</v>
      </c>
      <c r="G922" s="12" t="n">
        <v>4456000</v>
      </c>
      <c r="H922" s="11" t="n">
        <v>21</v>
      </c>
      <c r="I922" s="11" t="s">
        <v>69</v>
      </c>
      <c r="J922" s="11" t="s">
        <v>70</v>
      </c>
      <c r="K922" s="11" t="s">
        <v>71</v>
      </c>
      <c r="L922" s="11" t="s">
        <v>72</v>
      </c>
      <c r="M922" s="11" t="s">
        <v>73</v>
      </c>
      <c r="N922" s="11" t="s">
        <v>74</v>
      </c>
      <c r="O922" s="11" t="s">
        <v>75</v>
      </c>
      <c r="P922" s="11" t="s">
        <v>76</v>
      </c>
      <c r="Q922" s="13" t="n">
        <f aca="false">F922*H922</f>
        <v>103776036</v>
      </c>
      <c r="R922" s="13" t="n">
        <f aca="false">G922*H922</f>
        <v>93576000</v>
      </c>
      <c r="S922" s="13" t="n">
        <f aca="false">Q922-R922</f>
        <v>10200036</v>
      </c>
      <c r="T922" s="14" t="n">
        <f aca="false">IFERROR(S922/Q922,0)</f>
        <v>0.0982889344511097</v>
      </c>
      <c r="U922" s="15" t="str">
        <f aca="false">TEXT(A922,"yyyy-mm")</f>
        <v>2022-12</v>
      </c>
    </row>
    <row r="923" customFormat="false" ht="15" hidden="false" customHeight="false" outlineLevel="0" collapsed="false">
      <c r="A923" s="10" t="n">
        <v>44899</v>
      </c>
      <c r="B923" s="11" t="s">
        <v>1055</v>
      </c>
      <c r="C923" s="11" t="s">
        <v>66</v>
      </c>
      <c r="D923" s="11" t="s">
        <v>67</v>
      </c>
      <c r="E923" s="11" t="s">
        <v>68</v>
      </c>
      <c r="F923" s="12" t="n">
        <v>3048952</v>
      </c>
      <c r="G923" s="12" t="n">
        <v>2560000</v>
      </c>
      <c r="H923" s="11" t="n">
        <v>19</v>
      </c>
      <c r="I923" s="11" t="s">
        <v>69</v>
      </c>
      <c r="J923" s="11" t="s">
        <v>70</v>
      </c>
      <c r="K923" s="11" t="s">
        <v>71</v>
      </c>
      <c r="L923" s="11" t="s">
        <v>72</v>
      </c>
      <c r="M923" s="11" t="s">
        <v>73</v>
      </c>
      <c r="N923" s="11" t="s">
        <v>149</v>
      </c>
      <c r="O923" s="11" t="s">
        <v>150</v>
      </c>
      <c r="P923" s="11" t="s">
        <v>151</v>
      </c>
      <c r="Q923" s="13" t="n">
        <f aca="false">F923*H923</f>
        <v>57930088</v>
      </c>
      <c r="R923" s="13" t="n">
        <f aca="false">G923*H923</f>
        <v>48640000</v>
      </c>
      <c r="S923" s="13" t="n">
        <f aca="false">Q923-R923</f>
        <v>9290088</v>
      </c>
      <c r="T923" s="14" t="n">
        <f aca="false">IFERROR(S923/Q923,0)</f>
        <v>0.160367234380863</v>
      </c>
      <c r="U923" s="15" t="str">
        <f aca="false">TEXT(A923,"yyyy-mm")</f>
        <v>2022-12</v>
      </c>
    </row>
    <row r="924" customFormat="false" ht="15" hidden="false" customHeight="false" outlineLevel="0" collapsed="false">
      <c r="A924" s="10" t="n">
        <v>44900</v>
      </c>
      <c r="B924" s="11" t="s">
        <v>1056</v>
      </c>
      <c r="C924" s="11" t="s">
        <v>78</v>
      </c>
      <c r="D924" s="11" t="s">
        <v>67</v>
      </c>
      <c r="E924" s="11" t="s">
        <v>79</v>
      </c>
      <c r="F924" s="12" t="n">
        <v>1870000</v>
      </c>
      <c r="G924" s="12" t="n">
        <v>1650000</v>
      </c>
      <c r="H924" s="11" t="n">
        <v>7</v>
      </c>
      <c r="I924" s="11" t="s">
        <v>69</v>
      </c>
      <c r="J924" s="11" t="s">
        <v>80</v>
      </c>
      <c r="K924" s="11" t="s">
        <v>81</v>
      </c>
      <c r="L924" s="11" t="s">
        <v>82</v>
      </c>
      <c r="M924" s="11" t="s">
        <v>73</v>
      </c>
      <c r="N924" s="11" t="s">
        <v>93</v>
      </c>
      <c r="O924" s="11" t="s">
        <v>94</v>
      </c>
      <c r="P924" s="11" t="s">
        <v>95</v>
      </c>
      <c r="Q924" s="13" t="n">
        <f aca="false">F924*H924</f>
        <v>13090000</v>
      </c>
      <c r="R924" s="13" t="n">
        <f aca="false">G924*H924</f>
        <v>11550000</v>
      </c>
      <c r="S924" s="13" t="n">
        <f aca="false">Q924-R924</f>
        <v>1540000</v>
      </c>
      <c r="T924" s="14" t="n">
        <f aca="false">IFERROR(S924/Q924,0)</f>
        <v>0.117647058823529</v>
      </c>
      <c r="U924" s="15" t="str">
        <f aca="false">TEXT(A924,"yyyy-mm")</f>
        <v>2022-12</v>
      </c>
    </row>
    <row r="925" customFormat="false" ht="15" hidden="false" customHeight="false" outlineLevel="0" collapsed="false">
      <c r="A925" s="10" t="n">
        <v>44900</v>
      </c>
      <c r="B925" s="11" t="s">
        <v>1057</v>
      </c>
      <c r="C925" s="11" t="s">
        <v>84</v>
      </c>
      <c r="D925" s="11" t="s">
        <v>67</v>
      </c>
      <c r="E925" s="11" t="s">
        <v>85</v>
      </c>
      <c r="F925" s="12" t="n">
        <v>2600000</v>
      </c>
      <c r="G925" s="12" t="n">
        <v>2300000</v>
      </c>
      <c r="H925" s="11" t="n">
        <v>9</v>
      </c>
      <c r="I925" s="11" t="s">
        <v>69</v>
      </c>
      <c r="J925" s="11" t="s">
        <v>70</v>
      </c>
      <c r="K925" s="11" t="s">
        <v>71</v>
      </c>
      <c r="L925" s="11" t="s">
        <v>72</v>
      </c>
      <c r="M925" s="11" t="s">
        <v>73</v>
      </c>
      <c r="N925" s="11" t="s">
        <v>99</v>
      </c>
      <c r="O925" s="11" t="s">
        <v>100</v>
      </c>
      <c r="P925" s="11" t="s">
        <v>101</v>
      </c>
      <c r="Q925" s="13" t="n">
        <f aca="false">F925*H925</f>
        <v>23400000</v>
      </c>
      <c r="R925" s="13" t="n">
        <f aca="false">G925*H925</f>
        <v>20700000</v>
      </c>
      <c r="S925" s="13" t="n">
        <f aca="false">Q925-R925</f>
        <v>2700000</v>
      </c>
      <c r="T925" s="14" t="n">
        <f aca="false">IFERROR(S925/Q925,0)</f>
        <v>0.115384615384615</v>
      </c>
      <c r="U925" s="15" t="str">
        <f aca="false">TEXT(A925,"yyyy-mm")</f>
        <v>2022-12</v>
      </c>
    </row>
    <row r="926" customFormat="false" ht="15" hidden="false" customHeight="false" outlineLevel="0" collapsed="false">
      <c r="A926" s="10" t="n">
        <v>44900</v>
      </c>
      <c r="B926" s="11" t="s">
        <v>1058</v>
      </c>
      <c r="C926" s="11" t="s">
        <v>92</v>
      </c>
      <c r="D926" s="11" t="s">
        <v>67</v>
      </c>
      <c r="E926" s="11" t="s">
        <v>79</v>
      </c>
      <c r="F926" s="12" t="n">
        <v>3577480</v>
      </c>
      <c r="G926" s="12" t="n">
        <v>3100000</v>
      </c>
      <c r="H926" s="11" t="n">
        <v>11</v>
      </c>
      <c r="I926" s="11" t="s">
        <v>86</v>
      </c>
      <c r="J926" s="11" t="s">
        <v>87</v>
      </c>
      <c r="K926" s="11" t="s">
        <v>88</v>
      </c>
      <c r="L926" s="11" t="s">
        <v>89</v>
      </c>
      <c r="M926" s="11" t="s">
        <v>90</v>
      </c>
      <c r="N926" s="11" t="s">
        <v>143</v>
      </c>
      <c r="O926" s="11" t="s">
        <v>144</v>
      </c>
      <c r="P926" s="11" t="s">
        <v>101</v>
      </c>
      <c r="Q926" s="13" t="n">
        <f aca="false">F926*H926</f>
        <v>39352280</v>
      </c>
      <c r="R926" s="13" t="n">
        <f aca="false">G926*H926</f>
        <v>34100000</v>
      </c>
      <c r="S926" s="13" t="n">
        <f aca="false">Q926-R926</f>
        <v>5252280</v>
      </c>
      <c r="T926" s="14" t="n">
        <f aca="false">IFERROR(S926/Q926,0)</f>
        <v>0.133468251394837</v>
      </c>
      <c r="U926" s="15" t="str">
        <f aca="false">TEXT(A926,"yyyy-mm")</f>
        <v>2022-12</v>
      </c>
    </row>
    <row r="927" customFormat="false" ht="15" hidden="false" customHeight="false" outlineLevel="0" collapsed="false">
      <c r="A927" s="10" t="n">
        <v>44902</v>
      </c>
      <c r="B927" s="11" t="s">
        <v>1059</v>
      </c>
      <c r="C927" s="11" t="s">
        <v>97</v>
      </c>
      <c r="D927" s="11" t="s">
        <v>67</v>
      </c>
      <c r="E927" s="11" t="s">
        <v>98</v>
      </c>
      <c r="F927" s="12" t="n">
        <v>4969724</v>
      </c>
      <c r="G927" s="12" t="n">
        <v>4121560</v>
      </c>
      <c r="H927" s="11" t="n">
        <v>11</v>
      </c>
      <c r="I927" s="11" t="s">
        <v>69</v>
      </c>
      <c r="J927" s="11" t="s">
        <v>80</v>
      </c>
      <c r="K927" s="11" t="s">
        <v>81</v>
      </c>
      <c r="L927" s="11" t="s">
        <v>82</v>
      </c>
      <c r="M927" s="11" t="s">
        <v>73</v>
      </c>
      <c r="N927" s="11" t="s">
        <v>149</v>
      </c>
      <c r="O927" s="11" t="s">
        <v>150</v>
      </c>
      <c r="P927" s="11" t="s">
        <v>151</v>
      </c>
      <c r="Q927" s="13" t="n">
        <f aca="false">F927*H927</f>
        <v>54666964</v>
      </c>
      <c r="R927" s="13" t="n">
        <f aca="false">G927*H927</f>
        <v>45337160</v>
      </c>
      <c r="S927" s="13" t="n">
        <f aca="false">Q927-R927</f>
        <v>9329804</v>
      </c>
      <c r="T927" s="14" t="n">
        <f aca="false">IFERROR(S927/Q927,0)</f>
        <v>0.170666218083741</v>
      </c>
      <c r="U927" s="15" t="str">
        <f aca="false">TEXT(A927,"yyyy-mm")</f>
        <v>2022-12</v>
      </c>
    </row>
    <row r="928" customFormat="false" ht="15" hidden="false" customHeight="false" outlineLevel="0" collapsed="false">
      <c r="A928" s="10" t="n">
        <v>44902</v>
      </c>
      <c r="B928" s="11" t="s">
        <v>1060</v>
      </c>
      <c r="C928" s="11" t="s">
        <v>103</v>
      </c>
      <c r="D928" s="11" t="s">
        <v>67</v>
      </c>
      <c r="E928" s="11" t="s">
        <v>68</v>
      </c>
      <c r="F928" s="12" t="n">
        <v>3319925</v>
      </c>
      <c r="G928" s="12" t="n">
        <v>2800000</v>
      </c>
      <c r="H928" s="11" t="n">
        <v>13</v>
      </c>
      <c r="I928" s="11" t="s">
        <v>69</v>
      </c>
      <c r="J928" s="11" t="s">
        <v>80</v>
      </c>
      <c r="K928" s="11" t="s">
        <v>81</v>
      </c>
      <c r="L928" s="11" t="s">
        <v>82</v>
      </c>
      <c r="M928" s="11" t="s">
        <v>73</v>
      </c>
      <c r="N928" s="11" t="s">
        <v>104</v>
      </c>
      <c r="O928" s="11" t="s">
        <v>105</v>
      </c>
      <c r="P928" s="11" t="s">
        <v>106</v>
      </c>
      <c r="Q928" s="13" t="n">
        <f aca="false">F928*H928</f>
        <v>43159025</v>
      </c>
      <c r="R928" s="13" t="n">
        <f aca="false">G928*H928</f>
        <v>36400000</v>
      </c>
      <c r="S928" s="13" t="n">
        <f aca="false">Q928-R928</f>
        <v>6759025</v>
      </c>
      <c r="T928" s="14" t="n">
        <f aca="false">IFERROR(S928/Q928,0)</f>
        <v>0.15660745348163</v>
      </c>
      <c r="U928" s="15" t="str">
        <f aca="false">TEXT(A928,"yyyy-mm")</f>
        <v>2022-12</v>
      </c>
    </row>
    <row r="929" customFormat="false" ht="15" hidden="false" customHeight="false" outlineLevel="0" collapsed="false">
      <c r="A929" s="10" t="n">
        <v>44902</v>
      </c>
      <c r="B929" s="11" t="s">
        <v>1061</v>
      </c>
      <c r="C929" s="11" t="s">
        <v>108</v>
      </c>
      <c r="D929" s="11" t="s">
        <v>67</v>
      </c>
      <c r="E929" s="11" t="s">
        <v>68</v>
      </c>
      <c r="F929" s="12" t="n">
        <v>4757880</v>
      </c>
      <c r="G929" s="12" t="n">
        <v>3450000</v>
      </c>
      <c r="H929" s="11" t="n">
        <v>2</v>
      </c>
      <c r="I929" s="11" t="s">
        <v>69</v>
      </c>
      <c r="J929" s="11" t="s">
        <v>80</v>
      </c>
      <c r="K929" s="11" t="s">
        <v>81</v>
      </c>
      <c r="L929" s="11" t="s">
        <v>82</v>
      </c>
      <c r="M929" s="11" t="s">
        <v>73</v>
      </c>
      <c r="N929" s="11" t="s">
        <v>99</v>
      </c>
      <c r="O929" s="11" t="s">
        <v>100</v>
      </c>
      <c r="P929" s="11" t="s">
        <v>101</v>
      </c>
      <c r="Q929" s="13" t="n">
        <f aca="false">F929*H929</f>
        <v>9515760</v>
      </c>
      <c r="R929" s="13" t="n">
        <f aca="false">G929*H929</f>
        <v>6900000</v>
      </c>
      <c r="S929" s="13" t="n">
        <f aca="false">Q929-R929</f>
        <v>2615760</v>
      </c>
      <c r="T929" s="14" t="n">
        <f aca="false">IFERROR(S929/Q929,0)</f>
        <v>0.274887134606169</v>
      </c>
      <c r="U929" s="15" t="str">
        <f aca="false">TEXT(A929,"yyyy-mm")</f>
        <v>2022-12</v>
      </c>
    </row>
    <row r="930" customFormat="false" ht="15" hidden="false" customHeight="false" outlineLevel="0" collapsed="false">
      <c r="A930" s="10" t="n">
        <v>44902</v>
      </c>
      <c r="B930" s="11" t="s">
        <v>1062</v>
      </c>
      <c r="C930" s="11" t="s">
        <v>111</v>
      </c>
      <c r="D930" s="11" t="s">
        <v>67</v>
      </c>
      <c r="E930" s="11" t="s">
        <v>79</v>
      </c>
      <c r="F930" s="12" t="n">
        <v>3545808</v>
      </c>
      <c r="G930" s="12" t="n">
        <v>3350000</v>
      </c>
      <c r="H930" s="11" t="n">
        <v>12</v>
      </c>
      <c r="I930" s="11" t="s">
        <v>69</v>
      </c>
      <c r="J930" s="11" t="s">
        <v>70</v>
      </c>
      <c r="K930" s="11" t="s">
        <v>71</v>
      </c>
      <c r="L930" s="11" t="s">
        <v>72</v>
      </c>
      <c r="M930" s="11" t="s">
        <v>73</v>
      </c>
      <c r="N930" s="11" t="s">
        <v>149</v>
      </c>
      <c r="O930" s="11" t="s">
        <v>150</v>
      </c>
      <c r="P930" s="11" t="s">
        <v>151</v>
      </c>
      <c r="Q930" s="13" t="n">
        <f aca="false">F930*H930</f>
        <v>42549696</v>
      </c>
      <c r="R930" s="13" t="n">
        <f aca="false">G930*H930</f>
        <v>40200000</v>
      </c>
      <c r="S930" s="13" t="n">
        <f aca="false">Q930-R930</f>
        <v>2349696</v>
      </c>
      <c r="T930" s="14" t="n">
        <f aca="false">IFERROR(S930/Q930,0)</f>
        <v>0.0552223921881839</v>
      </c>
      <c r="U930" s="15" t="str">
        <f aca="false">TEXT(A930,"yyyy-mm")</f>
        <v>2022-12</v>
      </c>
    </row>
    <row r="931" customFormat="false" ht="15" hidden="false" customHeight="false" outlineLevel="0" collapsed="false">
      <c r="A931" s="10" t="n">
        <v>44904</v>
      </c>
      <c r="B931" s="11" t="s">
        <v>1063</v>
      </c>
      <c r="C931" s="11" t="s">
        <v>115</v>
      </c>
      <c r="D931" s="11" t="s">
        <v>67</v>
      </c>
      <c r="E931" s="11" t="s">
        <v>98</v>
      </c>
      <c r="F931" s="12" t="n">
        <v>4200743</v>
      </c>
      <c r="G931" s="12" t="n">
        <v>4101000</v>
      </c>
      <c r="H931" s="11" t="n">
        <v>11</v>
      </c>
      <c r="I931" s="11" t="s">
        <v>69</v>
      </c>
      <c r="J931" s="11" t="s">
        <v>80</v>
      </c>
      <c r="K931" s="11" t="s">
        <v>81</v>
      </c>
      <c r="L931" s="11" t="s">
        <v>82</v>
      </c>
      <c r="M931" s="11" t="s">
        <v>73</v>
      </c>
      <c r="N931" s="11" t="s">
        <v>149</v>
      </c>
      <c r="O931" s="11" t="s">
        <v>150</v>
      </c>
      <c r="P931" s="11" t="s">
        <v>151</v>
      </c>
      <c r="Q931" s="13" t="n">
        <f aca="false">F931*H931</f>
        <v>46208173</v>
      </c>
      <c r="R931" s="13" t="n">
        <f aca="false">G931*H931</f>
        <v>45111000</v>
      </c>
      <c r="S931" s="13" t="n">
        <f aca="false">Q931-R931</f>
        <v>1097173</v>
      </c>
      <c r="T931" s="14" t="n">
        <f aca="false">IFERROR(S931/Q931,0)</f>
        <v>0.023744132883159</v>
      </c>
      <c r="U931" s="15" t="str">
        <f aca="false">TEXT(A931,"yyyy-mm")</f>
        <v>2022-12</v>
      </c>
    </row>
    <row r="932" customFormat="false" ht="15" hidden="false" customHeight="false" outlineLevel="0" collapsed="false">
      <c r="A932" s="10" t="n">
        <v>44904</v>
      </c>
      <c r="B932" s="11" t="s">
        <v>1064</v>
      </c>
      <c r="C932" s="11" t="s">
        <v>117</v>
      </c>
      <c r="D932" s="11" t="s">
        <v>118</v>
      </c>
      <c r="E932" s="11" t="s">
        <v>119</v>
      </c>
      <c r="F932" s="12" t="n">
        <v>8220549</v>
      </c>
      <c r="G932" s="12" t="n">
        <v>6500000</v>
      </c>
      <c r="H932" s="11" t="n">
        <v>6</v>
      </c>
      <c r="I932" s="11" t="s">
        <v>69</v>
      </c>
      <c r="J932" s="11" t="s">
        <v>112</v>
      </c>
      <c r="K932" s="11" t="s">
        <v>113</v>
      </c>
      <c r="L932" s="11" t="s">
        <v>82</v>
      </c>
      <c r="M932" s="11" t="s">
        <v>157</v>
      </c>
      <c r="N932" s="11" t="s">
        <v>99</v>
      </c>
      <c r="O932" s="11" t="s">
        <v>100</v>
      </c>
      <c r="P932" s="11" t="s">
        <v>101</v>
      </c>
      <c r="Q932" s="13" t="n">
        <f aca="false">F932*H932</f>
        <v>49323294</v>
      </c>
      <c r="R932" s="13" t="n">
        <f aca="false">G932*H932</f>
        <v>39000000</v>
      </c>
      <c r="S932" s="13" t="n">
        <f aca="false">Q932-R932</f>
        <v>10323294</v>
      </c>
      <c r="T932" s="14" t="n">
        <f aca="false">IFERROR(S932/Q932,0)</f>
        <v>0.209298551714733</v>
      </c>
      <c r="U932" s="15" t="str">
        <f aca="false">TEXT(A932,"yyyy-mm")</f>
        <v>2022-12</v>
      </c>
    </row>
    <row r="933" customFormat="false" ht="15" hidden="false" customHeight="false" outlineLevel="0" collapsed="false">
      <c r="A933" s="10" t="n">
        <v>44904</v>
      </c>
      <c r="B933" s="11" t="s">
        <v>1065</v>
      </c>
      <c r="C933" s="11" t="s">
        <v>121</v>
      </c>
      <c r="D933" s="11" t="s">
        <v>118</v>
      </c>
      <c r="E933" s="11" t="s">
        <v>122</v>
      </c>
      <c r="F933" s="12" t="n">
        <v>7687274</v>
      </c>
      <c r="G933" s="12" t="n">
        <v>6500000</v>
      </c>
      <c r="H933" s="11" t="n">
        <v>18</v>
      </c>
      <c r="I933" s="11" t="s">
        <v>69</v>
      </c>
      <c r="J933" s="11" t="s">
        <v>80</v>
      </c>
      <c r="K933" s="11" t="s">
        <v>81</v>
      </c>
      <c r="L933" s="11" t="s">
        <v>82</v>
      </c>
      <c r="M933" s="11" t="s">
        <v>73</v>
      </c>
      <c r="N933" s="11" t="s">
        <v>93</v>
      </c>
      <c r="O933" s="11" t="s">
        <v>94</v>
      </c>
      <c r="P933" s="11" t="s">
        <v>95</v>
      </c>
      <c r="Q933" s="13" t="n">
        <f aca="false">F933*H933</f>
        <v>138370932</v>
      </c>
      <c r="R933" s="13" t="n">
        <f aca="false">G933*H933</f>
        <v>117000000</v>
      </c>
      <c r="S933" s="13" t="n">
        <f aca="false">Q933-R933</f>
        <v>21370932</v>
      </c>
      <c r="T933" s="14" t="n">
        <f aca="false">IFERROR(S933/Q933,0)</f>
        <v>0.154446686822923</v>
      </c>
      <c r="U933" s="15" t="str">
        <f aca="false">TEXT(A933,"yyyy-mm")</f>
        <v>2022-12</v>
      </c>
    </row>
    <row r="934" customFormat="false" ht="15" hidden="false" customHeight="false" outlineLevel="0" collapsed="false">
      <c r="A934" s="10" t="n">
        <v>44904</v>
      </c>
      <c r="B934" s="11" t="s">
        <v>1066</v>
      </c>
      <c r="C934" s="11" t="s">
        <v>125</v>
      </c>
      <c r="D934" s="11" t="s">
        <v>118</v>
      </c>
      <c r="E934" s="11" t="s">
        <v>126</v>
      </c>
      <c r="F934" s="12" t="n">
        <v>5684211</v>
      </c>
      <c r="G934" s="12" t="n">
        <v>4300000</v>
      </c>
      <c r="H934" s="11" t="n">
        <v>2</v>
      </c>
      <c r="I934" s="11" t="s">
        <v>69</v>
      </c>
      <c r="J934" s="11" t="s">
        <v>80</v>
      </c>
      <c r="K934" s="11" t="s">
        <v>81</v>
      </c>
      <c r="L934" s="11" t="s">
        <v>82</v>
      </c>
      <c r="M934" s="11" t="s">
        <v>73</v>
      </c>
      <c r="N934" s="11" t="s">
        <v>74</v>
      </c>
      <c r="O934" s="11" t="s">
        <v>75</v>
      </c>
      <c r="P934" s="11" t="s">
        <v>76</v>
      </c>
      <c r="Q934" s="13" t="n">
        <f aca="false">F934*H934</f>
        <v>11368422</v>
      </c>
      <c r="R934" s="13" t="n">
        <f aca="false">G934*H934</f>
        <v>8600000</v>
      </c>
      <c r="S934" s="13" t="n">
        <f aca="false">Q934-R934</f>
        <v>2768422</v>
      </c>
      <c r="T934" s="14" t="n">
        <f aca="false">IFERROR(S934/Q934,0)</f>
        <v>0.243518581558637</v>
      </c>
      <c r="U934" s="15" t="str">
        <f aca="false">TEXT(A934,"yyyy-mm")</f>
        <v>2022-12</v>
      </c>
    </row>
    <row r="935" customFormat="false" ht="15" hidden="false" customHeight="false" outlineLevel="0" collapsed="false">
      <c r="A935" s="10" t="n">
        <v>44905</v>
      </c>
      <c r="B935" s="11" t="s">
        <v>1067</v>
      </c>
      <c r="C935" s="11" t="s">
        <v>128</v>
      </c>
      <c r="D935" s="11" t="s">
        <v>118</v>
      </c>
      <c r="E935" s="11" t="s">
        <v>119</v>
      </c>
      <c r="F935" s="12" t="n">
        <v>3370302</v>
      </c>
      <c r="G935" s="12" t="n">
        <v>2100000</v>
      </c>
      <c r="H935" s="11" t="n">
        <v>26</v>
      </c>
      <c r="I935" s="11" t="s">
        <v>69</v>
      </c>
      <c r="J935" s="11" t="s">
        <v>80</v>
      </c>
      <c r="K935" s="11" t="s">
        <v>81</v>
      </c>
      <c r="L935" s="11" t="s">
        <v>82</v>
      </c>
      <c r="M935" s="11" t="s">
        <v>73</v>
      </c>
      <c r="N935" s="11" t="s">
        <v>109</v>
      </c>
      <c r="O935" s="11" t="s">
        <v>75</v>
      </c>
      <c r="P935" s="11" t="s">
        <v>95</v>
      </c>
      <c r="Q935" s="13" t="n">
        <f aca="false">F935*H935</f>
        <v>87627852</v>
      </c>
      <c r="R935" s="13" t="n">
        <f aca="false">G935*H935</f>
        <v>54600000</v>
      </c>
      <c r="S935" s="13" t="n">
        <f aca="false">Q935-R935</f>
        <v>33027852</v>
      </c>
      <c r="T935" s="14" t="n">
        <f aca="false">IFERROR(S935/Q935,0)</f>
        <v>0.37691043710623</v>
      </c>
      <c r="U935" s="15" t="str">
        <f aca="false">TEXT(A935,"yyyy-mm")</f>
        <v>2022-12</v>
      </c>
    </row>
    <row r="936" customFormat="false" ht="15" hidden="false" customHeight="false" outlineLevel="0" collapsed="false">
      <c r="A936" s="10" t="n">
        <v>44905</v>
      </c>
      <c r="B936" s="11" t="s">
        <v>1068</v>
      </c>
      <c r="C936" s="11" t="s">
        <v>130</v>
      </c>
      <c r="D936" s="11" t="s">
        <v>118</v>
      </c>
      <c r="E936" s="11" t="s">
        <v>68</v>
      </c>
      <c r="F936" s="12" t="n">
        <v>2852897</v>
      </c>
      <c r="G936" s="12" t="n">
        <v>2450000</v>
      </c>
      <c r="H936" s="11" t="n">
        <v>11</v>
      </c>
      <c r="I936" s="11" t="s">
        <v>69</v>
      </c>
      <c r="J936" s="11" t="s">
        <v>80</v>
      </c>
      <c r="K936" s="11" t="s">
        <v>81</v>
      </c>
      <c r="L936" s="11" t="s">
        <v>82</v>
      </c>
      <c r="M936" s="11" t="s">
        <v>73</v>
      </c>
      <c r="N936" s="11" t="s">
        <v>104</v>
      </c>
      <c r="O936" s="11" t="s">
        <v>105</v>
      </c>
      <c r="P936" s="11" t="s">
        <v>106</v>
      </c>
      <c r="Q936" s="13" t="n">
        <f aca="false">F936*H936</f>
        <v>31381867</v>
      </c>
      <c r="R936" s="13" t="n">
        <f aca="false">G936*H936</f>
        <v>26950000</v>
      </c>
      <c r="S936" s="13" t="n">
        <f aca="false">Q936-R936</f>
        <v>4431867</v>
      </c>
      <c r="T936" s="14" t="n">
        <f aca="false">IFERROR(S936/Q936,0)</f>
        <v>0.141223815651249</v>
      </c>
      <c r="U936" s="15" t="str">
        <f aca="false">TEXT(A936,"yyyy-mm")</f>
        <v>2022-12</v>
      </c>
    </row>
    <row r="937" customFormat="false" ht="15" hidden="false" customHeight="false" outlineLevel="0" collapsed="false">
      <c r="A937" s="10" t="n">
        <v>44905</v>
      </c>
      <c r="B937" s="11" t="s">
        <v>1069</v>
      </c>
      <c r="C937" s="11" t="s">
        <v>132</v>
      </c>
      <c r="D937" s="11" t="s">
        <v>118</v>
      </c>
      <c r="E937" s="11" t="s">
        <v>68</v>
      </c>
      <c r="F937" s="12" t="n">
        <v>4803603</v>
      </c>
      <c r="G937" s="12" t="n">
        <v>4121000</v>
      </c>
      <c r="H937" s="11" t="n">
        <v>24</v>
      </c>
      <c r="I937" s="11" t="s">
        <v>86</v>
      </c>
      <c r="J937" s="11" t="s">
        <v>87</v>
      </c>
      <c r="K937" s="11" t="s">
        <v>88</v>
      </c>
      <c r="L937" s="11" t="s">
        <v>89</v>
      </c>
      <c r="M937" s="11" t="s">
        <v>90</v>
      </c>
      <c r="N937" s="11" t="s">
        <v>149</v>
      </c>
      <c r="O937" s="11" t="s">
        <v>150</v>
      </c>
      <c r="P937" s="11" t="s">
        <v>151</v>
      </c>
      <c r="Q937" s="13" t="n">
        <f aca="false">F937*H937</f>
        <v>115286472</v>
      </c>
      <c r="R937" s="13" t="n">
        <f aca="false">G937*H937</f>
        <v>98904000</v>
      </c>
      <c r="S937" s="13" t="n">
        <f aca="false">Q937-R937</f>
        <v>16382472</v>
      </c>
      <c r="T937" s="14" t="n">
        <f aca="false">IFERROR(S937/Q937,0)</f>
        <v>0.142102292799801</v>
      </c>
      <c r="U937" s="15" t="str">
        <f aca="false">TEXT(A937,"yyyy-mm")</f>
        <v>2022-12</v>
      </c>
    </row>
    <row r="938" customFormat="false" ht="15" hidden="false" customHeight="false" outlineLevel="0" collapsed="false">
      <c r="A938" s="10" t="n">
        <v>44905</v>
      </c>
      <c r="B938" s="11" t="s">
        <v>1070</v>
      </c>
      <c r="C938" s="11" t="s">
        <v>135</v>
      </c>
      <c r="D938" s="11" t="s">
        <v>118</v>
      </c>
      <c r="E938" s="11" t="s">
        <v>68</v>
      </c>
      <c r="F938" s="12" t="n">
        <v>5689947</v>
      </c>
      <c r="G938" s="12" t="n">
        <v>5235000</v>
      </c>
      <c r="H938" s="11" t="n">
        <v>23</v>
      </c>
      <c r="I938" s="11" t="s">
        <v>69</v>
      </c>
      <c r="J938" s="11" t="s">
        <v>112</v>
      </c>
      <c r="K938" s="11" t="s">
        <v>113</v>
      </c>
      <c r="L938" s="11" t="s">
        <v>82</v>
      </c>
      <c r="M938" s="11" t="s">
        <v>157</v>
      </c>
      <c r="N938" s="11" t="s">
        <v>93</v>
      </c>
      <c r="O938" s="11" t="s">
        <v>94</v>
      </c>
      <c r="P938" s="11" t="s">
        <v>95</v>
      </c>
      <c r="Q938" s="13" t="n">
        <f aca="false">F938*H938</f>
        <v>130868781</v>
      </c>
      <c r="R938" s="13" t="n">
        <f aca="false">G938*H938</f>
        <v>120405000</v>
      </c>
      <c r="S938" s="13" t="n">
        <f aca="false">Q938-R938</f>
        <v>10463781</v>
      </c>
      <c r="T938" s="14" t="n">
        <f aca="false">IFERROR(S938/Q938,0)</f>
        <v>0.0799562807878527</v>
      </c>
      <c r="U938" s="15" t="str">
        <f aca="false">TEXT(A938,"yyyy-mm")</f>
        <v>2022-12</v>
      </c>
    </row>
    <row r="939" customFormat="false" ht="15" hidden="false" customHeight="false" outlineLevel="0" collapsed="false">
      <c r="A939" s="10" t="n">
        <v>44905</v>
      </c>
      <c r="B939" s="11" t="s">
        <v>1071</v>
      </c>
      <c r="C939" s="11" t="s">
        <v>137</v>
      </c>
      <c r="D939" s="11" t="s">
        <v>138</v>
      </c>
      <c r="E939" s="11" t="s">
        <v>139</v>
      </c>
      <c r="F939" s="12" t="n">
        <v>5171827</v>
      </c>
      <c r="G939" s="12" t="n">
        <v>4890000</v>
      </c>
      <c r="H939" s="11" t="n">
        <v>4</v>
      </c>
      <c r="I939" s="11" t="s">
        <v>69</v>
      </c>
      <c r="J939" s="11" t="s">
        <v>70</v>
      </c>
      <c r="K939" s="11" t="s">
        <v>71</v>
      </c>
      <c r="L939" s="11" t="s">
        <v>72</v>
      </c>
      <c r="M939" s="11" t="s">
        <v>73</v>
      </c>
      <c r="N939" s="11" t="s">
        <v>173</v>
      </c>
      <c r="O939" s="11" t="s">
        <v>174</v>
      </c>
      <c r="P939" s="11" t="s">
        <v>95</v>
      </c>
      <c r="Q939" s="13" t="n">
        <f aca="false">F939*H939</f>
        <v>20687308</v>
      </c>
      <c r="R939" s="13" t="n">
        <f aca="false">G939*H939</f>
        <v>19560000</v>
      </c>
      <c r="S939" s="13" t="n">
        <f aca="false">Q939-R939</f>
        <v>1127308</v>
      </c>
      <c r="T939" s="14" t="n">
        <f aca="false">IFERROR(S939/Q939,0)</f>
        <v>0.0544927353525166</v>
      </c>
      <c r="U939" s="15" t="str">
        <f aca="false">TEXT(A939,"yyyy-mm")</f>
        <v>2022-12</v>
      </c>
    </row>
    <row r="940" customFormat="false" ht="15" hidden="false" customHeight="false" outlineLevel="0" collapsed="false">
      <c r="A940" s="10" t="n">
        <v>44906</v>
      </c>
      <c r="B940" s="11" t="s">
        <v>1072</v>
      </c>
      <c r="C940" s="11" t="s">
        <v>141</v>
      </c>
      <c r="D940" s="11" t="s">
        <v>138</v>
      </c>
      <c r="E940" s="11" t="s">
        <v>142</v>
      </c>
      <c r="F940" s="12" t="n">
        <v>2805124</v>
      </c>
      <c r="G940" s="12" t="n">
        <v>2178000</v>
      </c>
      <c r="H940" s="11" t="n">
        <v>30</v>
      </c>
      <c r="I940" s="11" t="s">
        <v>86</v>
      </c>
      <c r="J940" s="11" t="s">
        <v>87</v>
      </c>
      <c r="K940" s="11" t="s">
        <v>88</v>
      </c>
      <c r="L940" s="11" t="s">
        <v>89</v>
      </c>
      <c r="M940" s="11" t="s">
        <v>90</v>
      </c>
      <c r="N940" s="11" t="s">
        <v>133</v>
      </c>
      <c r="O940" s="11" t="s">
        <v>60</v>
      </c>
      <c r="P940" s="11" t="s">
        <v>76</v>
      </c>
      <c r="Q940" s="13" t="n">
        <f aca="false">F940*H940</f>
        <v>84153720</v>
      </c>
      <c r="R940" s="13" t="n">
        <f aca="false">G940*H940</f>
        <v>65340000</v>
      </c>
      <c r="S940" s="13" t="n">
        <f aca="false">Q940-R940</f>
        <v>18813720</v>
      </c>
      <c r="T940" s="14" t="n">
        <f aca="false">IFERROR(S940/Q940,0)</f>
        <v>0.22356373550688</v>
      </c>
      <c r="U940" s="15" t="str">
        <f aca="false">TEXT(A940,"yyyy-mm")</f>
        <v>2022-12</v>
      </c>
    </row>
    <row r="941" customFormat="false" ht="15" hidden="false" customHeight="false" outlineLevel="0" collapsed="false">
      <c r="A941" s="10" t="n">
        <v>44906</v>
      </c>
      <c r="B941" s="11" t="s">
        <v>1073</v>
      </c>
      <c r="C941" s="11" t="s">
        <v>146</v>
      </c>
      <c r="D941" s="11" t="s">
        <v>138</v>
      </c>
      <c r="E941" s="11" t="s">
        <v>139</v>
      </c>
      <c r="F941" s="12" t="n">
        <v>2728100</v>
      </c>
      <c r="G941" s="12" t="n">
        <v>2321000</v>
      </c>
      <c r="H941" s="11" t="n">
        <v>7</v>
      </c>
      <c r="I941" s="11" t="s">
        <v>69</v>
      </c>
      <c r="J941" s="11" t="s">
        <v>80</v>
      </c>
      <c r="K941" s="11" t="s">
        <v>81</v>
      </c>
      <c r="L941" s="11" t="s">
        <v>82</v>
      </c>
      <c r="M941" s="11" t="s">
        <v>73</v>
      </c>
      <c r="N941" s="11" t="s">
        <v>104</v>
      </c>
      <c r="O941" s="11" t="s">
        <v>105</v>
      </c>
      <c r="P941" s="11" t="s">
        <v>106</v>
      </c>
      <c r="Q941" s="13" t="n">
        <f aca="false">F941*H941</f>
        <v>19096700</v>
      </c>
      <c r="R941" s="13" t="n">
        <f aca="false">G941*H941</f>
        <v>16247000</v>
      </c>
      <c r="S941" s="13" t="n">
        <f aca="false">Q941-R941</f>
        <v>2849700</v>
      </c>
      <c r="T941" s="14" t="n">
        <f aca="false">IFERROR(S941/Q941,0)</f>
        <v>0.149224735163667</v>
      </c>
      <c r="U941" s="15" t="str">
        <f aca="false">TEXT(A941,"yyyy-mm")</f>
        <v>2022-12</v>
      </c>
    </row>
    <row r="942" customFormat="false" ht="15" hidden="false" customHeight="false" outlineLevel="0" collapsed="false">
      <c r="A942" s="10" t="n">
        <v>44906</v>
      </c>
      <c r="B942" s="11" t="s">
        <v>1074</v>
      </c>
      <c r="C942" s="11" t="s">
        <v>148</v>
      </c>
      <c r="D942" s="11" t="s">
        <v>138</v>
      </c>
      <c r="E942" s="11" t="s">
        <v>122</v>
      </c>
      <c r="F942" s="12" t="n">
        <v>4941716</v>
      </c>
      <c r="G942" s="12" t="n">
        <v>4456000</v>
      </c>
      <c r="H942" s="11" t="n">
        <v>17</v>
      </c>
      <c r="I942" s="11" t="s">
        <v>69</v>
      </c>
      <c r="J942" s="11" t="s">
        <v>80</v>
      </c>
      <c r="K942" s="11" t="s">
        <v>81</v>
      </c>
      <c r="L942" s="11" t="s">
        <v>82</v>
      </c>
      <c r="M942" s="11" t="s">
        <v>73</v>
      </c>
      <c r="N942" s="11" t="s">
        <v>149</v>
      </c>
      <c r="O942" s="11" t="s">
        <v>150</v>
      </c>
      <c r="P942" s="11" t="s">
        <v>151</v>
      </c>
      <c r="Q942" s="13" t="n">
        <f aca="false">F942*H942</f>
        <v>84009172</v>
      </c>
      <c r="R942" s="13" t="n">
        <f aca="false">G942*H942</f>
        <v>75752000</v>
      </c>
      <c r="S942" s="13" t="n">
        <f aca="false">Q942-R942</f>
        <v>8257172</v>
      </c>
      <c r="T942" s="14" t="n">
        <f aca="false">IFERROR(S942/Q942,0)</f>
        <v>0.0982889344511097</v>
      </c>
      <c r="U942" s="15" t="str">
        <f aca="false">TEXT(A942,"yyyy-mm")</f>
        <v>2022-12</v>
      </c>
    </row>
    <row r="943" customFormat="false" ht="15" hidden="false" customHeight="false" outlineLevel="0" collapsed="false">
      <c r="A943" s="10" t="n">
        <v>44907</v>
      </c>
      <c r="B943" s="11" t="s">
        <v>1075</v>
      </c>
      <c r="C943" s="11" t="s">
        <v>66</v>
      </c>
      <c r="D943" s="11" t="s">
        <v>67</v>
      </c>
      <c r="E943" s="11" t="s">
        <v>68</v>
      </c>
      <c r="F943" s="12" t="n">
        <v>3048952</v>
      </c>
      <c r="G943" s="12" t="n">
        <v>2560000</v>
      </c>
      <c r="H943" s="11" t="n">
        <v>14</v>
      </c>
      <c r="I943" s="11" t="s">
        <v>69</v>
      </c>
      <c r="J943" s="11" t="s">
        <v>112</v>
      </c>
      <c r="K943" s="11" t="s">
        <v>113</v>
      </c>
      <c r="L943" s="11" t="s">
        <v>82</v>
      </c>
      <c r="M943" s="11" t="s">
        <v>157</v>
      </c>
      <c r="N943" s="11" t="s">
        <v>123</v>
      </c>
      <c r="O943" s="11" t="s">
        <v>60</v>
      </c>
      <c r="P943" s="11" t="s">
        <v>106</v>
      </c>
      <c r="Q943" s="13" t="n">
        <f aca="false">F943*H943</f>
        <v>42685328</v>
      </c>
      <c r="R943" s="13" t="n">
        <f aca="false">G943*H943</f>
        <v>35840000</v>
      </c>
      <c r="S943" s="13" t="n">
        <f aca="false">Q943-R943</f>
        <v>6845328</v>
      </c>
      <c r="T943" s="14" t="n">
        <f aca="false">IFERROR(S943/Q943,0)</f>
        <v>0.160367234380863</v>
      </c>
      <c r="U943" s="15" t="str">
        <f aca="false">TEXT(A943,"yyyy-mm")</f>
        <v>2022-12</v>
      </c>
    </row>
    <row r="944" customFormat="false" ht="15" hidden="false" customHeight="false" outlineLevel="0" collapsed="false">
      <c r="A944" s="10" t="n">
        <v>44907</v>
      </c>
      <c r="B944" s="11" t="s">
        <v>1076</v>
      </c>
      <c r="C944" s="11" t="s">
        <v>78</v>
      </c>
      <c r="D944" s="11" t="s">
        <v>67</v>
      </c>
      <c r="E944" s="11" t="s">
        <v>79</v>
      </c>
      <c r="F944" s="12" t="n">
        <v>1870000</v>
      </c>
      <c r="G944" s="12" t="n">
        <v>1650000</v>
      </c>
      <c r="H944" s="11" t="n">
        <v>20</v>
      </c>
      <c r="I944" s="11" t="s">
        <v>69</v>
      </c>
      <c r="J944" s="11" t="s">
        <v>112</v>
      </c>
      <c r="K944" s="11" t="s">
        <v>113</v>
      </c>
      <c r="L944" s="11" t="s">
        <v>82</v>
      </c>
      <c r="M944" s="11" t="s">
        <v>157</v>
      </c>
      <c r="N944" s="11" t="s">
        <v>173</v>
      </c>
      <c r="O944" s="11" t="s">
        <v>174</v>
      </c>
      <c r="P944" s="11" t="s">
        <v>95</v>
      </c>
      <c r="Q944" s="13" t="n">
        <f aca="false">F944*H944</f>
        <v>37400000</v>
      </c>
      <c r="R944" s="13" t="n">
        <f aca="false">G944*H944</f>
        <v>33000000</v>
      </c>
      <c r="S944" s="13" t="n">
        <f aca="false">Q944-R944</f>
        <v>4400000</v>
      </c>
      <c r="T944" s="14" t="n">
        <f aca="false">IFERROR(S944/Q944,0)</f>
        <v>0.117647058823529</v>
      </c>
      <c r="U944" s="15" t="str">
        <f aca="false">TEXT(A944,"yyyy-mm")</f>
        <v>2022-12</v>
      </c>
    </row>
    <row r="945" customFormat="false" ht="15" hidden="false" customHeight="false" outlineLevel="0" collapsed="false">
      <c r="A945" s="10" t="n">
        <v>44907</v>
      </c>
      <c r="B945" s="11" t="s">
        <v>1077</v>
      </c>
      <c r="C945" s="11" t="s">
        <v>84</v>
      </c>
      <c r="D945" s="11" t="s">
        <v>67</v>
      </c>
      <c r="E945" s="11" t="s">
        <v>85</v>
      </c>
      <c r="F945" s="12" t="n">
        <v>2600000</v>
      </c>
      <c r="G945" s="12" t="n">
        <v>2300000</v>
      </c>
      <c r="H945" s="11" t="n">
        <v>19</v>
      </c>
      <c r="I945" s="11" t="s">
        <v>69</v>
      </c>
      <c r="J945" s="11" t="s">
        <v>70</v>
      </c>
      <c r="K945" s="11" t="s">
        <v>71</v>
      </c>
      <c r="L945" s="11" t="s">
        <v>72</v>
      </c>
      <c r="M945" s="11" t="s">
        <v>73</v>
      </c>
      <c r="N945" s="11" t="s">
        <v>104</v>
      </c>
      <c r="O945" s="11" t="s">
        <v>105</v>
      </c>
      <c r="P945" s="11" t="s">
        <v>106</v>
      </c>
      <c r="Q945" s="13" t="n">
        <f aca="false">F945*H945</f>
        <v>49400000</v>
      </c>
      <c r="R945" s="13" t="n">
        <f aca="false">G945*H945</f>
        <v>43700000</v>
      </c>
      <c r="S945" s="13" t="n">
        <f aca="false">Q945-R945</f>
        <v>5700000</v>
      </c>
      <c r="T945" s="14" t="n">
        <f aca="false">IFERROR(S945/Q945,0)</f>
        <v>0.115384615384615</v>
      </c>
      <c r="U945" s="15" t="str">
        <f aca="false">TEXT(A945,"yyyy-mm")</f>
        <v>2022-12</v>
      </c>
    </row>
    <row r="946" customFormat="false" ht="15" hidden="false" customHeight="false" outlineLevel="0" collapsed="false">
      <c r="A946" s="10" t="n">
        <v>44907</v>
      </c>
      <c r="B946" s="11" t="s">
        <v>1078</v>
      </c>
      <c r="C946" s="11" t="s">
        <v>92</v>
      </c>
      <c r="D946" s="11" t="s">
        <v>67</v>
      </c>
      <c r="E946" s="11" t="s">
        <v>79</v>
      </c>
      <c r="F946" s="12" t="n">
        <v>3577480</v>
      </c>
      <c r="G946" s="12" t="n">
        <v>3100000</v>
      </c>
      <c r="H946" s="11" t="n">
        <v>23</v>
      </c>
      <c r="I946" s="11" t="s">
        <v>69</v>
      </c>
      <c r="J946" s="11" t="s">
        <v>112</v>
      </c>
      <c r="K946" s="11" t="s">
        <v>113</v>
      </c>
      <c r="L946" s="11" t="s">
        <v>82</v>
      </c>
      <c r="M946" s="11" t="s">
        <v>157</v>
      </c>
      <c r="N946" s="11" t="s">
        <v>99</v>
      </c>
      <c r="O946" s="11" t="s">
        <v>100</v>
      </c>
      <c r="P946" s="11" t="s">
        <v>101</v>
      </c>
      <c r="Q946" s="13" t="n">
        <f aca="false">F946*H946</f>
        <v>82282040</v>
      </c>
      <c r="R946" s="13" t="n">
        <f aca="false">G946*H946</f>
        <v>71300000</v>
      </c>
      <c r="S946" s="13" t="n">
        <f aca="false">Q946-R946</f>
        <v>10982040</v>
      </c>
      <c r="T946" s="14" t="n">
        <f aca="false">IFERROR(S946/Q946,0)</f>
        <v>0.133468251394837</v>
      </c>
      <c r="U946" s="15" t="str">
        <f aca="false">TEXT(A946,"yyyy-mm")</f>
        <v>2022-12</v>
      </c>
    </row>
    <row r="947" customFormat="false" ht="15" hidden="false" customHeight="false" outlineLevel="0" collapsed="false">
      <c r="A947" s="10" t="n">
        <v>44907</v>
      </c>
      <c r="B947" s="11" t="s">
        <v>1079</v>
      </c>
      <c r="C947" s="11" t="s">
        <v>97</v>
      </c>
      <c r="D947" s="11" t="s">
        <v>67</v>
      </c>
      <c r="E947" s="11" t="s">
        <v>98</v>
      </c>
      <c r="F947" s="12" t="n">
        <v>4969724</v>
      </c>
      <c r="G947" s="12" t="n">
        <v>4121560</v>
      </c>
      <c r="H947" s="11" t="n">
        <v>3</v>
      </c>
      <c r="I947" s="11" t="s">
        <v>86</v>
      </c>
      <c r="J947" s="11" t="s">
        <v>87</v>
      </c>
      <c r="K947" s="11" t="s">
        <v>88</v>
      </c>
      <c r="L947" s="11" t="s">
        <v>89</v>
      </c>
      <c r="M947" s="11" t="s">
        <v>90</v>
      </c>
      <c r="N947" s="11" t="s">
        <v>109</v>
      </c>
      <c r="O947" s="11" t="s">
        <v>75</v>
      </c>
      <c r="P947" s="11" t="s">
        <v>95</v>
      </c>
      <c r="Q947" s="13" t="n">
        <f aca="false">F947*H947</f>
        <v>14909172</v>
      </c>
      <c r="R947" s="13" t="n">
        <f aca="false">G947*H947</f>
        <v>12364680</v>
      </c>
      <c r="S947" s="13" t="n">
        <f aca="false">Q947-R947</f>
        <v>2544492</v>
      </c>
      <c r="T947" s="14" t="n">
        <f aca="false">IFERROR(S947/Q947,0)</f>
        <v>0.170666218083741</v>
      </c>
      <c r="U947" s="15" t="str">
        <f aca="false">TEXT(A947,"yyyy-mm")</f>
        <v>2022-12</v>
      </c>
    </row>
    <row r="948" customFormat="false" ht="15" hidden="false" customHeight="false" outlineLevel="0" collapsed="false">
      <c r="A948" s="10" t="n">
        <v>44908</v>
      </c>
      <c r="B948" s="11" t="s">
        <v>1080</v>
      </c>
      <c r="C948" s="11" t="s">
        <v>103</v>
      </c>
      <c r="D948" s="11" t="s">
        <v>67</v>
      </c>
      <c r="E948" s="11" t="s">
        <v>68</v>
      </c>
      <c r="F948" s="12" t="n">
        <v>3319925</v>
      </c>
      <c r="G948" s="12" t="n">
        <v>2800000</v>
      </c>
      <c r="H948" s="11" t="n">
        <v>20</v>
      </c>
      <c r="I948" s="11" t="s">
        <v>86</v>
      </c>
      <c r="J948" s="11" t="s">
        <v>87</v>
      </c>
      <c r="K948" s="11" t="s">
        <v>88</v>
      </c>
      <c r="L948" s="11" t="s">
        <v>89</v>
      </c>
      <c r="M948" s="11" t="s">
        <v>90</v>
      </c>
      <c r="N948" s="11" t="s">
        <v>123</v>
      </c>
      <c r="O948" s="11" t="s">
        <v>60</v>
      </c>
      <c r="P948" s="11" t="s">
        <v>106</v>
      </c>
      <c r="Q948" s="13" t="n">
        <f aca="false">F948*H948</f>
        <v>66398500</v>
      </c>
      <c r="R948" s="13" t="n">
        <f aca="false">G948*H948</f>
        <v>56000000</v>
      </c>
      <c r="S948" s="13" t="n">
        <f aca="false">Q948-R948</f>
        <v>10398500</v>
      </c>
      <c r="T948" s="14" t="n">
        <f aca="false">IFERROR(S948/Q948,0)</f>
        <v>0.15660745348163</v>
      </c>
      <c r="U948" s="15" t="str">
        <f aca="false">TEXT(A948,"yyyy-mm")</f>
        <v>2022-12</v>
      </c>
    </row>
    <row r="949" customFormat="false" ht="15" hidden="false" customHeight="false" outlineLevel="0" collapsed="false">
      <c r="A949" s="10" t="n">
        <v>44908</v>
      </c>
      <c r="B949" s="11" t="s">
        <v>1081</v>
      </c>
      <c r="C949" s="11" t="s">
        <v>108</v>
      </c>
      <c r="D949" s="11" t="s">
        <v>67</v>
      </c>
      <c r="E949" s="11" t="s">
        <v>68</v>
      </c>
      <c r="F949" s="12" t="n">
        <v>4757880</v>
      </c>
      <c r="G949" s="12" t="n">
        <v>3450000</v>
      </c>
      <c r="H949" s="11" t="n">
        <v>1</v>
      </c>
      <c r="I949" s="11" t="s">
        <v>69</v>
      </c>
      <c r="J949" s="11" t="s">
        <v>80</v>
      </c>
      <c r="K949" s="11" t="s">
        <v>81</v>
      </c>
      <c r="L949" s="11" t="s">
        <v>82</v>
      </c>
      <c r="M949" s="11" t="s">
        <v>73</v>
      </c>
      <c r="N949" s="11" t="s">
        <v>173</v>
      </c>
      <c r="O949" s="11" t="s">
        <v>174</v>
      </c>
      <c r="P949" s="11" t="s">
        <v>95</v>
      </c>
      <c r="Q949" s="13" t="n">
        <f aca="false">F949*H949</f>
        <v>4757880</v>
      </c>
      <c r="R949" s="13" t="n">
        <f aca="false">G949*H949</f>
        <v>3450000</v>
      </c>
      <c r="S949" s="13" t="n">
        <f aca="false">Q949-R949</f>
        <v>1307880</v>
      </c>
      <c r="T949" s="14" t="n">
        <f aca="false">IFERROR(S949/Q949,0)</f>
        <v>0.274887134606169</v>
      </c>
      <c r="U949" s="15" t="str">
        <f aca="false">TEXT(A949,"yyyy-mm")</f>
        <v>2022-12</v>
      </c>
    </row>
    <row r="950" customFormat="false" ht="15" hidden="false" customHeight="false" outlineLevel="0" collapsed="false">
      <c r="A950" s="10" t="n">
        <v>44908</v>
      </c>
      <c r="B950" s="11" t="s">
        <v>1082</v>
      </c>
      <c r="C950" s="11" t="s">
        <v>111</v>
      </c>
      <c r="D950" s="11" t="s">
        <v>67</v>
      </c>
      <c r="E950" s="11" t="s">
        <v>79</v>
      </c>
      <c r="F950" s="12" t="n">
        <v>3545808</v>
      </c>
      <c r="G950" s="12" t="n">
        <v>3350000</v>
      </c>
      <c r="H950" s="11" t="n">
        <v>8</v>
      </c>
      <c r="I950" s="11" t="s">
        <v>86</v>
      </c>
      <c r="J950" s="11" t="s">
        <v>87</v>
      </c>
      <c r="K950" s="11" t="s">
        <v>88</v>
      </c>
      <c r="L950" s="11" t="s">
        <v>89</v>
      </c>
      <c r="M950" s="11" t="s">
        <v>90</v>
      </c>
      <c r="N950" s="11" t="s">
        <v>74</v>
      </c>
      <c r="O950" s="11" t="s">
        <v>75</v>
      </c>
      <c r="P950" s="11" t="s">
        <v>76</v>
      </c>
      <c r="Q950" s="13" t="n">
        <f aca="false">F950*H950</f>
        <v>28366464</v>
      </c>
      <c r="R950" s="13" t="n">
        <f aca="false">G950*H950</f>
        <v>26800000</v>
      </c>
      <c r="S950" s="13" t="n">
        <f aca="false">Q950-R950</f>
        <v>1566464</v>
      </c>
      <c r="T950" s="14" t="n">
        <f aca="false">IFERROR(S950/Q950,0)</f>
        <v>0.0552223921881839</v>
      </c>
      <c r="U950" s="15" t="str">
        <f aca="false">TEXT(A950,"yyyy-mm")</f>
        <v>2022-12</v>
      </c>
    </row>
    <row r="951" customFormat="false" ht="15" hidden="false" customHeight="false" outlineLevel="0" collapsed="false">
      <c r="A951" s="10" t="n">
        <v>44908</v>
      </c>
      <c r="B951" s="11" t="s">
        <v>1083</v>
      </c>
      <c r="C951" s="11" t="s">
        <v>115</v>
      </c>
      <c r="D951" s="11" t="s">
        <v>67</v>
      </c>
      <c r="E951" s="11" t="s">
        <v>98</v>
      </c>
      <c r="F951" s="12" t="n">
        <v>4200743</v>
      </c>
      <c r="G951" s="12" t="n">
        <v>4101000</v>
      </c>
      <c r="H951" s="11" t="n">
        <v>15</v>
      </c>
      <c r="I951" s="11" t="s">
        <v>69</v>
      </c>
      <c r="J951" s="11" t="s">
        <v>80</v>
      </c>
      <c r="K951" s="11" t="s">
        <v>81</v>
      </c>
      <c r="L951" s="11" t="s">
        <v>82</v>
      </c>
      <c r="M951" s="11" t="s">
        <v>73</v>
      </c>
      <c r="N951" s="11" t="s">
        <v>104</v>
      </c>
      <c r="O951" s="11" t="s">
        <v>105</v>
      </c>
      <c r="P951" s="11" t="s">
        <v>106</v>
      </c>
      <c r="Q951" s="13" t="n">
        <f aca="false">F951*H951</f>
        <v>63011145</v>
      </c>
      <c r="R951" s="13" t="n">
        <f aca="false">G951*H951</f>
        <v>61515000</v>
      </c>
      <c r="S951" s="13" t="n">
        <f aca="false">Q951-R951</f>
        <v>1496145</v>
      </c>
      <c r="T951" s="14" t="n">
        <f aca="false">IFERROR(S951/Q951,0)</f>
        <v>0.023744132883159</v>
      </c>
      <c r="U951" s="15" t="str">
        <f aca="false">TEXT(A951,"yyyy-mm")</f>
        <v>2022-12</v>
      </c>
    </row>
    <row r="952" customFormat="false" ht="15" hidden="false" customHeight="false" outlineLevel="0" collapsed="false">
      <c r="A952" s="10" t="n">
        <v>44909</v>
      </c>
      <c r="B952" s="11" t="s">
        <v>1084</v>
      </c>
      <c r="C952" s="11" t="s">
        <v>117</v>
      </c>
      <c r="D952" s="11" t="s">
        <v>118</v>
      </c>
      <c r="E952" s="11" t="s">
        <v>119</v>
      </c>
      <c r="F952" s="12" t="n">
        <v>8220549</v>
      </c>
      <c r="G952" s="12" t="n">
        <v>6500000</v>
      </c>
      <c r="H952" s="11" t="n">
        <v>21</v>
      </c>
      <c r="I952" s="11" t="s">
        <v>86</v>
      </c>
      <c r="J952" s="11" t="s">
        <v>87</v>
      </c>
      <c r="K952" s="11" t="s">
        <v>88</v>
      </c>
      <c r="L952" s="11" t="s">
        <v>89</v>
      </c>
      <c r="M952" s="11" t="s">
        <v>90</v>
      </c>
      <c r="N952" s="11" t="s">
        <v>133</v>
      </c>
      <c r="O952" s="11" t="s">
        <v>60</v>
      </c>
      <c r="P952" s="11" t="s">
        <v>76</v>
      </c>
      <c r="Q952" s="13" t="n">
        <f aca="false">F952*H952</f>
        <v>172631529</v>
      </c>
      <c r="R952" s="13" t="n">
        <f aca="false">G952*H952</f>
        <v>136500000</v>
      </c>
      <c r="S952" s="13" t="n">
        <f aca="false">Q952-R952</f>
        <v>36131529</v>
      </c>
      <c r="T952" s="14" t="n">
        <f aca="false">IFERROR(S952/Q952,0)</f>
        <v>0.209298551714733</v>
      </c>
      <c r="U952" s="15" t="str">
        <f aca="false">TEXT(A952,"yyyy-mm")</f>
        <v>2022-12</v>
      </c>
    </row>
    <row r="953" customFormat="false" ht="15" hidden="false" customHeight="false" outlineLevel="0" collapsed="false">
      <c r="A953" s="10" t="n">
        <v>44562</v>
      </c>
      <c r="B953" s="11" t="s">
        <v>1085</v>
      </c>
      <c r="C953" s="11" t="s">
        <v>66</v>
      </c>
      <c r="D953" s="11" t="s">
        <v>67</v>
      </c>
      <c r="E953" s="11" t="s">
        <v>68</v>
      </c>
      <c r="F953" s="12" t="n">
        <v>3048952</v>
      </c>
      <c r="G953" s="12" t="n">
        <v>2560000</v>
      </c>
      <c r="H953" s="11" t="n">
        <v>4</v>
      </c>
      <c r="I953" s="11" t="s">
        <v>69</v>
      </c>
      <c r="J953" s="11" t="s">
        <v>70</v>
      </c>
      <c r="K953" s="11" t="s">
        <v>71</v>
      </c>
      <c r="L953" s="11" t="s">
        <v>72</v>
      </c>
      <c r="M953" s="11" t="s">
        <v>73</v>
      </c>
      <c r="N953" s="11" t="s">
        <v>149</v>
      </c>
      <c r="O953" s="11" t="s">
        <v>150</v>
      </c>
      <c r="P953" s="11" t="s">
        <v>151</v>
      </c>
      <c r="Q953" s="13" t="n">
        <f aca="false">F953*H953</f>
        <v>12195808</v>
      </c>
      <c r="R953" s="13" t="n">
        <f aca="false">G953*H953</f>
        <v>10240000</v>
      </c>
      <c r="S953" s="13" t="n">
        <f aca="false">Q953-R953</f>
        <v>1955808</v>
      </c>
      <c r="T953" s="14" t="n">
        <f aca="false">IFERROR(S953/Q953,0)</f>
        <v>0.160367234380863</v>
      </c>
      <c r="U953" s="15" t="str">
        <f aca="false">TEXT(A953,"yyyy-mm")</f>
        <v>2022-01</v>
      </c>
    </row>
    <row r="954" customFormat="false" ht="15" hidden="false" customHeight="false" outlineLevel="0" collapsed="false">
      <c r="A954" s="10" t="n">
        <v>44562</v>
      </c>
      <c r="B954" s="11" t="s">
        <v>1086</v>
      </c>
      <c r="C954" s="11" t="s">
        <v>78</v>
      </c>
      <c r="D954" s="11" t="s">
        <v>67</v>
      </c>
      <c r="E954" s="11" t="s">
        <v>79</v>
      </c>
      <c r="F954" s="12" t="n">
        <v>1870000</v>
      </c>
      <c r="G954" s="12" t="n">
        <v>1650000</v>
      </c>
      <c r="H954" s="11" t="n">
        <v>11</v>
      </c>
      <c r="I954" s="11" t="s">
        <v>69</v>
      </c>
      <c r="J954" s="11" t="s">
        <v>80</v>
      </c>
      <c r="K954" s="11" t="s">
        <v>81</v>
      </c>
      <c r="L954" s="11" t="s">
        <v>82</v>
      </c>
      <c r="M954" s="11" t="s">
        <v>73</v>
      </c>
      <c r="N954" s="11" t="s">
        <v>149</v>
      </c>
      <c r="O954" s="11" t="s">
        <v>150</v>
      </c>
      <c r="P954" s="11" t="s">
        <v>151</v>
      </c>
      <c r="Q954" s="13" t="n">
        <f aca="false">F954*H954</f>
        <v>20570000</v>
      </c>
      <c r="R954" s="13" t="n">
        <f aca="false">G954*H954</f>
        <v>18150000</v>
      </c>
      <c r="S954" s="13" t="n">
        <f aca="false">Q954-R954</f>
        <v>2420000</v>
      </c>
      <c r="T954" s="14" t="n">
        <f aca="false">IFERROR(S954/Q954,0)</f>
        <v>0.117647058823529</v>
      </c>
      <c r="U954" s="15" t="str">
        <f aca="false">TEXT(A954,"yyyy-mm")</f>
        <v>2022-01</v>
      </c>
    </row>
    <row r="955" customFormat="false" ht="15" hidden="false" customHeight="false" outlineLevel="0" collapsed="false">
      <c r="A955" s="10" t="n">
        <v>44562</v>
      </c>
      <c r="B955" s="11" t="s">
        <v>1087</v>
      </c>
      <c r="C955" s="11" t="s">
        <v>84</v>
      </c>
      <c r="D955" s="11" t="s">
        <v>67</v>
      </c>
      <c r="E955" s="11" t="s">
        <v>85</v>
      </c>
      <c r="F955" s="12" t="n">
        <v>2600000</v>
      </c>
      <c r="G955" s="12" t="n">
        <v>2300000</v>
      </c>
      <c r="H955" s="11" t="n">
        <v>13</v>
      </c>
      <c r="I955" s="11" t="s">
        <v>86</v>
      </c>
      <c r="J955" s="11" t="s">
        <v>87</v>
      </c>
      <c r="K955" s="11" t="s">
        <v>88</v>
      </c>
      <c r="L955" s="11" t="s">
        <v>89</v>
      </c>
      <c r="M955" s="11" t="s">
        <v>90</v>
      </c>
      <c r="N955" s="11" t="s">
        <v>93</v>
      </c>
      <c r="O955" s="11" t="s">
        <v>94</v>
      </c>
      <c r="P955" s="11" t="s">
        <v>95</v>
      </c>
      <c r="Q955" s="13" t="n">
        <f aca="false">F955*H955</f>
        <v>33800000</v>
      </c>
      <c r="R955" s="13" t="n">
        <f aca="false">G955*H955</f>
        <v>29900000</v>
      </c>
      <c r="S955" s="13" t="n">
        <f aca="false">Q955-R955</f>
        <v>3900000</v>
      </c>
      <c r="T955" s="14" t="n">
        <f aca="false">IFERROR(S955/Q955,0)</f>
        <v>0.115384615384615</v>
      </c>
      <c r="U955" s="15" t="str">
        <f aca="false">TEXT(A955,"yyyy-mm")</f>
        <v>2022-01</v>
      </c>
    </row>
    <row r="956" customFormat="false" ht="15" hidden="false" customHeight="false" outlineLevel="0" collapsed="false">
      <c r="A956" s="10" t="n">
        <v>44563</v>
      </c>
      <c r="B956" s="11" t="s">
        <v>1088</v>
      </c>
      <c r="C956" s="11" t="s">
        <v>92</v>
      </c>
      <c r="D956" s="11" t="s">
        <v>67</v>
      </c>
      <c r="E956" s="11" t="s">
        <v>79</v>
      </c>
      <c r="F956" s="12" t="n">
        <v>3577480</v>
      </c>
      <c r="G956" s="12" t="n">
        <v>3100000</v>
      </c>
      <c r="H956" s="11" t="n">
        <v>23</v>
      </c>
      <c r="I956" s="11" t="s">
        <v>69</v>
      </c>
      <c r="J956" s="11" t="s">
        <v>80</v>
      </c>
      <c r="K956" s="11" t="s">
        <v>81</v>
      </c>
      <c r="L956" s="11" t="s">
        <v>82</v>
      </c>
      <c r="M956" s="11" t="s">
        <v>73</v>
      </c>
      <c r="N956" s="11" t="s">
        <v>109</v>
      </c>
      <c r="O956" s="11" t="s">
        <v>75</v>
      </c>
      <c r="P956" s="11" t="s">
        <v>95</v>
      </c>
      <c r="Q956" s="13" t="n">
        <f aca="false">F956*H956</f>
        <v>82282040</v>
      </c>
      <c r="R956" s="13" t="n">
        <f aca="false">G956*H956</f>
        <v>71300000</v>
      </c>
      <c r="S956" s="13" t="n">
        <f aca="false">Q956-R956</f>
        <v>10982040</v>
      </c>
      <c r="T956" s="14" t="n">
        <f aca="false">IFERROR(S956/Q956,0)</f>
        <v>0.133468251394837</v>
      </c>
      <c r="U956" s="15" t="str">
        <f aca="false">TEXT(A956,"yyyy-mm")</f>
        <v>2022-01</v>
      </c>
    </row>
    <row r="957" customFormat="false" ht="15" hidden="false" customHeight="false" outlineLevel="0" collapsed="false">
      <c r="A957" s="10" t="n">
        <v>44563</v>
      </c>
      <c r="B957" s="11" t="s">
        <v>1089</v>
      </c>
      <c r="C957" s="11" t="s">
        <v>97</v>
      </c>
      <c r="D957" s="11" t="s">
        <v>67</v>
      </c>
      <c r="E957" s="11" t="s">
        <v>98</v>
      </c>
      <c r="F957" s="12" t="n">
        <v>4969724</v>
      </c>
      <c r="G957" s="12" t="n">
        <v>4121560</v>
      </c>
      <c r="H957" s="11" t="n">
        <v>20</v>
      </c>
      <c r="I957" s="11" t="s">
        <v>69</v>
      </c>
      <c r="J957" s="11" t="s">
        <v>80</v>
      </c>
      <c r="K957" s="11" t="s">
        <v>81</v>
      </c>
      <c r="L957" s="11" t="s">
        <v>82</v>
      </c>
      <c r="M957" s="11" t="s">
        <v>73</v>
      </c>
      <c r="N957" s="11" t="s">
        <v>93</v>
      </c>
      <c r="O957" s="11" t="s">
        <v>94</v>
      </c>
      <c r="P957" s="11" t="s">
        <v>95</v>
      </c>
      <c r="Q957" s="13" t="n">
        <f aca="false">F957*H957</f>
        <v>99394480</v>
      </c>
      <c r="R957" s="13" t="n">
        <f aca="false">G957*H957</f>
        <v>82431200</v>
      </c>
      <c r="S957" s="13" t="n">
        <f aca="false">Q957-R957</f>
        <v>16963280</v>
      </c>
      <c r="T957" s="14" t="n">
        <f aca="false">IFERROR(S957/Q957,0)</f>
        <v>0.170666218083741</v>
      </c>
      <c r="U957" s="15" t="str">
        <f aca="false">TEXT(A957,"yyyy-mm")</f>
        <v>2022-01</v>
      </c>
    </row>
    <row r="958" customFormat="false" ht="15" hidden="false" customHeight="false" outlineLevel="0" collapsed="false">
      <c r="A958" s="10" t="n">
        <v>44564</v>
      </c>
      <c r="B958" s="11" t="s">
        <v>1090</v>
      </c>
      <c r="C958" s="11" t="s">
        <v>103</v>
      </c>
      <c r="D958" s="11" t="s">
        <v>67</v>
      </c>
      <c r="E958" s="11" t="s">
        <v>68</v>
      </c>
      <c r="F958" s="12" t="n">
        <v>3319925</v>
      </c>
      <c r="G958" s="12" t="n">
        <v>2800000</v>
      </c>
      <c r="H958" s="11" t="n">
        <v>9</v>
      </c>
      <c r="I958" s="11" t="s">
        <v>86</v>
      </c>
      <c r="J958" s="11" t="s">
        <v>87</v>
      </c>
      <c r="K958" s="11" t="s">
        <v>88</v>
      </c>
      <c r="L958" s="11" t="s">
        <v>89</v>
      </c>
      <c r="M958" s="11" t="s">
        <v>90</v>
      </c>
      <c r="N958" s="11" t="s">
        <v>104</v>
      </c>
      <c r="O958" s="11" t="s">
        <v>105</v>
      </c>
      <c r="P958" s="11" t="s">
        <v>106</v>
      </c>
      <c r="Q958" s="13" t="n">
        <f aca="false">F958*H958</f>
        <v>29879325</v>
      </c>
      <c r="R958" s="13" t="n">
        <f aca="false">G958*H958</f>
        <v>25200000</v>
      </c>
      <c r="S958" s="13" t="n">
        <f aca="false">Q958-R958</f>
        <v>4679325</v>
      </c>
      <c r="T958" s="14" t="n">
        <f aca="false">IFERROR(S958/Q958,0)</f>
        <v>0.15660745348163</v>
      </c>
      <c r="U958" s="15" t="str">
        <f aca="false">TEXT(A958,"yyyy-mm")</f>
        <v>2022-01</v>
      </c>
    </row>
    <row r="959" customFormat="false" ht="15" hidden="false" customHeight="false" outlineLevel="0" collapsed="false">
      <c r="A959" s="10" t="n">
        <v>44564</v>
      </c>
      <c r="B959" s="11" t="s">
        <v>1091</v>
      </c>
      <c r="C959" s="11" t="s">
        <v>108</v>
      </c>
      <c r="D959" s="11" t="s">
        <v>67</v>
      </c>
      <c r="E959" s="11" t="s">
        <v>68</v>
      </c>
      <c r="F959" s="12" t="n">
        <v>4757880</v>
      </c>
      <c r="G959" s="12" t="n">
        <v>3450000</v>
      </c>
      <c r="H959" s="11" t="n">
        <v>7</v>
      </c>
      <c r="I959" s="11" t="s">
        <v>69</v>
      </c>
      <c r="J959" s="11" t="s">
        <v>80</v>
      </c>
      <c r="K959" s="11" t="s">
        <v>81</v>
      </c>
      <c r="L959" s="11" t="s">
        <v>82</v>
      </c>
      <c r="M959" s="11" t="s">
        <v>73</v>
      </c>
      <c r="N959" s="11" t="s">
        <v>109</v>
      </c>
      <c r="O959" s="11" t="s">
        <v>75</v>
      </c>
      <c r="P959" s="11" t="s">
        <v>95</v>
      </c>
      <c r="Q959" s="13" t="n">
        <f aca="false">F959*H959</f>
        <v>33305160</v>
      </c>
      <c r="R959" s="13" t="n">
        <f aca="false">G959*H959</f>
        <v>24150000</v>
      </c>
      <c r="S959" s="13" t="n">
        <f aca="false">Q959-R959</f>
        <v>9155160</v>
      </c>
      <c r="T959" s="14" t="n">
        <f aca="false">IFERROR(S959/Q959,0)</f>
        <v>0.274887134606169</v>
      </c>
      <c r="U959" s="15" t="str">
        <f aca="false">TEXT(A959,"yyyy-mm")</f>
        <v>2022-01</v>
      </c>
    </row>
    <row r="960" customFormat="false" ht="15" hidden="false" customHeight="false" outlineLevel="0" collapsed="false">
      <c r="A960" s="10" t="n">
        <v>44564</v>
      </c>
      <c r="B960" s="11" t="s">
        <v>1092</v>
      </c>
      <c r="C960" s="11" t="s">
        <v>111</v>
      </c>
      <c r="D960" s="11" t="s">
        <v>67</v>
      </c>
      <c r="E960" s="11" t="s">
        <v>79</v>
      </c>
      <c r="F960" s="12" t="n">
        <v>3545808</v>
      </c>
      <c r="G960" s="12" t="n">
        <v>3350000</v>
      </c>
      <c r="H960" s="11" t="n">
        <v>12</v>
      </c>
      <c r="I960" s="11" t="s">
        <v>69</v>
      </c>
      <c r="J960" s="11" t="s">
        <v>112</v>
      </c>
      <c r="K960" s="11" t="s">
        <v>113</v>
      </c>
      <c r="L960" s="11" t="s">
        <v>82</v>
      </c>
      <c r="M960" s="11" t="s">
        <v>157</v>
      </c>
      <c r="N960" s="11" t="s">
        <v>99</v>
      </c>
      <c r="O960" s="11" t="s">
        <v>100</v>
      </c>
      <c r="P960" s="11" t="s">
        <v>101</v>
      </c>
      <c r="Q960" s="13" t="n">
        <f aca="false">F960*H960</f>
        <v>42549696</v>
      </c>
      <c r="R960" s="13" t="n">
        <f aca="false">G960*H960</f>
        <v>40200000</v>
      </c>
      <c r="S960" s="13" t="n">
        <f aca="false">Q960-R960</f>
        <v>2349696</v>
      </c>
      <c r="T960" s="14" t="n">
        <f aca="false">IFERROR(S960/Q960,0)</f>
        <v>0.0552223921881839</v>
      </c>
      <c r="U960" s="15" t="str">
        <f aca="false">TEXT(A960,"yyyy-mm")</f>
        <v>2022-01</v>
      </c>
    </row>
    <row r="961" customFormat="false" ht="15" hidden="false" customHeight="false" outlineLevel="0" collapsed="false">
      <c r="A961" s="10" t="n">
        <v>44564</v>
      </c>
      <c r="B961" s="11" t="s">
        <v>1093</v>
      </c>
      <c r="C961" s="11" t="s">
        <v>115</v>
      </c>
      <c r="D961" s="11" t="s">
        <v>67</v>
      </c>
      <c r="E961" s="11" t="s">
        <v>98</v>
      </c>
      <c r="F961" s="12" t="n">
        <v>4200743</v>
      </c>
      <c r="G961" s="12" t="n">
        <v>4101000</v>
      </c>
      <c r="H961" s="11" t="n">
        <v>12</v>
      </c>
      <c r="I961" s="11" t="s">
        <v>86</v>
      </c>
      <c r="J961" s="11" t="s">
        <v>87</v>
      </c>
      <c r="K961" s="11" t="s">
        <v>88</v>
      </c>
      <c r="L961" s="11" t="s">
        <v>89</v>
      </c>
      <c r="M961" s="11" t="s">
        <v>90</v>
      </c>
      <c r="N961" s="11" t="s">
        <v>149</v>
      </c>
      <c r="O961" s="11" t="s">
        <v>150</v>
      </c>
      <c r="P961" s="11" t="s">
        <v>151</v>
      </c>
      <c r="Q961" s="13" t="n">
        <f aca="false">F961*H961</f>
        <v>50408916</v>
      </c>
      <c r="R961" s="13" t="n">
        <f aca="false">G961*H961</f>
        <v>49212000</v>
      </c>
      <c r="S961" s="13" t="n">
        <f aca="false">Q961-R961</f>
        <v>1196916</v>
      </c>
      <c r="T961" s="14" t="n">
        <f aca="false">IFERROR(S961/Q961,0)</f>
        <v>0.023744132883159</v>
      </c>
      <c r="U961" s="15" t="str">
        <f aca="false">TEXT(A961,"yyyy-mm")</f>
        <v>2022-01</v>
      </c>
    </row>
    <row r="962" customFormat="false" ht="15" hidden="false" customHeight="false" outlineLevel="0" collapsed="false">
      <c r="A962" s="10" t="n">
        <v>44564</v>
      </c>
      <c r="B962" s="11" t="s">
        <v>1094</v>
      </c>
      <c r="C962" s="11" t="s">
        <v>117</v>
      </c>
      <c r="D962" s="11" t="s">
        <v>118</v>
      </c>
      <c r="E962" s="11" t="s">
        <v>119</v>
      </c>
      <c r="F962" s="12" t="n">
        <v>8220549</v>
      </c>
      <c r="G962" s="12" t="n">
        <v>6500000</v>
      </c>
      <c r="H962" s="11" t="n">
        <v>13</v>
      </c>
      <c r="I962" s="11" t="s">
        <v>69</v>
      </c>
      <c r="J962" s="11" t="s">
        <v>80</v>
      </c>
      <c r="K962" s="11" t="s">
        <v>81</v>
      </c>
      <c r="L962" s="11" t="s">
        <v>82</v>
      </c>
      <c r="M962" s="11" t="s">
        <v>73</v>
      </c>
      <c r="N962" s="11" t="s">
        <v>123</v>
      </c>
      <c r="O962" s="11" t="s">
        <v>60</v>
      </c>
      <c r="P962" s="11" t="s">
        <v>106</v>
      </c>
      <c r="Q962" s="13" t="n">
        <f aca="false">F962*H962</f>
        <v>106867137</v>
      </c>
      <c r="R962" s="13" t="n">
        <f aca="false">G962*H962</f>
        <v>84500000</v>
      </c>
      <c r="S962" s="13" t="n">
        <f aca="false">Q962-R962</f>
        <v>22367137</v>
      </c>
      <c r="T962" s="14" t="n">
        <f aca="false">IFERROR(S962/Q962,0)</f>
        <v>0.209298551714733</v>
      </c>
      <c r="U962" s="15" t="str">
        <f aca="false">TEXT(A962,"yyyy-mm")</f>
        <v>2022-01</v>
      </c>
    </row>
    <row r="963" customFormat="false" ht="15" hidden="false" customHeight="false" outlineLevel="0" collapsed="false">
      <c r="A963" s="10" t="n">
        <v>44564</v>
      </c>
      <c r="B963" s="11" t="s">
        <v>1095</v>
      </c>
      <c r="C963" s="11" t="s">
        <v>121</v>
      </c>
      <c r="D963" s="11" t="s">
        <v>118</v>
      </c>
      <c r="E963" s="11" t="s">
        <v>122</v>
      </c>
      <c r="F963" s="12" t="n">
        <v>7687274</v>
      </c>
      <c r="G963" s="12" t="n">
        <v>6500000</v>
      </c>
      <c r="H963" s="11" t="n">
        <v>9</v>
      </c>
      <c r="I963" s="11" t="s">
        <v>69</v>
      </c>
      <c r="J963" s="11" t="s">
        <v>80</v>
      </c>
      <c r="K963" s="11" t="s">
        <v>81</v>
      </c>
      <c r="L963" s="11" t="s">
        <v>82</v>
      </c>
      <c r="M963" s="11" t="s">
        <v>73</v>
      </c>
      <c r="N963" s="11" t="s">
        <v>109</v>
      </c>
      <c r="O963" s="11" t="s">
        <v>75</v>
      </c>
      <c r="P963" s="11" t="s">
        <v>95</v>
      </c>
      <c r="Q963" s="13" t="n">
        <f aca="false">F963*H963</f>
        <v>69185466</v>
      </c>
      <c r="R963" s="13" t="n">
        <f aca="false">G963*H963</f>
        <v>58500000</v>
      </c>
      <c r="S963" s="13" t="n">
        <f aca="false">Q963-R963</f>
        <v>10685466</v>
      </c>
      <c r="T963" s="14" t="n">
        <f aca="false">IFERROR(S963/Q963,0)</f>
        <v>0.154446686822923</v>
      </c>
      <c r="U963" s="15" t="str">
        <f aca="false">TEXT(A963,"yyyy-mm")</f>
        <v>2022-01</v>
      </c>
    </row>
    <row r="964" customFormat="false" ht="15" hidden="false" customHeight="false" outlineLevel="0" collapsed="false">
      <c r="A964" s="10" t="n">
        <v>44564</v>
      </c>
      <c r="B964" s="11" t="s">
        <v>1096</v>
      </c>
      <c r="C964" s="11" t="s">
        <v>125</v>
      </c>
      <c r="D964" s="11" t="s">
        <v>118</v>
      </c>
      <c r="E964" s="11" t="s">
        <v>126</v>
      </c>
      <c r="F964" s="12" t="n">
        <v>5684211</v>
      </c>
      <c r="G964" s="12" t="n">
        <v>4300000</v>
      </c>
      <c r="H964" s="11" t="n">
        <v>9</v>
      </c>
      <c r="I964" s="11" t="s">
        <v>69</v>
      </c>
      <c r="J964" s="11" t="s">
        <v>80</v>
      </c>
      <c r="K964" s="11" t="s">
        <v>81</v>
      </c>
      <c r="L964" s="11" t="s">
        <v>82</v>
      </c>
      <c r="M964" s="11" t="s">
        <v>73</v>
      </c>
      <c r="N964" s="11" t="s">
        <v>123</v>
      </c>
      <c r="O964" s="11" t="s">
        <v>60</v>
      </c>
      <c r="P964" s="11" t="s">
        <v>106</v>
      </c>
      <c r="Q964" s="13" t="n">
        <f aca="false">F964*H964</f>
        <v>51157899</v>
      </c>
      <c r="R964" s="13" t="n">
        <f aca="false">G964*H964</f>
        <v>38700000</v>
      </c>
      <c r="S964" s="13" t="n">
        <f aca="false">Q964-R964</f>
        <v>12457899</v>
      </c>
      <c r="T964" s="14" t="n">
        <f aca="false">IFERROR(S964/Q964,0)</f>
        <v>0.243518581558637</v>
      </c>
      <c r="U964" s="15" t="str">
        <f aca="false">TEXT(A964,"yyyy-mm")</f>
        <v>2022-01</v>
      </c>
    </row>
    <row r="965" customFormat="false" ht="15" hidden="false" customHeight="false" outlineLevel="0" collapsed="false">
      <c r="A965" s="10" t="n">
        <v>44565</v>
      </c>
      <c r="B965" s="11" t="s">
        <v>1097</v>
      </c>
      <c r="C965" s="11" t="s">
        <v>128</v>
      </c>
      <c r="D965" s="11" t="s">
        <v>118</v>
      </c>
      <c r="E965" s="11" t="s">
        <v>119</v>
      </c>
      <c r="F965" s="12" t="n">
        <v>3370302</v>
      </c>
      <c r="G965" s="12" t="n">
        <v>2100000</v>
      </c>
      <c r="H965" s="11" t="n">
        <v>32</v>
      </c>
      <c r="I965" s="11" t="s">
        <v>86</v>
      </c>
      <c r="J965" s="11" t="s">
        <v>87</v>
      </c>
      <c r="K965" s="11" t="s">
        <v>88</v>
      </c>
      <c r="L965" s="11" t="s">
        <v>89</v>
      </c>
      <c r="M965" s="11" t="s">
        <v>90</v>
      </c>
      <c r="N965" s="11" t="s">
        <v>133</v>
      </c>
      <c r="O965" s="11" t="s">
        <v>60</v>
      </c>
      <c r="P965" s="11" t="s">
        <v>76</v>
      </c>
      <c r="Q965" s="13" t="n">
        <f aca="false">F965*H965</f>
        <v>107849664</v>
      </c>
      <c r="R965" s="13" t="n">
        <f aca="false">G965*H965</f>
        <v>67200000</v>
      </c>
      <c r="S965" s="13" t="n">
        <f aca="false">Q965-R965</f>
        <v>40649664</v>
      </c>
      <c r="T965" s="14" t="n">
        <f aca="false">IFERROR(S965/Q965,0)</f>
        <v>0.37691043710623</v>
      </c>
      <c r="U965" s="15" t="str">
        <f aca="false">TEXT(A965,"yyyy-mm")</f>
        <v>2022-01</v>
      </c>
    </row>
    <row r="966" customFormat="false" ht="15" hidden="false" customHeight="false" outlineLevel="0" collapsed="false">
      <c r="A966" s="10" t="n">
        <v>44565</v>
      </c>
      <c r="B966" s="11" t="s">
        <v>1098</v>
      </c>
      <c r="C966" s="11" t="s">
        <v>130</v>
      </c>
      <c r="D966" s="11" t="s">
        <v>118</v>
      </c>
      <c r="E966" s="11" t="s">
        <v>68</v>
      </c>
      <c r="F966" s="12" t="n">
        <v>2852897</v>
      </c>
      <c r="G966" s="12" t="n">
        <v>2450000</v>
      </c>
      <c r="H966" s="11" t="n">
        <v>2</v>
      </c>
      <c r="I966" s="11" t="s">
        <v>86</v>
      </c>
      <c r="J966" s="11" t="s">
        <v>87</v>
      </c>
      <c r="K966" s="11" t="s">
        <v>88</v>
      </c>
      <c r="L966" s="11" t="s">
        <v>89</v>
      </c>
      <c r="M966" s="11" t="s">
        <v>90</v>
      </c>
      <c r="N966" s="11" t="s">
        <v>143</v>
      </c>
      <c r="O966" s="11" t="s">
        <v>144</v>
      </c>
      <c r="P966" s="11" t="s">
        <v>101</v>
      </c>
      <c r="Q966" s="13" t="n">
        <f aca="false">F966*H966</f>
        <v>5705794</v>
      </c>
      <c r="R966" s="13" t="n">
        <f aca="false">G966*H966</f>
        <v>4900000</v>
      </c>
      <c r="S966" s="13" t="n">
        <f aca="false">Q966-R966</f>
        <v>805794</v>
      </c>
      <c r="T966" s="14" t="n">
        <f aca="false">IFERROR(S966/Q966,0)</f>
        <v>0.141223815651249</v>
      </c>
      <c r="U966" s="15" t="str">
        <f aca="false">TEXT(A966,"yyyy-mm")</f>
        <v>2022-01</v>
      </c>
    </row>
    <row r="967" customFormat="false" ht="15" hidden="false" customHeight="false" outlineLevel="0" collapsed="false">
      <c r="A967" s="10" t="n">
        <v>44565</v>
      </c>
      <c r="B967" s="11" t="s">
        <v>1099</v>
      </c>
      <c r="C967" s="11" t="s">
        <v>132</v>
      </c>
      <c r="D967" s="11" t="s">
        <v>118</v>
      </c>
      <c r="E967" s="11" t="s">
        <v>68</v>
      </c>
      <c r="F967" s="12" t="n">
        <v>4803603</v>
      </c>
      <c r="G967" s="12" t="n">
        <v>4121000</v>
      </c>
      <c r="H967" s="11" t="n">
        <v>5</v>
      </c>
      <c r="I967" s="11" t="s">
        <v>69</v>
      </c>
      <c r="J967" s="11" t="s">
        <v>80</v>
      </c>
      <c r="K967" s="11" t="s">
        <v>81</v>
      </c>
      <c r="L967" s="11" t="s">
        <v>82</v>
      </c>
      <c r="M967" s="11" t="s">
        <v>73</v>
      </c>
      <c r="N967" s="11" t="s">
        <v>74</v>
      </c>
      <c r="O967" s="11" t="s">
        <v>75</v>
      </c>
      <c r="P967" s="11" t="s">
        <v>76</v>
      </c>
      <c r="Q967" s="13" t="n">
        <f aca="false">F967*H967</f>
        <v>24018015</v>
      </c>
      <c r="R967" s="13" t="n">
        <f aca="false">G967*H967</f>
        <v>20605000</v>
      </c>
      <c r="S967" s="13" t="n">
        <f aca="false">Q967-R967</f>
        <v>3413015</v>
      </c>
      <c r="T967" s="14" t="n">
        <f aca="false">IFERROR(S967/Q967,0)</f>
        <v>0.142102292799801</v>
      </c>
      <c r="U967" s="15" t="str">
        <f aca="false">TEXT(A967,"yyyy-mm")</f>
        <v>2022-01</v>
      </c>
    </row>
    <row r="968" customFormat="false" ht="15" hidden="false" customHeight="false" outlineLevel="0" collapsed="false">
      <c r="A968" s="10" t="n">
        <v>44565</v>
      </c>
      <c r="B968" s="11" t="s">
        <v>1100</v>
      </c>
      <c r="C968" s="11" t="s">
        <v>135</v>
      </c>
      <c r="D968" s="11" t="s">
        <v>118</v>
      </c>
      <c r="E968" s="11" t="s">
        <v>68</v>
      </c>
      <c r="F968" s="12" t="n">
        <v>5689947</v>
      </c>
      <c r="G968" s="12" t="n">
        <v>5235000</v>
      </c>
      <c r="H968" s="11" t="n">
        <v>13</v>
      </c>
      <c r="I968" s="11" t="s">
        <v>69</v>
      </c>
      <c r="J968" s="11" t="s">
        <v>70</v>
      </c>
      <c r="K968" s="11" t="s">
        <v>71</v>
      </c>
      <c r="L968" s="11" t="s">
        <v>72</v>
      </c>
      <c r="M968" s="11" t="s">
        <v>73</v>
      </c>
      <c r="N968" s="11" t="s">
        <v>143</v>
      </c>
      <c r="O968" s="11" t="s">
        <v>144</v>
      </c>
      <c r="P968" s="11" t="s">
        <v>101</v>
      </c>
      <c r="Q968" s="13" t="n">
        <f aca="false">F968*H968</f>
        <v>73969311</v>
      </c>
      <c r="R968" s="13" t="n">
        <f aca="false">G968*H968</f>
        <v>68055000</v>
      </c>
      <c r="S968" s="13" t="n">
        <f aca="false">Q968-R968</f>
        <v>5914311</v>
      </c>
      <c r="T968" s="14" t="n">
        <f aca="false">IFERROR(S968/Q968,0)</f>
        <v>0.0799562807878527</v>
      </c>
      <c r="U968" s="15" t="str">
        <f aca="false">TEXT(A968,"yyyy-mm")</f>
        <v>2022-01</v>
      </c>
    </row>
    <row r="969" customFormat="false" ht="15" hidden="false" customHeight="false" outlineLevel="0" collapsed="false">
      <c r="A969" s="10" t="n">
        <v>44565</v>
      </c>
      <c r="B969" s="11" t="s">
        <v>1101</v>
      </c>
      <c r="C969" s="11" t="s">
        <v>137</v>
      </c>
      <c r="D969" s="11" t="s">
        <v>138</v>
      </c>
      <c r="E969" s="11" t="s">
        <v>139</v>
      </c>
      <c r="F969" s="12" t="n">
        <v>5171827</v>
      </c>
      <c r="G969" s="12" t="n">
        <v>4890000</v>
      </c>
      <c r="H969" s="11" t="n">
        <v>9</v>
      </c>
      <c r="I969" s="11" t="s">
        <v>69</v>
      </c>
      <c r="J969" s="11" t="s">
        <v>80</v>
      </c>
      <c r="K969" s="11" t="s">
        <v>81</v>
      </c>
      <c r="L969" s="11" t="s">
        <v>82</v>
      </c>
      <c r="M969" s="11" t="s">
        <v>73</v>
      </c>
      <c r="N969" s="11" t="s">
        <v>104</v>
      </c>
      <c r="O969" s="11" t="s">
        <v>105</v>
      </c>
      <c r="P969" s="11" t="s">
        <v>106</v>
      </c>
      <c r="Q969" s="13" t="n">
        <f aca="false">F969*H969</f>
        <v>46546443</v>
      </c>
      <c r="R969" s="13" t="n">
        <f aca="false">G969*H969</f>
        <v>44010000</v>
      </c>
      <c r="S969" s="13" t="n">
        <f aca="false">Q969-R969</f>
        <v>2536443</v>
      </c>
      <c r="T969" s="14" t="n">
        <f aca="false">IFERROR(S969/Q969,0)</f>
        <v>0.0544927353525166</v>
      </c>
      <c r="U969" s="15" t="str">
        <f aca="false">TEXT(A969,"yyyy-mm")</f>
        <v>2022-01</v>
      </c>
    </row>
    <row r="970" customFormat="false" ht="15" hidden="false" customHeight="false" outlineLevel="0" collapsed="false">
      <c r="A970" s="10" t="n">
        <v>44565</v>
      </c>
      <c r="B970" s="11" t="s">
        <v>1102</v>
      </c>
      <c r="C970" s="11" t="s">
        <v>141</v>
      </c>
      <c r="D970" s="11" t="s">
        <v>138</v>
      </c>
      <c r="E970" s="11" t="s">
        <v>142</v>
      </c>
      <c r="F970" s="12" t="n">
        <v>2805124</v>
      </c>
      <c r="G970" s="12" t="n">
        <v>2178000</v>
      </c>
      <c r="H970" s="11" t="n">
        <v>25</v>
      </c>
      <c r="I970" s="11" t="s">
        <v>69</v>
      </c>
      <c r="J970" s="11" t="s">
        <v>80</v>
      </c>
      <c r="K970" s="11" t="s">
        <v>81</v>
      </c>
      <c r="L970" s="11" t="s">
        <v>82</v>
      </c>
      <c r="M970" s="11" t="s">
        <v>73</v>
      </c>
      <c r="N970" s="11" t="s">
        <v>123</v>
      </c>
      <c r="O970" s="11" t="s">
        <v>60</v>
      </c>
      <c r="P970" s="11" t="s">
        <v>106</v>
      </c>
      <c r="Q970" s="13" t="n">
        <f aca="false">F970*H970</f>
        <v>70128100</v>
      </c>
      <c r="R970" s="13" t="n">
        <f aca="false">G970*H970</f>
        <v>54450000</v>
      </c>
      <c r="S970" s="13" t="n">
        <f aca="false">Q970-R970</f>
        <v>15678100</v>
      </c>
      <c r="T970" s="14" t="n">
        <f aca="false">IFERROR(S970/Q970,0)</f>
        <v>0.22356373550688</v>
      </c>
      <c r="U970" s="15" t="str">
        <f aca="false">TEXT(A970,"yyyy-mm")</f>
        <v>2022-01</v>
      </c>
    </row>
    <row r="971" customFormat="false" ht="15" hidden="false" customHeight="false" outlineLevel="0" collapsed="false">
      <c r="A971" s="10" t="n">
        <v>44566</v>
      </c>
      <c r="B971" s="11" t="s">
        <v>1103</v>
      </c>
      <c r="C971" s="11" t="s">
        <v>146</v>
      </c>
      <c r="D971" s="11" t="s">
        <v>138</v>
      </c>
      <c r="E971" s="11" t="s">
        <v>139</v>
      </c>
      <c r="F971" s="12" t="n">
        <v>2728100</v>
      </c>
      <c r="G971" s="12" t="n">
        <v>2321000</v>
      </c>
      <c r="H971" s="11" t="n">
        <v>6</v>
      </c>
      <c r="I971" s="11" t="s">
        <v>69</v>
      </c>
      <c r="J971" s="11" t="s">
        <v>70</v>
      </c>
      <c r="K971" s="11" t="s">
        <v>71</v>
      </c>
      <c r="L971" s="11" t="s">
        <v>72</v>
      </c>
      <c r="M971" s="11" t="s">
        <v>73</v>
      </c>
      <c r="N971" s="11" t="s">
        <v>74</v>
      </c>
      <c r="O971" s="11" t="s">
        <v>75</v>
      </c>
      <c r="P971" s="11" t="s">
        <v>76</v>
      </c>
      <c r="Q971" s="13" t="n">
        <f aca="false">F971*H971</f>
        <v>16368600</v>
      </c>
      <c r="R971" s="13" t="n">
        <f aca="false">G971*H971</f>
        <v>13926000</v>
      </c>
      <c r="S971" s="13" t="n">
        <f aca="false">Q971-R971</f>
        <v>2442600</v>
      </c>
      <c r="T971" s="14" t="n">
        <f aca="false">IFERROR(S971/Q971,0)</f>
        <v>0.149224735163667</v>
      </c>
      <c r="U971" s="15" t="str">
        <f aca="false">TEXT(A971,"yyyy-mm")</f>
        <v>2022-01</v>
      </c>
    </row>
    <row r="972" customFormat="false" ht="15" hidden="false" customHeight="false" outlineLevel="0" collapsed="false">
      <c r="A972" s="10" t="n">
        <v>44566</v>
      </c>
      <c r="B972" s="11" t="s">
        <v>1104</v>
      </c>
      <c r="C972" s="11" t="s">
        <v>148</v>
      </c>
      <c r="D972" s="11" t="s">
        <v>138</v>
      </c>
      <c r="E972" s="11" t="s">
        <v>122</v>
      </c>
      <c r="F972" s="12" t="n">
        <v>4941716</v>
      </c>
      <c r="G972" s="12" t="n">
        <v>4456000</v>
      </c>
      <c r="H972" s="11" t="n">
        <v>30</v>
      </c>
      <c r="I972" s="11" t="s">
        <v>69</v>
      </c>
      <c r="J972" s="11" t="s">
        <v>80</v>
      </c>
      <c r="K972" s="11" t="s">
        <v>81</v>
      </c>
      <c r="L972" s="11" t="s">
        <v>82</v>
      </c>
      <c r="M972" s="11" t="s">
        <v>73</v>
      </c>
      <c r="N972" s="11" t="s">
        <v>173</v>
      </c>
      <c r="O972" s="11" t="s">
        <v>174</v>
      </c>
      <c r="P972" s="11" t="s">
        <v>95</v>
      </c>
      <c r="Q972" s="13" t="n">
        <f aca="false">F972*H972</f>
        <v>148251480</v>
      </c>
      <c r="R972" s="13" t="n">
        <f aca="false">G972*H972</f>
        <v>133680000</v>
      </c>
      <c r="S972" s="13" t="n">
        <f aca="false">Q972-R972</f>
        <v>14571480</v>
      </c>
      <c r="T972" s="14" t="n">
        <f aca="false">IFERROR(S972/Q972,0)</f>
        <v>0.0982889344511097</v>
      </c>
      <c r="U972" s="15" t="str">
        <f aca="false">TEXT(A972,"yyyy-mm")</f>
        <v>2022-01</v>
      </c>
    </row>
    <row r="973" customFormat="false" ht="15" hidden="false" customHeight="false" outlineLevel="0" collapsed="false">
      <c r="A973" s="10" t="n">
        <v>44567</v>
      </c>
      <c r="B973" s="11" t="s">
        <v>1105</v>
      </c>
      <c r="C973" s="11" t="s">
        <v>66</v>
      </c>
      <c r="D973" s="11" t="s">
        <v>67</v>
      </c>
      <c r="E973" s="11" t="s">
        <v>68</v>
      </c>
      <c r="F973" s="12" t="n">
        <v>3048952</v>
      </c>
      <c r="G973" s="12" t="n">
        <v>2560000</v>
      </c>
      <c r="H973" s="11" t="n">
        <v>6</v>
      </c>
      <c r="I973" s="11" t="s">
        <v>69</v>
      </c>
      <c r="J973" s="11" t="s">
        <v>80</v>
      </c>
      <c r="K973" s="11" t="s">
        <v>81</v>
      </c>
      <c r="L973" s="11" t="s">
        <v>82</v>
      </c>
      <c r="M973" s="11" t="s">
        <v>73</v>
      </c>
      <c r="N973" s="11" t="s">
        <v>123</v>
      </c>
      <c r="O973" s="11" t="s">
        <v>60</v>
      </c>
      <c r="P973" s="11" t="s">
        <v>106</v>
      </c>
      <c r="Q973" s="13" t="n">
        <f aca="false">F973*H973</f>
        <v>18293712</v>
      </c>
      <c r="R973" s="13" t="n">
        <f aca="false">G973*H973</f>
        <v>15360000</v>
      </c>
      <c r="S973" s="13" t="n">
        <f aca="false">Q973-R973</f>
        <v>2933712</v>
      </c>
      <c r="T973" s="14" t="n">
        <f aca="false">IFERROR(S973/Q973,0)</f>
        <v>0.160367234380863</v>
      </c>
      <c r="U973" s="15" t="str">
        <f aca="false">TEXT(A973,"yyyy-mm")</f>
        <v>2022-01</v>
      </c>
    </row>
    <row r="974" customFormat="false" ht="15" hidden="false" customHeight="false" outlineLevel="0" collapsed="false">
      <c r="A974" s="10" t="n">
        <v>44567</v>
      </c>
      <c r="B974" s="11" t="s">
        <v>1106</v>
      </c>
      <c r="C974" s="11" t="s">
        <v>78</v>
      </c>
      <c r="D974" s="11" t="s">
        <v>67</v>
      </c>
      <c r="E974" s="11" t="s">
        <v>79</v>
      </c>
      <c r="F974" s="12" t="n">
        <v>1870000</v>
      </c>
      <c r="G974" s="12" t="n">
        <v>1650000</v>
      </c>
      <c r="H974" s="11" t="n">
        <v>6</v>
      </c>
      <c r="I974" s="11" t="s">
        <v>69</v>
      </c>
      <c r="J974" s="11" t="s">
        <v>80</v>
      </c>
      <c r="K974" s="11" t="s">
        <v>81</v>
      </c>
      <c r="L974" s="11" t="s">
        <v>82</v>
      </c>
      <c r="M974" s="11" t="s">
        <v>73</v>
      </c>
      <c r="N974" s="11" t="s">
        <v>104</v>
      </c>
      <c r="O974" s="11" t="s">
        <v>105</v>
      </c>
      <c r="P974" s="11" t="s">
        <v>106</v>
      </c>
      <c r="Q974" s="13" t="n">
        <f aca="false">F974*H974</f>
        <v>11220000</v>
      </c>
      <c r="R974" s="13" t="n">
        <f aca="false">G974*H974</f>
        <v>9900000</v>
      </c>
      <c r="S974" s="13" t="n">
        <f aca="false">Q974-R974</f>
        <v>1320000</v>
      </c>
      <c r="T974" s="14" t="n">
        <f aca="false">IFERROR(S974/Q974,0)</f>
        <v>0.117647058823529</v>
      </c>
      <c r="U974" s="15" t="str">
        <f aca="false">TEXT(A974,"yyyy-mm")</f>
        <v>2022-01</v>
      </c>
    </row>
    <row r="975" customFormat="false" ht="15" hidden="false" customHeight="false" outlineLevel="0" collapsed="false">
      <c r="A975" s="10" t="n">
        <v>44567</v>
      </c>
      <c r="B975" s="11" t="s">
        <v>1107</v>
      </c>
      <c r="C975" s="11" t="s">
        <v>84</v>
      </c>
      <c r="D975" s="11" t="s">
        <v>67</v>
      </c>
      <c r="E975" s="11" t="s">
        <v>85</v>
      </c>
      <c r="F975" s="12" t="n">
        <v>2600000</v>
      </c>
      <c r="G975" s="12" t="n">
        <v>2300000</v>
      </c>
      <c r="H975" s="11" t="n">
        <v>19</v>
      </c>
      <c r="I975" s="11" t="s">
        <v>69</v>
      </c>
      <c r="J975" s="11" t="s">
        <v>80</v>
      </c>
      <c r="K975" s="11" t="s">
        <v>81</v>
      </c>
      <c r="L975" s="11" t="s">
        <v>82</v>
      </c>
      <c r="M975" s="11" t="s">
        <v>73</v>
      </c>
      <c r="N975" s="11" t="s">
        <v>99</v>
      </c>
      <c r="O975" s="11" t="s">
        <v>100</v>
      </c>
      <c r="P975" s="11" t="s">
        <v>101</v>
      </c>
      <c r="Q975" s="13" t="n">
        <f aca="false">F975*H975</f>
        <v>49400000</v>
      </c>
      <c r="R975" s="13" t="n">
        <f aca="false">G975*H975</f>
        <v>43700000</v>
      </c>
      <c r="S975" s="13" t="n">
        <f aca="false">Q975-R975</f>
        <v>5700000</v>
      </c>
      <c r="T975" s="14" t="n">
        <f aca="false">IFERROR(S975/Q975,0)</f>
        <v>0.115384615384615</v>
      </c>
      <c r="U975" s="15" t="str">
        <f aca="false">TEXT(A975,"yyyy-mm")</f>
        <v>2022-01</v>
      </c>
    </row>
    <row r="976" customFormat="false" ht="15" hidden="false" customHeight="false" outlineLevel="0" collapsed="false">
      <c r="A976" s="10" t="n">
        <v>44567</v>
      </c>
      <c r="B976" s="11" t="s">
        <v>1108</v>
      </c>
      <c r="C976" s="11" t="s">
        <v>92</v>
      </c>
      <c r="D976" s="11" t="s">
        <v>67</v>
      </c>
      <c r="E976" s="11" t="s">
        <v>79</v>
      </c>
      <c r="F976" s="12" t="n">
        <v>3577480</v>
      </c>
      <c r="G976" s="12" t="n">
        <v>3100000</v>
      </c>
      <c r="H976" s="11" t="n">
        <v>6</v>
      </c>
      <c r="I976" s="11" t="s">
        <v>69</v>
      </c>
      <c r="J976" s="11" t="s">
        <v>80</v>
      </c>
      <c r="K976" s="11" t="s">
        <v>81</v>
      </c>
      <c r="L976" s="11" t="s">
        <v>82</v>
      </c>
      <c r="M976" s="11" t="s">
        <v>73</v>
      </c>
      <c r="N976" s="11" t="s">
        <v>74</v>
      </c>
      <c r="O976" s="11" t="s">
        <v>75</v>
      </c>
      <c r="P976" s="11" t="s">
        <v>76</v>
      </c>
      <c r="Q976" s="13" t="n">
        <f aca="false">F976*H976</f>
        <v>21464880</v>
      </c>
      <c r="R976" s="13" t="n">
        <f aca="false">G976*H976</f>
        <v>18600000</v>
      </c>
      <c r="S976" s="13" t="n">
        <f aca="false">Q976-R976</f>
        <v>2864880</v>
      </c>
      <c r="T976" s="14" t="n">
        <f aca="false">IFERROR(S976/Q976,0)</f>
        <v>0.133468251394837</v>
      </c>
      <c r="U976" s="15" t="str">
        <f aca="false">TEXT(A976,"yyyy-mm")</f>
        <v>2022-01</v>
      </c>
    </row>
    <row r="977" customFormat="false" ht="15" hidden="false" customHeight="false" outlineLevel="0" collapsed="false">
      <c r="A977" s="10" t="n">
        <v>44568</v>
      </c>
      <c r="B977" s="11" t="s">
        <v>1109</v>
      </c>
      <c r="C977" s="11" t="s">
        <v>97</v>
      </c>
      <c r="D977" s="11" t="s">
        <v>67</v>
      </c>
      <c r="E977" s="11" t="s">
        <v>98</v>
      </c>
      <c r="F977" s="12" t="n">
        <v>4969724</v>
      </c>
      <c r="G977" s="12" t="n">
        <v>4121560</v>
      </c>
      <c r="H977" s="11" t="n">
        <v>11</v>
      </c>
      <c r="I977" s="11" t="s">
        <v>69</v>
      </c>
      <c r="J977" s="11" t="s">
        <v>112</v>
      </c>
      <c r="K977" s="11" t="s">
        <v>113</v>
      </c>
      <c r="L977" s="11" t="s">
        <v>82</v>
      </c>
      <c r="M977" s="11" t="s">
        <v>157</v>
      </c>
      <c r="N977" s="11" t="s">
        <v>74</v>
      </c>
      <c r="O977" s="11" t="s">
        <v>75</v>
      </c>
      <c r="P977" s="11" t="s">
        <v>76</v>
      </c>
      <c r="Q977" s="13" t="n">
        <f aca="false">F977*H977</f>
        <v>54666964</v>
      </c>
      <c r="R977" s="13" t="n">
        <f aca="false">G977*H977</f>
        <v>45337160</v>
      </c>
      <c r="S977" s="13" t="n">
        <f aca="false">Q977-R977</f>
        <v>9329804</v>
      </c>
      <c r="T977" s="14" t="n">
        <f aca="false">IFERROR(S977/Q977,0)</f>
        <v>0.170666218083741</v>
      </c>
      <c r="U977" s="15" t="str">
        <f aca="false">TEXT(A977,"yyyy-mm")</f>
        <v>2022-01</v>
      </c>
    </row>
    <row r="978" customFormat="false" ht="15" hidden="false" customHeight="false" outlineLevel="0" collapsed="false">
      <c r="A978" s="10" t="n">
        <v>44568</v>
      </c>
      <c r="B978" s="11" t="s">
        <v>1110</v>
      </c>
      <c r="C978" s="11" t="s">
        <v>103</v>
      </c>
      <c r="D978" s="11" t="s">
        <v>67</v>
      </c>
      <c r="E978" s="11" t="s">
        <v>68</v>
      </c>
      <c r="F978" s="12" t="n">
        <v>3319925</v>
      </c>
      <c r="G978" s="12" t="n">
        <v>2800000</v>
      </c>
      <c r="H978" s="11" t="n">
        <v>3</v>
      </c>
      <c r="I978" s="11" t="s">
        <v>69</v>
      </c>
      <c r="J978" s="11" t="s">
        <v>112</v>
      </c>
      <c r="K978" s="11" t="s">
        <v>113</v>
      </c>
      <c r="L978" s="11" t="s">
        <v>82</v>
      </c>
      <c r="M978" s="11" t="s">
        <v>157</v>
      </c>
      <c r="N978" s="11" t="s">
        <v>109</v>
      </c>
      <c r="O978" s="11" t="s">
        <v>75</v>
      </c>
      <c r="P978" s="11" t="s">
        <v>95</v>
      </c>
      <c r="Q978" s="13" t="n">
        <f aca="false">F978*H978</f>
        <v>9959775</v>
      </c>
      <c r="R978" s="13" t="n">
        <f aca="false">G978*H978</f>
        <v>8400000</v>
      </c>
      <c r="S978" s="13" t="n">
        <f aca="false">Q978-R978</f>
        <v>1559775</v>
      </c>
      <c r="T978" s="14" t="n">
        <f aca="false">IFERROR(S978/Q978,0)</f>
        <v>0.15660745348163</v>
      </c>
      <c r="U978" s="15" t="str">
        <f aca="false">TEXT(A978,"yyyy-mm")</f>
        <v>2022-01</v>
      </c>
    </row>
    <row r="979" customFormat="false" ht="15" hidden="false" customHeight="false" outlineLevel="0" collapsed="false">
      <c r="A979" s="10" t="n">
        <v>44568</v>
      </c>
      <c r="B979" s="11" t="s">
        <v>1111</v>
      </c>
      <c r="C979" s="11" t="s">
        <v>108</v>
      </c>
      <c r="D979" s="11" t="s">
        <v>67</v>
      </c>
      <c r="E979" s="11" t="s">
        <v>68</v>
      </c>
      <c r="F979" s="12" t="n">
        <v>4757880</v>
      </c>
      <c r="G979" s="12" t="n">
        <v>3450000</v>
      </c>
      <c r="H979" s="11" t="n">
        <v>15</v>
      </c>
      <c r="I979" s="11" t="s">
        <v>86</v>
      </c>
      <c r="J979" s="11" t="s">
        <v>87</v>
      </c>
      <c r="K979" s="11" t="s">
        <v>88</v>
      </c>
      <c r="L979" s="11" t="s">
        <v>89</v>
      </c>
      <c r="M979" s="11" t="s">
        <v>90</v>
      </c>
      <c r="N979" s="11" t="s">
        <v>143</v>
      </c>
      <c r="O979" s="11" t="s">
        <v>144</v>
      </c>
      <c r="P979" s="11" t="s">
        <v>101</v>
      </c>
      <c r="Q979" s="13" t="n">
        <f aca="false">F979*H979</f>
        <v>71368200</v>
      </c>
      <c r="R979" s="13" t="n">
        <f aca="false">G979*H979</f>
        <v>51750000</v>
      </c>
      <c r="S979" s="13" t="n">
        <f aca="false">Q979-R979</f>
        <v>19618200</v>
      </c>
      <c r="T979" s="14" t="n">
        <f aca="false">IFERROR(S979/Q979,0)</f>
        <v>0.274887134606169</v>
      </c>
      <c r="U979" s="15" t="str">
        <f aca="false">TEXT(A979,"yyyy-mm")</f>
        <v>2022-01</v>
      </c>
    </row>
    <row r="980" customFormat="false" ht="15" hidden="false" customHeight="false" outlineLevel="0" collapsed="false">
      <c r="A980" s="10" t="n">
        <v>44568</v>
      </c>
      <c r="B980" s="11" t="s">
        <v>1112</v>
      </c>
      <c r="C980" s="11" t="s">
        <v>111</v>
      </c>
      <c r="D980" s="11" t="s">
        <v>67</v>
      </c>
      <c r="E980" s="11" t="s">
        <v>79</v>
      </c>
      <c r="F980" s="12" t="n">
        <v>3545808</v>
      </c>
      <c r="G980" s="12" t="n">
        <v>3350000</v>
      </c>
      <c r="H980" s="11" t="n">
        <v>11</v>
      </c>
      <c r="I980" s="11" t="s">
        <v>69</v>
      </c>
      <c r="J980" s="11" t="s">
        <v>112</v>
      </c>
      <c r="K980" s="11" t="s">
        <v>113</v>
      </c>
      <c r="L980" s="11" t="s">
        <v>82</v>
      </c>
      <c r="M980" s="11" t="s">
        <v>157</v>
      </c>
      <c r="N980" s="11" t="s">
        <v>123</v>
      </c>
      <c r="O980" s="11" t="s">
        <v>60</v>
      </c>
      <c r="P980" s="11" t="s">
        <v>106</v>
      </c>
      <c r="Q980" s="13" t="n">
        <f aca="false">F980*H980</f>
        <v>39003888</v>
      </c>
      <c r="R980" s="13" t="n">
        <f aca="false">G980*H980</f>
        <v>36850000</v>
      </c>
      <c r="S980" s="13" t="n">
        <f aca="false">Q980-R980</f>
        <v>2153888</v>
      </c>
      <c r="T980" s="14" t="n">
        <f aca="false">IFERROR(S980/Q980,0)</f>
        <v>0.0552223921881839</v>
      </c>
      <c r="U980" s="15" t="str">
        <f aca="false">TEXT(A980,"yyyy-mm")</f>
        <v>2022-01</v>
      </c>
    </row>
    <row r="981" customFormat="false" ht="15" hidden="false" customHeight="false" outlineLevel="0" collapsed="false">
      <c r="A981" s="10" t="n">
        <v>44568</v>
      </c>
      <c r="B981" s="11" t="s">
        <v>1113</v>
      </c>
      <c r="C981" s="11" t="s">
        <v>115</v>
      </c>
      <c r="D981" s="11" t="s">
        <v>67</v>
      </c>
      <c r="E981" s="11" t="s">
        <v>98</v>
      </c>
      <c r="F981" s="12" t="n">
        <v>4200743</v>
      </c>
      <c r="G981" s="12" t="n">
        <v>4101000</v>
      </c>
      <c r="H981" s="11" t="n">
        <v>3</v>
      </c>
      <c r="I981" s="11" t="s">
        <v>69</v>
      </c>
      <c r="J981" s="11" t="s">
        <v>70</v>
      </c>
      <c r="K981" s="11" t="s">
        <v>71</v>
      </c>
      <c r="L981" s="11" t="s">
        <v>72</v>
      </c>
      <c r="M981" s="11" t="s">
        <v>73</v>
      </c>
      <c r="N981" s="11" t="s">
        <v>99</v>
      </c>
      <c r="O981" s="11" t="s">
        <v>100</v>
      </c>
      <c r="P981" s="11" t="s">
        <v>101</v>
      </c>
      <c r="Q981" s="13" t="n">
        <f aca="false">F981*H981</f>
        <v>12602229</v>
      </c>
      <c r="R981" s="13" t="n">
        <f aca="false">G981*H981</f>
        <v>12303000</v>
      </c>
      <c r="S981" s="13" t="n">
        <f aca="false">Q981-R981</f>
        <v>299229</v>
      </c>
      <c r="T981" s="14" t="n">
        <f aca="false">IFERROR(S981/Q981,0)</f>
        <v>0.023744132883159</v>
      </c>
      <c r="U981" s="15" t="str">
        <f aca="false">TEXT(A981,"yyyy-mm")</f>
        <v>2022-01</v>
      </c>
    </row>
    <row r="982" customFormat="false" ht="15" hidden="false" customHeight="false" outlineLevel="0" collapsed="false">
      <c r="A982" s="10" t="n">
        <v>44569</v>
      </c>
      <c r="B982" s="11" t="s">
        <v>1114</v>
      </c>
      <c r="C982" s="11" t="s">
        <v>117</v>
      </c>
      <c r="D982" s="11" t="s">
        <v>118</v>
      </c>
      <c r="E982" s="11" t="s">
        <v>119</v>
      </c>
      <c r="F982" s="12" t="n">
        <v>8220549</v>
      </c>
      <c r="G982" s="12" t="n">
        <v>6500000</v>
      </c>
      <c r="H982" s="11" t="n">
        <v>21</v>
      </c>
      <c r="I982" s="11" t="s">
        <v>69</v>
      </c>
      <c r="J982" s="11" t="s">
        <v>112</v>
      </c>
      <c r="K982" s="11" t="s">
        <v>113</v>
      </c>
      <c r="L982" s="11" t="s">
        <v>82</v>
      </c>
      <c r="M982" s="11" t="s">
        <v>157</v>
      </c>
      <c r="N982" s="11" t="s">
        <v>99</v>
      </c>
      <c r="O982" s="11" t="s">
        <v>100</v>
      </c>
      <c r="P982" s="11" t="s">
        <v>101</v>
      </c>
      <c r="Q982" s="13" t="n">
        <f aca="false">F982*H982</f>
        <v>172631529</v>
      </c>
      <c r="R982" s="13" t="n">
        <f aca="false">G982*H982</f>
        <v>136500000</v>
      </c>
      <c r="S982" s="13" t="n">
        <f aca="false">Q982-R982</f>
        <v>36131529</v>
      </c>
      <c r="T982" s="14" t="n">
        <f aca="false">IFERROR(S982/Q982,0)</f>
        <v>0.209298551714733</v>
      </c>
      <c r="U982" s="15" t="str">
        <f aca="false">TEXT(A982,"yyyy-mm")</f>
        <v>2022-01</v>
      </c>
    </row>
    <row r="983" customFormat="false" ht="15" hidden="false" customHeight="false" outlineLevel="0" collapsed="false">
      <c r="A983" s="10" t="n">
        <v>44569</v>
      </c>
      <c r="B983" s="11" t="s">
        <v>1115</v>
      </c>
      <c r="C983" s="11" t="s">
        <v>121</v>
      </c>
      <c r="D983" s="11" t="s">
        <v>118</v>
      </c>
      <c r="E983" s="11" t="s">
        <v>122</v>
      </c>
      <c r="F983" s="12" t="n">
        <v>7687274</v>
      </c>
      <c r="G983" s="12" t="n">
        <v>6500000</v>
      </c>
      <c r="H983" s="11" t="n">
        <v>20</v>
      </c>
      <c r="I983" s="11" t="s">
        <v>69</v>
      </c>
      <c r="J983" s="11" t="s">
        <v>80</v>
      </c>
      <c r="K983" s="11" t="s">
        <v>81</v>
      </c>
      <c r="L983" s="11" t="s">
        <v>82</v>
      </c>
      <c r="M983" s="11" t="s">
        <v>73</v>
      </c>
      <c r="N983" s="11" t="s">
        <v>173</v>
      </c>
      <c r="O983" s="11" t="s">
        <v>174</v>
      </c>
      <c r="P983" s="11" t="s">
        <v>95</v>
      </c>
      <c r="Q983" s="13" t="n">
        <f aca="false">F983*H983</f>
        <v>153745480</v>
      </c>
      <c r="R983" s="13" t="n">
        <f aca="false">G983*H983</f>
        <v>130000000</v>
      </c>
      <c r="S983" s="13" t="n">
        <f aca="false">Q983-R983</f>
        <v>23745480</v>
      </c>
      <c r="T983" s="14" t="n">
        <f aca="false">IFERROR(S983/Q983,0)</f>
        <v>0.154446686822923</v>
      </c>
      <c r="U983" s="15" t="str">
        <f aca="false">TEXT(A983,"yyyy-mm")</f>
        <v>2022-01</v>
      </c>
    </row>
    <row r="984" customFormat="false" ht="15" hidden="false" customHeight="false" outlineLevel="0" collapsed="false">
      <c r="A984" s="10" t="n">
        <v>44569</v>
      </c>
      <c r="B984" s="11" t="s">
        <v>1116</v>
      </c>
      <c r="C984" s="11" t="s">
        <v>125</v>
      </c>
      <c r="D984" s="11" t="s">
        <v>118</v>
      </c>
      <c r="E984" s="11" t="s">
        <v>126</v>
      </c>
      <c r="F984" s="12" t="n">
        <v>5684211</v>
      </c>
      <c r="G984" s="12" t="n">
        <v>4300000</v>
      </c>
      <c r="H984" s="11" t="n">
        <v>1</v>
      </c>
      <c r="I984" s="11" t="s">
        <v>69</v>
      </c>
      <c r="J984" s="11" t="s">
        <v>70</v>
      </c>
      <c r="K984" s="11" t="s">
        <v>71</v>
      </c>
      <c r="L984" s="11" t="s">
        <v>72</v>
      </c>
      <c r="M984" s="11" t="s">
        <v>73</v>
      </c>
      <c r="N984" s="11" t="s">
        <v>173</v>
      </c>
      <c r="O984" s="11" t="s">
        <v>174</v>
      </c>
      <c r="P984" s="11" t="s">
        <v>95</v>
      </c>
      <c r="Q984" s="13" t="n">
        <f aca="false">F984*H984</f>
        <v>5684211</v>
      </c>
      <c r="R984" s="13" t="n">
        <f aca="false">G984*H984</f>
        <v>4300000</v>
      </c>
      <c r="S984" s="13" t="n">
        <f aca="false">Q984-R984</f>
        <v>1384211</v>
      </c>
      <c r="T984" s="14" t="n">
        <f aca="false">IFERROR(S984/Q984,0)</f>
        <v>0.243518581558637</v>
      </c>
      <c r="U984" s="15" t="str">
        <f aca="false">TEXT(A984,"yyyy-mm")</f>
        <v>2022-01</v>
      </c>
    </row>
    <row r="985" customFormat="false" ht="15" hidden="false" customHeight="false" outlineLevel="0" collapsed="false">
      <c r="A985" s="10" t="n">
        <v>44569</v>
      </c>
      <c r="B985" s="11" t="s">
        <v>1117</v>
      </c>
      <c r="C985" s="11" t="s">
        <v>128</v>
      </c>
      <c r="D985" s="11" t="s">
        <v>118</v>
      </c>
      <c r="E985" s="11" t="s">
        <v>119</v>
      </c>
      <c r="F985" s="12" t="n">
        <v>3370302</v>
      </c>
      <c r="G985" s="12" t="n">
        <v>2100000</v>
      </c>
      <c r="H985" s="11" t="n">
        <v>17</v>
      </c>
      <c r="I985" s="11" t="s">
        <v>86</v>
      </c>
      <c r="J985" s="11" t="s">
        <v>87</v>
      </c>
      <c r="K985" s="11" t="s">
        <v>88</v>
      </c>
      <c r="L985" s="11" t="s">
        <v>89</v>
      </c>
      <c r="M985" s="11" t="s">
        <v>90</v>
      </c>
      <c r="N985" s="11" t="s">
        <v>109</v>
      </c>
      <c r="O985" s="11" t="s">
        <v>75</v>
      </c>
      <c r="P985" s="11" t="s">
        <v>95</v>
      </c>
      <c r="Q985" s="13" t="n">
        <f aca="false">F985*H985</f>
        <v>57295134</v>
      </c>
      <c r="R985" s="13" t="n">
        <f aca="false">G985*H985</f>
        <v>35700000</v>
      </c>
      <c r="S985" s="13" t="n">
        <f aca="false">Q985-R985</f>
        <v>21595134</v>
      </c>
      <c r="T985" s="14" t="n">
        <f aca="false">IFERROR(S985/Q985,0)</f>
        <v>0.37691043710623</v>
      </c>
      <c r="U985" s="15" t="str">
        <f aca="false">TEXT(A985,"yyyy-mm")</f>
        <v>2022-01</v>
      </c>
    </row>
    <row r="986" customFormat="false" ht="15" hidden="false" customHeight="false" outlineLevel="0" collapsed="false">
      <c r="A986" s="10" t="n">
        <v>44569</v>
      </c>
      <c r="B986" s="11" t="s">
        <v>1118</v>
      </c>
      <c r="C986" s="11" t="s">
        <v>130</v>
      </c>
      <c r="D986" s="11" t="s">
        <v>118</v>
      </c>
      <c r="E986" s="11" t="s">
        <v>68</v>
      </c>
      <c r="F986" s="12" t="n">
        <v>2852897</v>
      </c>
      <c r="G986" s="12" t="n">
        <v>2450000</v>
      </c>
      <c r="H986" s="11" t="n">
        <v>13</v>
      </c>
      <c r="I986" s="11" t="s">
        <v>69</v>
      </c>
      <c r="J986" s="11" t="s">
        <v>80</v>
      </c>
      <c r="K986" s="11" t="s">
        <v>81</v>
      </c>
      <c r="L986" s="11" t="s">
        <v>82</v>
      </c>
      <c r="M986" s="11" t="s">
        <v>73</v>
      </c>
      <c r="N986" s="11" t="s">
        <v>109</v>
      </c>
      <c r="O986" s="11" t="s">
        <v>75</v>
      </c>
      <c r="P986" s="11" t="s">
        <v>95</v>
      </c>
      <c r="Q986" s="13" t="n">
        <f aca="false">F986*H986</f>
        <v>37087661</v>
      </c>
      <c r="R986" s="13" t="n">
        <f aca="false">G986*H986</f>
        <v>31850000</v>
      </c>
      <c r="S986" s="13" t="n">
        <f aca="false">Q986-R986</f>
        <v>5237661</v>
      </c>
      <c r="T986" s="14" t="n">
        <f aca="false">IFERROR(S986/Q986,0)</f>
        <v>0.141223815651249</v>
      </c>
      <c r="U986" s="15" t="str">
        <f aca="false">TEXT(A986,"yyyy-mm")</f>
        <v>2022-01</v>
      </c>
    </row>
    <row r="987" customFormat="false" ht="15" hidden="false" customHeight="false" outlineLevel="0" collapsed="false">
      <c r="A987" s="10" t="n">
        <v>44571</v>
      </c>
      <c r="B987" s="11" t="s">
        <v>1119</v>
      </c>
      <c r="C987" s="11" t="s">
        <v>132</v>
      </c>
      <c r="D987" s="11" t="s">
        <v>118</v>
      </c>
      <c r="E987" s="11" t="s">
        <v>68</v>
      </c>
      <c r="F987" s="12" t="n">
        <v>4803603</v>
      </c>
      <c r="G987" s="12" t="n">
        <v>4121000</v>
      </c>
      <c r="H987" s="11" t="n">
        <v>5</v>
      </c>
      <c r="I987" s="11" t="s">
        <v>69</v>
      </c>
      <c r="J987" s="11" t="s">
        <v>80</v>
      </c>
      <c r="K987" s="11" t="s">
        <v>81</v>
      </c>
      <c r="L987" s="11" t="s">
        <v>82</v>
      </c>
      <c r="M987" s="11" t="s">
        <v>73</v>
      </c>
      <c r="N987" s="11" t="s">
        <v>149</v>
      </c>
      <c r="O987" s="11" t="s">
        <v>150</v>
      </c>
      <c r="P987" s="11" t="s">
        <v>151</v>
      </c>
      <c r="Q987" s="13" t="n">
        <f aca="false">F987*H987</f>
        <v>24018015</v>
      </c>
      <c r="R987" s="13" t="n">
        <f aca="false">G987*H987</f>
        <v>20605000</v>
      </c>
      <c r="S987" s="13" t="n">
        <f aca="false">Q987-R987</f>
        <v>3413015</v>
      </c>
      <c r="T987" s="14" t="n">
        <f aca="false">IFERROR(S987/Q987,0)</f>
        <v>0.142102292799801</v>
      </c>
      <c r="U987" s="15" t="str">
        <f aca="false">TEXT(A987,"yyyy-mm")</f>
        <v>2022-01</v>
      </c>
    </row>
    <row r="988" customFormat="false" ht="15" hidden="false" customHeight="false" outlineLevel="0" collapsed="false">
      <c r="A988" s="10" t="n">
        <v>44571</v>
      </c>
      <c r="B988" s="11" t="s">
        <v>1120</v>
      </c>
      <c r="C988" s="11" t="s">
        <v>135</v>
      </c>
      <c r="D988" s="11" t="s">
        <v>118</v>
      </c>
      <c r="E988" s="11" t="s">
        <v>68</v>
      </c>
      <c r="F988" s="12" t="n">
        <v>5689947</v>
      </c>
      <c r="G988" s="12" t="n">
        <v>5235000</v>
      </c>
      <c r="H988" s="11" t="n">
        <v>21</v>
      </c>
      <c r="I988" s="11" t="s">
        <v>69</v>
      </c>
      <c r="J988" s="11" t="s">
        <v>112</v>
      </c>
      <c r="K988" s="11" t="s">
        <v>113</v>
      </c>
      <c r="L988" s="11" t="s">
        <v>82</v>
      </c>
      <c r="M988" s="11" t="s">
        <v>157</v>
      </c>
      <c r="N988" s="11" t="s">
        <v>143</v>
      </c>
      <c r="O988" s="11" t="s">
        <v>144</v>
      </c>
      <c r="P988" s="11" t="s">
        <v>101</v>
      </c>
      <c r="Q988" s="13" t="n">
        <f aca="false">F988*H988</f>
        <v>119488887</v>
      </c>
      <c r="R988" s="13" t="n">
        <f aca="false">G988*H988</f>
        <v>109935000</v>
      </c>
      <c r="S988" s="13" t="n">
        <f aca="false">Q988-R988</f>
        <v>9553887</v>
      </c>
      <c r="T988" s="14" t="n">
        <f aca="false">IFERROR(S988/Q988,0)</f>
        <v>0.0799562807878527</v>
      </c>
      <c r="U988" s="15" t="str">
        <f aca="false">TEXT(A988,"yyyy-mm")</f>
        <v>2022-01</v>
      </c>
    </row>
    <row r="989" customFormat="false" ht="15" hidden="false" customHeight="false" outlineLevel="0" collapsed="false">
      <c r="A989" s="10" t="n">
        <v>44571</v>
      </c>
      <c r="B989" s="11" t="s">
        <v>1121</v>
      </c>
      <c r="C989" s="11" t="s">
        <v>137</v>
      </c>
      <c r="D989" s="11" t="s">
        <v>138</v>
      </c>
      <c r="E989" s="11" t="s">
        <v>139</v>
      </c>
      <c r="F989" s="12" t="n">
        <v>5171827</v>
      </c>
      <c r="G989" s="12" t="n">
        <v>4890000</v>
      </c>
      <c r="H989" s="11" t="n">
        <v>16</v>
      </c>
      <c r="I989" s="11" t="s">
        <v>69</v>
      </c>
      <c r="J989" s="11" t="s">
        <v>80</v>
      </c>
      <c r="K989" s="11" t="s">
        <v>81</v>
      </c>
      <c r="L989" s="11" t="s">
        <v>82</v>
      </c>
      <c r="M989" s="11" t="s">
        <v>73</v>
      </c>
      <c r="N989" s="11" t="s">
        <v>173</v>
      </c>
      <c r="O989" s="11" t="s">
        <v>174</v>
      </c>
      <c r="P989" s="11" t="s">
        <v>95</v>
      </c>
      <c r="Q989" s="13" t="n">
        <f aca="false">F989*H989</f>
        <v>82749232</v>
      </c>
      <c r="R989" s="13" t="n">
        <f aca="false">G989*H989</f>
        <v>78240000</v>
      </c>
      <c r="S989" s="13" t="n">
        <f aca="false">Q989-R989</f>
        <v>4509232</v>
      </c>
      <c r="T989" s="14" t="n">
        <f aca="false">IFERROR(S989/Q989,0)</f>
        <v>0.0544927353525166</v>
      </c>
      <c r="U989" s="15" t="str">
        <f aca="false">TEXT(A989,"yyyy-mm")</f>
        <v>2022-01</v>
      </c>
    </row>
    <row r="990" customFormat="false" ht="15" hidden="false" customHeight="false" outlineLevel="0" collapsed="false">
      <c r="A990" s="10" t="n">
        <v>44572</v>
      </c>
      <c r="B990" s="11" t="s">
        <v>1122</v>
      </c>
      <c r="C990" s="11" t="s">
        <v>141</v>
      </c>
      <c r="D990" s="11" t="s">
        <v>138</v>
      </c>
      <c r="E990" s="11" t="s">
        <v>142</v>
      </c>
      <c r="F990" s="12" t="n">
        <v>2805124</v>
      </c>
      <c r="G990" s="12" t="n">
        <v>2178000</v>
      </c>
      <c r="H990" s="11" t="n">
        <v>25</v>
      </c>
      <c r="I990" s="11" t="s">
        <v>69</v>
      </c>
      <c r="J990" s="11" t="s">
        <v>80</v>
      </c>
      <c r="K990" s="11" t="s">
        <v>81</v>
      </c>
      <c r="L990" s="11" t="s">
        <v>82</v>
      </c>
      <c r="M990" s="11" t="s">
        <v>73</v>
      </c>
      <c r="N990" s="11" t="s">
        <v>149</v>
      </c>
      <c r="O990" s="11" t="s">
        <v>150</v>
      </c>
      <c r="P990" s="11" t="s">
        <v>151</v>
      </c>
      <c r="Q990" s="13" t="n">
        <f aca="false">F990*H990</f>
        <v>70128100</v>
      </c>
      <c r="R990" s="13" t="n">
        <f aca="false">G990*H990</f>
        <v>54450000</v>
      </c>
      <c r="S990" s="13" t="n">
        <f aca="false">Q990-R990</f>
        <v>15678100</v>
      </c>
      <c r="T990" s="14" t="n">
        <f aca="false">IFERROR(S990/Q990,0)</f>
        <v>0.22356373550688</v>
      </c>
      <c r="U990" s="15" t="str">
        <f aca="false">TEXT(A990,"yyyy-mm")</f>
        <v>2022-01</v>
      </c>
    </row>
    <row r="991" customFormat="false" ht="15" hidden="false" customHeight="false" outlineLevel="0" collapsed="false">
      <c r="A991" s="10" t="n">
        <v>44572</v>
      </c>
      <c r="B991" s="11" t="s">
        <v>1123</v>
      </c>
      <c r="C991" s="11" t="s">
        <v>146</v>
      </c>
      <c r="D991" s="11" t="s">
        <v>138</v>
      </c>
      <c r="E991" s="11" t="s">
        <v>139</v>
      </c>
      <c r="F991" s="12" t="n">
        <v>2728100</v>
      </c>
      <c r="G991" s="12" t="n">
        <v>2321000</v>
      </c>
      <c r="H991" s="11" t="n">
        <v>10</v>
      </c>
      <c r="I991" s="11" t="s">
        <v>69</v>
      </c>
      <c r="J991" s="11" t="s">
        <v>80</v>
      </c>
      <c r="K991" s="11" t="s">
        <v>81</v>
      </c>
      <c r="L991" s="11" t="s">
        <v>82</v>
      </c>
      <c r="M991" s="11" t="s">
        <v>73</v>
      </c>
      <c r="N991" s="11" t="s">
        <v>149</v>
      </c>
      <c r="O991" s="11" t="s">
        <v>150</v>
      </c>
      <c r="P991" s="11" t="s">
        <v>151</v>
      </c>
      <c r="Q991" s="13" t="n">
        <f aca="false">F991*H991</f>
        <v>27281000</v>
      </c>
      <c r="R991" s="13" t="n">
        <f aca="false">G991*H991</f>
        <v>23210000</v>
      </c>
      <c r="S991" s="13" t="n">
        <f aca="false">Q991-R991</f>
        <v>4071000</v>
      </c>
      <c r="T991" s="14" t="n">
        <f aca="false">IFERROR(S991/Q991,0)</f>
        <v>0.149224735163667</v>
      </c>
      <c r="U991" s="15" t="str">
        <f aca="false">TEXT(A991,"yyyy-mm")</f>
        <v>2022-01</v>
      </c>
    </row>
    <row r="992" customFormat="false" ht="15" hidden="false" customHeight="false" outlineLevel="0" collapsed="false">
      <c r="A992" s="10" t="n">
        <v>44573</v>
      </c>
      <c r="B992" s="11" t="s">
        <v>1124</v>
      </c>
      <c r="C992" s="11" t="s">
        <v>148</v>
      </c>
      <c r="D992" s="11" t="s">
        <v>138</v>
      </c>
      <c r="E992" s="11" t="s">
        <v>122</v>
      </c>
      <c r="F992" s="12" t="n">
        <v>4941716</v>
      </c>
      <c r="G992" s="12" t="n">
        <v>4456000</v>
      </c>
      <c r="H992" s="11" t="n">
        <v>17</v>
      </c>
      <c r="I992" s="11" t="s">
        <v>69</v>
      </c>
      <c r="J992" s="11" t="s">
        <v>112</v>
      </c>
      <c r="K992" s="11" t="s">
        <v>113</v>
      </c>
      <c r="L992" s="11" t="s">
        <v>82</v>
      </c>
      <c r="M992" s="11" t="s">
        <v>157</v>
      </c>
      <c r="N992" s="11" t="s">
        <v>149</v>
      </c>
      <c r="O992" s="11" t="s">
        <v>150</v>
      </c>
      <c r="P992" s="11" t="s">
        <v>151</v>
      </c>
      <c r="Q992" s="13" t="n">
        <f aca="false">F992*H992</f>
        <v>84009172</v>
      </c>
      <c r="R992" s="13" t="n">
        <f aca="false">G992*H992</f>
        <v>75752000</v>
      </c>
      <c r="S992" s="13" t="n">
        <f aca="false">Q992-R992</f>
        <v>8257172</v>
      </c>
      <c r="T992" s="14" t="n">
        <f aca="false">IFERROR(S992/Q992,0)</f>
        <v>0.0982889344511097</v>
      </c>
      <c r="U992" s="15" t="str">
        <f aca="false">TEXT(A992,"yyyy-mm")</f>
        <v>2022-01</v>
      </c>
    </row>
    <row r="993" customFormat="false" ht="15" hidden="false" customHeight="false" outlineLevel="0" collapsed="false">
      <c r="A993" s="10" t="n">
        <v>44573</v>
      </c>
      <c r="B993" s="11" t="s">
        <v>1125</v>
      </c>
      <c r="C993" s="11" t="s">
        <v>66</v>
      </c>
      <c r="D993" s="11" t="s">
        <v>67</v>
      </c>
      <c r="E993" s="11" t="s">
        <v>68</v>
      </c>
      <c r="F993" s="12" t="n">
        <v>3048952</v>
      </c>
      <c r="G993" s="12" t="n">
        <v>2560000</v>
      </c>
      <c r="H993" s="11" t="n">
        <v>7</v>
      </c>
      <c r="I993" s="11" t="s">
        <v>69</v>
      </c>
      <c r="J993" s="11" t="s">
        <v>70</v>
      </c>
      <c r="K993" s="11" t="s">
        <v>71</v>
      </c>
      <c r="L993" s="11" t="s">
        <v>72</v>
      </c>
      <c r="M993" s="11" t="s">
        <v>73</v>
      </c>
      <c r="N993" s="11" t="s">
        <v>99</v>
      </c>
      <c r="O993" s="11" t="s">
        <v>100</v>
      </c>
      <c r="P993" s="11" t="s">
        <v>101</v>
      </c>
      <c r="Q993" s="13" t="n">
        <f aca="false">F993*H993</f>
        <v>21342664</v>
      </c>
      <c r="R993" s="13" t="n">
        <f aca="false">G993*H993</f>
        <v>17920000</v>
      </c>
      <c r="S993" s="13" t="n">
        <f aca="false">Q993-R993</f>
        <v>3422664</v>
      </c>
      <c r="T993" s="14" t="n">
        <f aca="false">IFERROR(S993/Q993,0)</f>
        <v>0.160367234380863</v>
      </c>
      <c r="U993" s="15" t="str">
        <f aca="false">TEXT(A993,"yyyy-mm")</f>
        <v>2022-01</v>
      </c>
    </row>
    <row r="994" customFormat="false" ht="15" hidden="false" customHeight="false" outlineLevel="0" collapsed="false">
      <c r="A994" s="10" t="n">
        <v>44573</v>
      </c>
      <c r="B994" s="11" t="s">
        <v>1126</v>
      </c>
      <c r="C994" s="11" t="s">
        <v>78</v>
      </c>
      <c r="D994" s="11" t="s">
        <v>67</v>
      </c>
      <c r="E994" s="11" t="s">
        <v>79</v>
      </c>
      <c r="F994" s="12" t="n">
        <v>1870000</v>
      </c>
      <c r="G994" s="12" t="n">
        <v>1650000</v>
      </c>
      <c r="H994" s="11" t="n">
        <v>23</v>
      </c>
      <c r="I994" s="11" t="s">
        <v>69</v>
      </c>
      <c r="J994" s="11" t="s">
        <v>80</v>
      </c>
      <c r="K994" s="11" t="s">
        <v>81</v>
      </c>
      <c r="L994" s="11" t="s">
        <v>82</v>
      </c>
      <c r="M994" s="11" t="s">
        <v>73</v>
      </c>
      <c r="N994" s="11" t="s">
        <v>149</v>
      </c>
      <c r="O994" s="11" t="s">
        <v>150</v>
      </c>
      <c r="P994" s="11" t="s">
        <v>151</v>
      </c>
      <c r="Q994" s="13" t="n">
        <f aca="false">F994*H994</f>
        <v>43010000</v>
      </c>
      <c r="R994" s="13" t="n">
        <f aca="false">G994*H994</f>
        <v>37950000</v>
      </c>
      <c r="S994" s="13" t="n">
        <f aca="false">Q994-R994</f>
        <v>5060000</v>
      </c>
      <c r="T994" s="14" t="n">
        <f aca="false">IFERROR(S994/Q994,0)</f>
        <v>0.117647058823529</v>
      </c>
      <c r="U994" s="15" t="str">
        <f aca="false">TEXT(A994,"yyyy-mm")</f>
        <v>2022-01</v>
      </c>
    </row>
    <row r="995" customFormat="false" ht="15" hidden="false" customHeight="false" outlineLevel="0" collapsed="false">
      <c r="A995" s="10" t="n">
        <v>44573</v>
      </c>
      <c r="B995" s="11" t="s">
        <v>1127</v>
      </c>
      <c r="C995" s="11" t="s">
        <v>84</v>
      </c>
      <c r="D995" s="11" t="s">
        <v>67</v>
      </c>
      <c r="E995" s="11" t="s">
        <v>85</v>
      </c>
      <c r="F995" s="12" t="n">
        <v>2600000</v>
      </c>
      <c r="G995" s="12" t="n">
        <v>2300000</v>
      </c>
      <c r="H995" s="11" t="n">
        <v>10</v>
      </c>
      <c r="I995" s="11" t="s">
        <v>86</v>
      </c>
      <c r="J995" s="11" t="s">
        <v>87</v>
      </c>
      <c r="K995" s="11" t="s">
        <v>88</v>
      </c>
      <c r="L995" s="11" t="s">
        <v>89</v>
      </c>
      <c r="M995" s="11" t="s">
        <v>90</v>
      </c>
      <c r="N995" s="11" t="s">
        <v>143</v>
      </c>
      <c r="O995" s="11" t="s">
        <v>144</v>
      </c>
      <c r="P995" s="11" t="s">
        <v>101</v>
      </c>
      <c r="Q995" s="13" t="n">
        <f aca="false">F995*H995</f>
        <v>26000000</v>
      </c>
      <c r="R995" s="13" t="n">
        <f aca="false">G995*H995</f>
        <v>23000000</v>
      </c>
      <c r="S995" s="13" t="n">
        <f aca="false">Q995-R995</f>
        <v>3000000</v>
      </c>
      <c r="T995" s="14" t="n">
        <f aca="false">IFERROR(S995/Q995,0)</f>
        <v>0.115384615384615</v>
      </c>
      <c r="U995" s="15" t="str">
        <f aca="false">TEXT(A995,"yyyy-mm")</f>
        <v>2022-01</v>
      </c>
    </row>
    <row r="996" customFormat="false" ht="15" hidden="false" customHeight="false" outlineLevel="0" collapsed="false">
      <c r="A996" s="10" t="n">
        <v>44574</v>
      </c>
      <c r="B996" s="11" t="s">
        <v>1128</v>
      </c>
      <c r="C996" s="11" t="s">
        <v>92</v>
      </c>
      <c r="D996" s="11" t="s">
        <v>67</v>
      </c>
      <c r="E996" s="11" t="s">
        <v>79</v>
      </c>
      <c r="F996" s="12" t="n">
        <v>3577480</v>
      </c>
      <c r="G996" s="12" t="n">
        <v>3100000</v>
      </c>
      <c r="H996" s="11" t="n">
        <v>13</v>
      </c>
      <c r="I996" s="11" t="s">
        <v>69</v>
      </c>
      <c r="J996" s="11" t="s">
        <v>80</v>
      </c>
      <c r="K996" s="11" t="s">
        <v>81</v>
      </c>
      <c r="L996" s="11" t="s">
        <v>82</v>
      </c>
      <c r="M996" s="11" t="s">
        <v>73</v>
      </c>
      <c r="N996" s="11" t="s">
        <v>93</v>
      </c>
      <c r="O996" s="11" t="s">
        <v>94</v>
      </c>
      <c r="P996" s="11" t="s">
        <v>95</v>
      </c>
      <c r="Q996" s="13" t="n">
        <f aca="false">F996*H996</f>
        <v>46507240</v>
      </c>
      <c r="R996" s="13" t="n">
        <f aca="false">G996*H996</f>
        <v>40300000</v>
      </c>
      <c r="S996" s="13" t="n">
        <f aca="false">Q996-R996</f>
        <v>6207240</v>
      </c>
      <c r="T996" s="14" t="n">
        <f aca="false">IFERROR(S996/Q996,0)</f>
        <v>0.133468251394837</v>
      </c>
      <c r="U996" s="15" t="str">
        <f aca="false">TEXT(A996,"yyyy-mm")</f>
        <v>2022-01</v>
      </c>
    </row>
    <row r="997" customFormat="false" ht="15" hidden="false" customHeight="false" outlineLevel="0" collapsed="false">
      <c r="A997" s="10" t="n">
        <v>44574</v>
      </c>
      <c r="B997" s="11" t="s">
        <v>1129</v>
      </c>
      <c r="C997" s="11" t="s">
        <v>97</v>
      </c>
      <c r="D997" s="11" t="s">
        <v>67</v>
      </c>
      <c r="E997" s="11" t="s">
        <v>98</v>
      </c>
      <c r="F997" s="12" t="n">
        <v>4969724</v>
      </c>
      <c r="G997" s="12" t="n">
        <v>4121560</v>
      </c>
      <c r="H997" s="11" t="n">
        <v>2</v>
      </c>
      <c r="I997" s="11" t="s">
        <v>69</v>
      </c>
      <c r="J997" s="11" t="s">
        <v>112</v>
      </c>
      <c r="K997" s="11" t="s">
        <v>113</v>
      </c>
      <c r="L997" s="11" t="s">
        <v>82</v>
      </c>
      <c r="M997" s="11" t="s">
        <v>157</v>
      </c>
      <c r="N997" s="11" t="s">
        <v>74</v>
      </c>
      <c r="O997" s="11" t="s">
        <v>75</v>
      </c>
      <c r="P997" s="11" t="s">
        <v>76</v>
      </c>
      <c r="Q997" s="13" t="n">
        <f aca="false">F997*H997</f>
        <v>9939448</v>
      </c>
      <c r="R997" s="13" t="n">
        <f aca="false">G997*H997</f>
        <v>8243120</v>
      </c>
      <c r="S997" s="13" t="n">
        <f aca="false">Q997-R997</f>
        <v>1696328</v>
      </c>
      <c r="T997" s="14" t="n">
        <f aca="false">IFERROR(S997/Q997,0)</f>
        <v>0.170666218083741</v>
      </c>
      <c r="U997" s="15" t="str">
        <f aca="false">TEXT(A997,"yyyy-mm")</f>
        <v>2022-01</v>
      </c>
    </row>
    <row r="998" customFormat="false" ht="15" hidden="false" customHeight="false" outlineLevel="0" collapsed="false">
      <c r="A998" s="10" t="n">
        <v>44574</v>
      </c>
      <c r="B998" s="11" t="s">
        <v>1130</v>
      </c>
      <c r="C998" s="11" t="s">
        <v>103</v>
      </c>
      <c r="D998" s="11" t="s">
        <v>67</v>
      </c>
      <c r="E998" s="11" t="s">
        <v>68</v>
      </c>
      <c r="F998" s="12" t="n">
        <v>3319925</v>
      </c>
      <c r="G998" s="12" t="n">
        <v>2800000</v>
      </c>
      <c r="H998" s="11" t="n">
        <v>10</v>
      </c>
      <c r="I998" s="11" t="s">
        <v>69</v>
      </c>
      <c r="J998" s="11" t="s">
        <v>70</v>
      </c>
      <c r="K998" s="11" t="s">
        <v>71</v>
      </c>
      <c r="L998" s="11" t="s">
        <v>72</v>
      </c>
      <c r="M998" s="11" t="s">
        <v>73</v>
      </c>
      <c r="N998" s="11" t="s">
        <v>74</v>
      </c>
      <c r="O998" s="11" t="s">
        <v>75</v>
      </c>
      <c r="P998" s="11" t="s">
        <v>76</v>
      </c>
      <c r="Q998" s="13" t="n">
        <f aca="false">F998*H998</f>
        <v>33199250</v>
      </c>
      <c r="R998" s="13" t="n">
        <f aca="false">G998*H998</f>
        <v>28000000</v>
      </c>
      <c r="S998" s="13" t="n">
        <f aca="false">Q998-R998</f>
        <v>5199250</v>
      </c>
      <c r="T998" s="14" t="n">
        <f aca="false">IFERROR(S998/Q998,0)</f>
        <v>0.15660745348163</v>
      </c>
      <c r="U998" s="15" t="str">
        <f aca="false">TEXT(A998,"yyyy-mm")</f>
        <v>2022-01</v>
      </c>
    </row>
    <row r="999" customFormat="false" ht="15" hidden="false" customHeight="false" outlineLevel="0" collapsed="false">
      <c r="A999" s="10" t="n">
        <v>44575</v>
      </c>
      <c r="B999" s="11" t="s">
        <v>1131</v>
      </c>
      <c r="C999" s="11" t="s">
        <v>108</v>
      </c>
      <c r="D999" s="11" t="s">
        <v>67</v>
      </c>
      <c r="E999" s="11" t="s">
        <v>68</v>
      </c>
      <c r="F999" s="12" t="n">
        <v>4757880</v>
      </c>
      <c r="G999" s="12" t="n">
        <v>3450000</v>
      </c>
      <c r="H999" s="11" t="n">
        <v>14</v>
      </c>
      <c r="I999" s="11" t="s">
        <v>69</v>
      </c>
      <c r="J999" s="11" t="s">
        <v>80</v>
      </c>
      <c r="K999" s="11" t="s">
        <v>81</v>
      </c>
      <c r="L999" s="11" t="s">
        <v>82</v>
      </c>
      <c r="M999" s="11" t="s">
        <v>73</v>
      </c>
      <c r="N999" s="11" t="s">
        <v>123</v>
      </c>
      <c r="O999" s="11" t="s">
        <v>60</v>
      </c>
      <c r="P999" s="11" t="s">
        <v>106</v>
      </c>
      <c r="Q999" s="13" t="n">
        <f aca="false">F999*H999</f>
        <v>66610320</v>
      </c>
      <c r="R999" s="13" t="n">
        <f aca="false">G999*H999</f>
        <v>48300000</v>
      </c>
      <c r="S999" s="13" t="n">
        <f aca="false">Q999-R999</f>
        <v>18310320</v>
      </c>
      <c r="T999" s="14" t="n">
        <f aca="false">IFERROR(S999/Q999,0)</f>
        <v>0.274887134606169</v>
      </c>
      <c r="U999" s="15" t="str">
        <f aca="false">TEXT(A999,"yyyy-mm")</f>
        <v>2022-01</v>
      </c>
    </row>
    <row r="1000" customFormat="false" ht="15" hidden="false" customHeight="false" outlineLevel="0" collapsed="false">
      <c r="A1000" s="10" t="n">
        <v>44575</v>
      </c>
      <c r="B1000" s="11" t="s">
        <v>1132</v>
      </c>
      <c r="C1000" s="11" t="s">
        <v>111</v>
      </c>
      <c r="D1000" s="11" t="s">
        <v>67</v>
      </c>
      <c r="E1000" s="11" t="s">
        <v>79</v>
      </c>
      <c r="F1000" s="12" t="n">
        <v>3545808</v>
      </c>
      <c r="G1000" s="12" t="n">
        <v>3350000</v>
      </c>
      <c r="H1000" s="11" t="n">
        <v>19</v>
      </c>
      <c r="I1000" s="11" t="s">
        <v>69</v>
      </c>
      <c r="J1000" s="11" t="s">
        <v>80</v>
      </c>
      <c r="K1000" s="11" t="s">
        <v>81</v>
      </c>
      <c r="L1000" s="11" t="s">
        <v>82</v>
      </c>
      <c r="M1000" s="11" t="s">
        <v>73</v>
      </c>
      <c r="N1000" s="11" t="s">
        <v>149</v>
      </c>
      <c r="O1000" s="11" t="s">
        <v>150</v>
      </c>
      <c r="P1000" s="11" t="s">
        <v>151</v>
      </c>
      <c r="Q1000" s="13" t="n">
        <f aca="false">F1000*H1000</f>
        <v>67370352</v>
      </c>
      <c r="R1000" s="13" t="n">
        <f aca="false">G1000*H1000</f>
        <v>63650000</v>
      </c>
      <c r="S1000" s="13" t="n">
        <f aca="false">Q1000-R1000</f>
        <v>3720352</v>
      </c>
      <c r="T1000" s="14" t="n">
        <f aca="false">IFERROR(S1000/Q1000,0)</f>
        <v>0.0552223921881839</v>
      </c>
      <c r="U1000" s="15" t="str">
        <f aca="false">TEXT(A1000,"yyyy-mm")</f>
        <v>2022-01</v>
      </c>
    </row>
    <row r="1001" customFormat="false" ht="15" hidden="false" customHeight="false" outlineLevel="0" collapsed="false">
      <c r="A1001" s="10" t="n">
        <v>44575</v>
      </c>
      <c r="B1001" s="11" t="s">
        <v>1133</v>
      </c>
      <c r="C1001" s="11" t="s">
        <v>115</v>
      </c>
      <c r="D1001" s="11" t="s">
        <v>67</v>
      </c>
      <c r="E1001" s="11" t="s">
        <v>98</v>
      </c>
      <c r="F1001" s="12" t="n">
        <v>4200743</v>
      </c>
      <c r="G1001" s="12" t="n">
        <v>4101000</v>
      </c>
      <c r="H1001" s="11" t="n">
        <v>9</v>
      </c>
      <c r="I1001" s="11" t="s">
        <v>69</v>
      </c>
      <c r="J1001" s="11" t="s">
        <v>80</v>
      </c>
      <c r="K1001" s="11" t="s">
        <v>81</v>
      </c>
      <c r="L1001" s="11" t="s">
        <v>82</v>
      </c>
      <c r="M1001" s="11" t="s">
        <v>73</v>
      </c>
      <c r="N1001" s="11" t="s">
        <v>99</v>
      </c>
      <c r="O1001" s="11" t="s">
        <v>100</v>
      </c>
      <c r="P1001" s="11" t="s">
        <v>101</v>
      </c>
      <c r="Q1001" s="13" t="n">
        <f aca="false">F1001*H1001</f>
        <v>37806687</v>
      </c>
      <c r="R1001" s="13" t="n">
        <f aca="false">G1001*H1001</f>
        <v>36909000</v>
      </c>
      <c r="S1001" s="13" t="n">
        <f aca="false">Q1001-R1001</f>
        <v>897687</v>
      </c>
      <c r="T1001" s="14" t="n">
        <f aca="false">IFERROR(S1001/Q1001,0)</f>
        <v>0.023744132883159</v>
      </c>
      <c r="U1001" s="15" t="str">
        <f aca="false">TEXT(A1001,"yyyy-mm")</f>
        <v>2022-01</v>
      </c>
    </row>
    <row r="1002" customFormat="false" ht="15" hidden="false" customHeight="false" outlineLevel="0" collapsed="false">
      <c r="A1002" s="10" t="n">
        <v>44576</v>
      </c>
      <c r="B1002" s="11" t="s">
        <v>1134</v>
      </c>
      <c r="C1002" s="11" t="s">
        <v>117</v>
      </c>
      <c r="D1002" s="11" t="s">
        <v>118</v>
      </c>
      <c r="E1002" s="11" t="s">
        <v>119</v>
      </c>
      <c r="F1002" s="12" t="n">
        <v>8220549</v>
      </c>
      <c r="G1002" s="12" t="n">
        <v>6500000</v>
      </c>
      <c r="H1002" s="11" t="n">
        <v>10</v>
      </c>
      <c r="I1002" s="11" t="s">
        <v>69</v>
      </c>
      <c r="J1002" s="11" t="s">
        <v>112</v>
      </c>
      <c r="K1002" s="11" t="s">
        <v>113</v>
      </c>
      <c r="L1002" s="11" t="s">
        <v>82</v>
      </c>
      <c r="M1002" s="11" t="s">
        <v>157</v>
      </c>
      <c r="N1002" s="11" t="s">
        <v>149</v>
      </c>
      <c r="O1002" s="11" t="s">
        <v>150</v>
      </c>
      <c r="P1002" s="11" t="s">
        <v>151</v>
      </c>
      <c r="Q1002" s="13" t="n">
        <f aca="false">F1002*H1002</f>
        <v>82205490</v>
      </c>
      <c r="R1002" s="13" t="n">
        <f aca="false">G1002*H1002</f>
        <v>65000000</v>
      </c>
      <c r="S1002" s="13" t="n">
        <f aca="false">Q1002-R1002</f>
        <v>17205490</v>
      </c>
      <c r="T1002" s="14" t="n">
        <f aca="false">IFERROR(S1002/Q1002,0)</f>
        <v>0.209298551714733</v>
      </c>
      <c r="U1002" s="15" t="str">
        <f aca="false">TEXT(A1002,"yyyy-mm")</f>
        <v>2022-01</v>
      </c>
    </row>
    <row r="1003" customFormat="false" ht="15" hidden="false" customHeight="false" outlineLevel="0" collapsed="false">
      <c r="A1003" s="10" t="n">
        <v>44576</v>
      </c>
      <c r="B1003" s="11" t="s">
        <v>1135</v>
      </c>
      <c r="C1003" s="11" t="s">
        <v>121</v>
      </c>
      <c r="D1003" s="11" t="s">
        <v>118</v>
      </c>
      <c r="E1003" s="11" t="s">
        <v>122</v>
      </c>
      <c r="F1003" s="12" t="n">
        <v>7687274</v>
      </c>
      <c r="G1003" s="12" t="n">
        <v>6500000</v>
      </c>
      <c r="H1003" s="11" t="n">
        <v>3</v>
      </c>
      <c r="I1003" s="11" t="s">
        <v>69</v>
      </c>
      <c r="J1003" s="11" t="s">
        <v>80</v>
      </c>
      <c r="K1003" s="11" t="s">
        <v>81</v>
      </c>
      <c r="L1003" s="11" t="s">
        <v>82</v>
      </c>
      <c r="M1003" s="11" t="s">
        <v>73</v>
      </c>
      <c r="N1003" s="11" t="s">
        <v>173</v>
      </c>
      <c r="O1003" s="11" t="s">
        <v>174</v>
      </c>
      <c r="P1003" s="11" t="s">
        <v>95</v>
      </c>
      <c r="Q1003" s="13" t="n">
        <f aca="false">F1003*H1003</f>
        <v>23061822</v>
      </c>
      <c r="R1003" s="13" t="n">
        <f aca="false">G1003*H1003</f>
        <v>19500000</v>
      </c>
      <c r="S1003" s="13" t="n">
        <f aca="false">Q1003-R1003</f>
        <v>3561822</v>
      </c>
      <c r="T1003" s="14" t="n">
        <f aca="false">IFERROR(S1003/Q1003,0)</f>
        <v>0.154446686822923</v>
      </c>
      <c r="U1003" s="15" t="str">
        <f aca="false">TEXT(A1003,"yyyy-mm")</f>
        <v>2022-01</v>
      </c>
    </row>
    <row r="1004" customFormat="false" ht="15" hidden="false" customHeight="false" outlineLevel="0" collapsed="false">
      <c r="A1004" s="10" t="n">
        <v>44576</v>
      </c>
      <c r="B1004" s="11" t="s">
        <v>1136</v>
      </c>
      <c r="C1004" s="11" t="s">
        <v>125</v>
      </c>
      <c r="D1004" s="11" t="s">
        <v>118</v>
      </c>
      <c r="E1004" s="11" t="s">
        <v>126</v>
      </c>
      <c r="F1004" s="12" t="n">
        <v>5684211</v>
      </c>
      <c r="G1004" s="12" t="n">
        <v>4300000</v>
      </c>
      <c r="H1004" s="11" t="n">
        <v>15</v>
      </c>
      <c r="I1004" s="11" t="s">
        <v>86</v>
      </c>
      <c r="J1004" s="11" t="s">
        <v>87</v>
      </c>
      <c r="K1004" s="11" t="s">
        <v>88</v>
      </c>
      <c r="L1004" s="11" t="s">
        <v>89</v>
      </c>
      <c r="M1004" s="11" t="s">
        <v>90</v>
      </c>
      <c r="N1004" s="11" t="s">
        <v>74</v>
      </c>
      <c r="O1004" s="11" t="s">
        <v>75</v>
      </c>
      <c r="P1004" s="11" t="s">
        <v>76</v>
      </c>
      <c r="Q1004" s="13" t="n">
        <f aca="false">F1004*H1004</f>
        <v>85263165</v>
      </c>
      <c r="R1004" s="13" t="n">
        <f aca="false">G1004*H1004</f>
        <v>64500000</v>
      </c>
      <c r="S1004" s="13" t="n">
        <f aca="false">Q1004-R1004</f>
        <v>20763165</v>
      </c>
      <c r="T1004" s="14" t="n">
        <f aca="false">IFERROR(S1004/Q1004,0)</f>
        <v>0.243518581558637</v>
      </c>
      <c r="U1004" s="15" t="str">
        <f aca="false">TEXT(A1004,"yyyy-mm")</f>
        <v>2022-01</v>
      </c>
    </row>
    <row r="1005" customFormat="false" ht="15" hidden="false" customHeight="false" outlineLevel="0" collapsed="false">
      <c r="A1005" s="10" t="n">
        <v>44577</v>
      </c>
      <c r="B1005" s="11" t="s">
        <v>1137</v>
      </c>
      <c r="C1005" s="11" t="s">
        <v>128</v>
      </c>
      <c r="D1005" s="11" t="s">
        <v>118</v>
      </c>
      <c r="E1005" s="11" t="s">
        <v>119</v>
      </c>
      <c r="F1005" s="12" t="n">
        <v>3370302</v>
      </c>
      <c r="G1005" s="12" t="n">
        <v>2100000</v>
      </c>
      <c r="H1005" s="11" t="n">
        <v>8</v>
      </c>
      <c r="I1005" s="11" t="s">
        <v>69</v>
      </c>
      <c r="J1005" s="11" t="s">
        <v>80</v>
      </c>
      <c r="K1005" s="11" t="s">
        <v>81</v>
      </c>
      <c r="L1005" s="11" t="s">
        <v>82</v>
      </c>
      <c r="M1005" s="11" t="s">
        <v>73</v>
      </c>
      <c r="N1005" s="11" t="s">
        <v>143</v>
      </c>
      <c r="O1005" s="11" t="s">
        <v>144</v>
      </c>
      <c r="P1005" s="11" t="s">
        <v>101</v>
      </c>
      <c r="Q1005" s="13" t="n">
        <f aca="false">F1005*H1005</f>
        <v>26962416</v>
      </c>
      <c r="R1005" s="13" t="n">
        <f aca="false">G1005*H1005</f>
        <v>16800000</v>
      </c>
      <c r="S1005" s="13" t="n">
        <f aca="false">Q1005-R1005</f>
        <v>10162416</v>
      </c>
      <c r="T1005" s="14" t="n">
        <f aca="false">IFERROR(S1005/Q1005,0)</f>
        <v>0.37691043710623</v>
      </c>
      <c r="U1005" s="15" t="str">
        <f aca="false">TEXT(A1005,"yyyy-mm")</f>
        <v>2022-01</v>
      </c>
    </row>
    <row r="1006" customFormat="false" ht="15" hidden="false" customHeight="false" outlineLevel="0" collapsed="false">
      <c r="A1006" s="10" t="n">
        <v>44577</v>
      </c>
      <c r="B1006" s="11" t="s">
        <v>1138</v>
      </c>
      <c r="C1006" s="11" t="s">
        <v>130</v>
      </c>
      <c r="D1006" s="11" t="s">
        <v>118</v>
      </c>
      <c r="E1006" s="11" t="s">
        <v>68</v>
      </c>
      <c r="F1006" s="12" t="n">
        <v>2852897</v>
      </c>
      <c r="G1006" s="12" t="n">
        <v>2450000</v>
      </c>
      <c r="H1006" s="11" t="n">
        <v>12</v>
      </c>
      <c r="I1006" s="11" t="s">
        <v>69</v>
      </c>
      <c r="J1006" s="11" t="s">
        <v>112</v>
      </c>
      <c r="K1006" s="11" t="s">
        <v>113</v>
      </c>
      <c r="L1006" s="11" t="s">
        <v>82</v>
      </c>
      <c r="M1006" s="11" t="s">
        <v>157</v>
      </c>
      <c r="N1006" s="11" t="s">
        <v>93</v>
      </c>
      <c r="O1006" s="11" t="s">
        <v>94</v>
      </c>
      <c r="P1006" s="11" t="s">
        <v>95</v>
      </c>
      <c r="Q1006" s="13" t="n">
        <f aca="false">F1006*H1006</f>
        <v>34234764</v>
      </c>
      <c r="R1006" s="13" t="n">
        <f aca="false">G1006*H1006</f>
        <v>29400000</v>
      </c>
      <c r="S1006" s="13" t="n">
        <f aca="false">Q1006-R1006</f>
        <v>4834764</v>
      </c>
      <c r="T1006" s="14" t="n">
        <f aca="false">IFERROR(S1006/Q1006,0)</f>
        <v>0.141223815651249</v>
      </c>
      <c r="U1006" s="15" t="str">
        <f aca="false">TEXT(A1006,"yyyy-mm")</f>
        <v>2022-01</v>
      </c>
    </row>
    <row r="1007" customFormat="false" ht="15" hidden="false" customHeight="false" outlineLevel="0" collapsed="false">
      <c r="A1007" s="10" t="n">
        <v>44578</v>
      </c>
      <c r="B1007" s="11" t="s">
        <v>1139</v>
      </c>
      <c r="C1007" s="11" t="s">
        <v>132</v>
      </c>
      <c r="D1007" s="11" t="s">
        <v>118</v>
      </c>
      <c r="E1007" s="11" t="s">
        <v>68</v>
      </c>
      <c r="F1007" s="12" t="n">
        <v>4803603</v>
      </c>
      <c r="G1007" s="12" t="n">
        <v>4121000</v>
      </c>
      <c r="H1007" s="11" t="n">
        <v>15</v>
      </c>
      <c r="I1007" s="11" t="s">
        <v>69</v>
      </c>
      <c r="J1007" s="11" t="s">
        <v>80</v>
      </c>
      <c r="K1007" s="11" t="s">
        <v>81</v>
      </c>
      <c r="L1007" s="11" t="s">
        <v>82</v>
      </c>
      <c r="M1007" s="11" t="s">
        <v>73</v>
      </c>
      <c r="N1007" s="11" t="s">
        <v>74</v>
      </c>
      <c r="O1007" s="11" t="s">
        <v>75</v>
      </c>
      <c r="P1007" s="11" t="s">
        <v>76</v>
      </c>
      <c r="Q1007" s="13" t="n">
        <f aca="false">F1007*H1007</f>
        <v>72054045</v>
      </c>
      <c r="R1007" s="13" t="n">
        <f aca="false">G1007*H1007</f>
        <v>61815000</v>
      </c>
      <c r="S1007" s="13" t="n">
        <f aca="false">Q1007-R1007</f>
        <v>10239045</v>
      </c>
      <c r="T1007" s="14" t="n">
        <f aca="false">IFERROR(S1007/Q1007,0)</f>
        <v>0.142102292799801</v>
      </c>
      <c r="U1007" s="15" t="str">
        <f aca="false">TEXT(A1007,"yyyy-mm")</f>
        <v>2022-01</v>
      </c>
    </row>
    <row r="1008" customFormat="false" ht="15" hidden="false" customHeight="false" outlineLevel="0" collapsed="false">
      <c r="A1008" s="10" t="n">
        <v>44578</v>
      </c>
      <c r="B1008" s="11" t="s">
        <v>1140</v>
      </c>
      <c r="C1008" s="11" t="s">
        <v>135</v>
      </c>
      <c r="D1008" s="11" t="s">
        <v>118</v>
      </c>
      <c r="E1008" s="11" t="s">
        <v>68</v>
      </c>
      <c r="F1008" s="12" t="n">
        <v>5689947</v>
      </c>
      <c r="G1008" s="12" t="n">
        <v>5235000</v>
      </c>
      <c r="H1008" s="11" t="n">
        <v>18</v>
      </c>
      <c r="I1008" s="11" t="s">
        <v>69</v>
      </c>
      <c r="J1008" s="11" t="s">
        <v>112</v>
      </c>
      <c r="K1008" s="11" t="s">
        <v>113</v>
      </c>
      <c r="L1008" s="11" t="s">
        <v>82</v>
      </c>
      <c r="M1008" s="11" t="s">
        <v>157</v>
      </c>
      <c r="N1008" s="11" t="s">
        <v>93</v>
      </c>
      <c r="O1008" s="11" t="s">
        <v>94</v>
      </c>
      <c r="P1008" s="11" t="s">
        <v>95</v>
      </c>
      <c r="Q1008" s="13" t="n">
        <f aca="false">F1008*H1008</f>
        <v>102419046</v>
      </c>
      <c r="R1008" s="13" t="n">
        <f aca="false">G1008*H1008</f>
        <v>94230000</v>
      </c>
      <c r="S1008" s="13" t="n">
        <f aca="false">Q1008-R1008</f>
        <v>8189046</v>
      </c>
      <c r="T1008" s="14" t="n">
        <f aca="false">IFERROR(S1008/Q1008,0)</f>
        <v>0.0799562807878527</v>
      </c>
      <c r="U1008" s="15" t="str">
        <f aca="false">TEXT(A1008,"yyyy-mm")</f>
        <v>2022-01</v>
      </c>
    </row>
    <row r="1009" customFormat="false" ht="15" hidden="false" customHeight="false" outlineLevel="0" collapsed="false">
      <c r="A1009" s="10" t="n">
        <v>44578</v>
      </c>
      <c r="B1009" s="11" t="s">
        <v>1141</v>
      </c>
      <c r="C1009" s="11" t="s">
        <v>137</v>
      </c>
      <c r="D1009" s="11" t="s">
        <v>138</v>
      </c>
      <c r="E1009" s="11" t="s">
        <v>139</v>
      </c>
      <c r="F1009" s="12" t="n">
        <v>5171827</v>
      </c>
      <c r="G1009" s="12" t="n">
        <v>4890000</v>
      </c>
      <c r="H1009" s="11" t="n">
        <v>17</v>
      </c>
      <c r="I1009" s="11" t="s">
        <v>69</v>
      </c>
      <c r="J1009" s="11" t="s">
        <v>80</v>
      </c>
      <c r="K1009" s="11" t="s">
        <v>81</v>
      </c>
      <c r="L1009" s="11" t="s">
        <v>82</v>
      </c>
      <c r="M1009" s="11" t="s">
        <v>73</v>
      </c>
      <c r="N1009" s="11" t="s">
        <v>123</v>
      </c>
      <c r="O1009" s="11" t="s">
        <v>60</v>
      </c>
      <c r="P1009" s="11" t="s">
        <v>106</v>
      </c>
      <c r="Q1009" s="13" t="n">
        <f aca="false">F1009*H1009</f>
        <v>87921059</v>
      </c>
      <c r="R1009" s="13" t="n">
        <f aca="false">G1009*H1009</f>
        <v>83130000</v>
      </c>
      <c r="S1009" s="13" t="n">
        <f aca="false">Q1009-R1009</f>
        <v>4791059</v>
      </c>
      <c r="T1009" s="14" t="n">
        <f aca="false">IFERROR(S1009/Q1009,0)</f>
        <v>0.0544927353525166</v>
      </c>
      <c r="U1009" s="15" t="str">
        <f aca="false">TEXT(A1009,"yyyy-mm")</f>
        <v>2022-01</v>
      </c>
    </row>
    <row r="1010" customFormat="false" ht="15" hidden="false" customHeight="false" outlineLevel="0" collapsed="false">
      <c r="A1010" s="10" t="n">
        <v>44580</v>
      </c>
      <c r="B1010" s="11" t="s">
        <v>1142</v>
      </c>
      <c r="C1010" s="11" t="s">
        <v>141</v>
      </c>
      <c r="D1010" s="11" t="s">
        <v>138</v>
      </c>
      <c r="E1010" s="11" t="s">
        <v>142</v>
      </c>
      <c r="F1010" s="12" t="n">
        <v>2805124</v>
      </c>
      <c r="G1010" s="12" t="n">
        <v>2178000</v>
      </c>
      <c r="H1010" s="11" t="n">
        <v>11</v>
      </c>
      <c r="I1010" s="11" t="s">
        <v>86</v>
      </c>
      <c r="J1010" s="11" t="s">
        <v>87</v>
      </c>
      <c r="K1010" s="11" t="s">
        <v>88</v>
      </c>
      <c r="L1010" s="11" t="s">
        <v>89</v>
      </c>
      <c r="M1010" s="11" t="s">
        <v>90</v>
      </c>
      <c r="N1010" s="11" t="s">
        <v>99</v>
      </c>
      <c r="O1010" s="11" t="s">
        <v>100</v>
      </c>
      <c r="P1010" s="11" t="s">
        <v>101</v>
      </c>
      <c r="Q1010" s="13" t="n">
        <f aca="false">F1010*H1010</f>
        <v>30856364</v>
      </c>
      <c r="R1010" s="13" t="n">
        <f aca="false">G1010*H1010</f>
        <v>23958000</v>
      </c>
      <c r="S1010" s="13" t="n">
        <f aca="false">Q1010-R1010</f>
        <v>6898364</v>
      </c>
      <c r="T1010" s="14" t="n">
        <f aca="false">IFERROR(S1010/Q1010,0)</f>
        <v>0.22356373550688</v>
      </c>
      <c r="U1010" s="15" t="str">
        <f aca="false">TEXT(A1010,"yyyy-mm")</f>
        <v>2022-01</v>
      </c>
    </row>
    <row r="1011" customFormat="false" ht="15" hidden="false" customHeight="false" outlineLevel="0" collapsed="false">
      <c r="A1011" s="10" t="n">
        <v>44580</v>
      </c>
      <c r="B1011" s="11" t="s">
        <v>1143</v>
      </c>
      <c r="C1011" s="11" t="s">
        <v>146</v>
      </c>
      <c r="D1011" s="11" t="s">
        <v>138</v>
      </c>
      <c r="E1011" s="11" t="s">
        <v>139</v>
      </c>
      <c r="F1011" s="12" t="n">
        <v>2728100</v>
      </c>
      <c r="G1011" s="12" t="n">
        <v>2321000</v>
      </c>
      <c r="H1011" s="11" t="n">
        <v>12</v>
      </c>
      <c r="I1011" s="11" t="s">
        <v>69</v>
      </c>
      <c r="J1011" s="11" t="s">
        <v>80</v>
      </c>
      <c r="K1011" s="11" t="s">
        <v>81</v>
      </c>
      <c r="L1011" s="11" t="s">
        <v>82</v>
      </c>
      <c r="M1011" s="11" t="s">
        <v>73</v>
      </c>
      <c r="N1011" s="11" t="s">
        <v>99</v>
      </c>
      <c r="O1011" s="11" t="s">
        <v>100</v>
      </c>
      <c r="P1011" s="11" t="s">
        <v>101</v>
      </c>
      <c r="Q1011" s="13" t="n">
        <f aca="false">F1011*H1011</f>
        <v>32737200</v>
      </c>
      <c r="R1011" s="13" t="n">
        <f aca="false">G1011*H1011</f>
        <v>27852000</v>
      </c>
      <c r="S1011" s="13" t="n">
        <f aca="false">Q1011-R1011</f>
        <v>4885200</v>
      </c>
      <c r="T1011" s="14" t="n">
        <f aca="false">IFERROR(S1011/Q1011,0)</f>
        <v>0.149224735163667</v>
      </c>
      <c r="U1011" s="15" t="str">
        <f aca="false">TEXT(A1011,"yyyy-mm")</f>
        <v>2022-01</v>
      </c>
    </row>
    <row r="1012" customFormat="false" ht="15" hidden="false" customHeight="false" outlineLevel="0" collapsed="false">
      <c r="A1012" s="10" t="n">
        <v>44580</v>
      </c>
      <c r="B1012" s="11" t="s">
        <v>1144</v>
      </c>
      <c r="C1012" s="11" t="s">
        <v>148</v>
      </c>
      <c r="D1012" s="11" t="s">
        <v>138</v>
      </c>
      <c r="E1012" s="11" t="s">
        <v>122</v>
      </c>
      <c r="F1012" s="12" t="n">
        <v>4941716</v>
      </c>
      <c r="G1012" s="12" t="n">
        <v>4456000</v>
      </c>
      <c r="H1012" s="11" t="n">
        <v>19</v>
      </c>
      <c r="I1012" s="11" t="s">
        <v>69</v>
      </c>
      <c r="J1012" s="11" t="s">
        <v>70</v>
      </c>
      <c r="K1012" s="11" t="s">
        <v>71</v>
      </c>
      <c r="L1012" s="11" t="s">
        <v>72</v>
      </c>
      <c r="M1012" s="11" t="s">
        <v>73</v>
      </c>
      <c r="N1012" s="11" t="s">
        <v>74</v>
      </c>
      <c r="O1012" s="11" t="s">
        <v>75</v>
      </c>
      <c r="P1012" s="11" t="s">
        <v>76</v>
      </c>
      <c r="Q1012" s="13" t="n">
        <f aca="false">F1012*H1012</f>
        <v>93892604</v>
      </c>
      <c r="R1012" s="13" t="n">
        <f aca="false">G1012*H1012</f>
        <v>84664000</v>
      </c>
      <c r="S1012" s="13" t="n">
        <f aca="false">Q1012-R1012</f>
        <v>9228604</v>
      </c>
      <c r="T1012" s="14" t="n">
        <f aca="false">IFERROR(S1012/Q1012,0)</f>
        <v>0.0982889344511097</v>
      </c>
      <c r="U1012" s="15" t="str">
        <f aca="false">TEXT(A1012,"yyyy-mm")</f>
        <v>2022-01</v>
      </c>
    </row>
    <row r="1013" customFormat="false" ht="15" hidden="false" customHeight="false" outlineLevel="0" collapsed="false">
      <c r="A1013" s="10" t="n">
        <v>44580</v>
      </c>
      <c r="B1013" s="11" t="s">
        <v>1145</v>
      </c>
      <c r="C1013" s="11" t="s">
        <v>66</v>
      </c>
      <c r="D1013" s="11" t="s">
        <v>67</v>
      </c>
      <c r="E1013" s="11" t="s">
        <v>68</v>
      </c>
      <c r="F1013" s="12" t="n">
        <v>3048952</v>
      </c>
      <c r="G1013" s="12" t="n">
        <v>2560000</v>
      </c>
      <c r="H1013" s="11" t="n">
        <v>20</v>
      </c>
      <c r="I1013" s="11" t="s">
        <v>69</v>
      </c>
      <c r="J1013" s="11" t="s">
        <v>70</v>
      </c>
      <c r="K1013" s="11" t="s">
        <v>71</v>
      </c>
      <c r="L1013" s="11" t="s">
        <v>72</v>
      </c>
      <c r="M1013" s="11" t="s">
        <v>73</v>
      </c>
      <c r="N1013" s="11" t="s">
        <v>99</v>
      </c>
      <c r="O1013" s="11" t="s">
        <v>100</v>
      </c>
      <c r="P1013" s="11" t="s">
        <v>101</v>
      </c>
      <c r="Q1013" s="13" t="n">
        <f aca="false">F1013*H1013</f>
        <v>60979040</v>
      </c>
      <c r="R1013" s="13" t="n">
        <f aca="false">G1013*H1013</f>
        <v>51200000</v>
      </c>
      <c r="S1013" s="13" t="n">
        <f aca="false">Q1013-R1013</f>
        <v>9779040</v>
      </c>
      <c r="T1013" s="14" t="n">
        <f aca="false">IFERROR(S1013/Q1013,0)</f>
        <v>0.160367234380863</v>
      </c>
      <c r="U1013" s="15" t="str">
        <f aca="false">TEXT(A1013,"yyyy-mm")</f>
        <v>2022-01</v>
      </c>
    </row>
    <row r="1014" customFormat="false" ht="15" hidden="false" customHeight="false" outlineLevel="0" collapsed="false">
      <c r="A1014" s="10" t="n">
        <v>44580</v>
      </c>
      <c r="B1014" s="11" t="s">
        <v>1146</v>
      </c>
      <c r="C1014" s="11" t="s">
        <v>78</v>
      </c>
      <c r="D1014" s="11" t="s">
        <v>67</v>
      </c>
      <c r="E1014" s="11" t="s">
        <v>79</v>
      </c>
      <c r="F1014" s="12" t="n">
        <v>1870000</v>
      </c>
      <c r="G1014" s="12" t="n">
        <v>1650000</v>
      </c>
      <c r="H1014" s="11" t="n">
        <v>16</v>
      </c>
      <c r="I1014" s="11" t="s">
        <v>69</v>
      </c>
      <c r="J1014" s="11" t="s">
        <v>112</v>
      </c>
      <c r="K1014" s="11" t="s">
        <v>113</v>
      </c>
      <c r="L1014" s="11" t="s">
        <v>82</v>
      </c>
      <c r="M1014" s="11" t="s">
        <v>157</v>
      </c>
      <c r="N1014" s="11" t="s">
        <v>133</v>
      </c>
      <c r="O1014" s="11" t="s">
        <v>60</v>
      </c>
      <c r="P1014" s="11" t="s">
        <v>76</v>
      </c>
      <c r="Q1014" s="13" t="n">
        <f aca="false">F1014*H1014</f>
        <v>29920000</v>
      </c>
      <c r="R1014" s="13" t="n">
        <f aca="false">G1014*H1014</f>
        <v>26400000</v>
      </c>
      <c r="S1014" s="13" t="n">
        <f aca="false">Q1014-R1014</f>
        <v>3520000</v>
      </c>
      <c r="T1014" s="14" t="n">
        <f aca="false">IFERROR(S1014/Q1014,0)</f>
        <v>0.117647058823529</v>
      </c>
      <c r="U1014" s="15" t="str">
        <f aca="false">TEXT(A1014,"yyyy-mm")</f>
        <v>2022-01</v>
      </c>
    </row>
    <row r="1015" customFormat="false" ht="15" hidden="false" customHeight="false" outlineLevel="0" collapsed="false">
      <c r="A1015" s="10" t="n">
        <v>44580</v>
      </c>
      <c r="B1015" s="11" t="s">
        <v>1147</v>
      </c>
      <c r="C1015" s="11" t="s">
        <v>84</v>
      </c>
      <c r="D1015" s="11" t="s">
        <v>67</v>
      </c>
      <c r="E1015" s="11" t="s">
        <v>85</v>
      </c>
      <c r="F1015" s="12" t="n">
        <v>2600000</v>
      </c>
      <c r="G1015" s="12" t="n">
        <v>2300000</v>
      </c>
      <c r="H1015" s="11" t="n">
        <v>16</v>
      </c>
      <c r="I1015" s="11" t="s">
        <v>69</v>
      </c>
      <c r="J1015" s="11" t="s">
        <v>80</v>
      </c>
      <c r="K1015" s="11" t="s">
        <v>81</v>
      </c>
      <c r="L1015" s="11" t="s">
        <v>82</v>
      </c>
      <c r="M1015" s="11" t="s">
        <v>73</v>
      </c>
      <c r="N1015" s="11" t="s">
        <v>173</v>
      </c>
      <c r="O1015" s="11" t="s">
        <v>174</v>
      </c>
      <c r="P1015" s="11" t="s">
        <v>95</v>
      </c>
      <c r="Q1015" s="13" t="n">
        <f aca="false">F1015*H1015</f>
        <v>41600000</v>
      </c>
      <c r="R1015" s="13" t="n">
        <f aca="false">G1015*H1015</f>
        <v>36800000</v>
      </c>
      <c r="S1015" s="13" t="n">
        <f aca="false">Q1015-R1015</f>
        <v>4800000</v>
      </c>
      <c r="T1015" s="14" t="n">
        <f aca="false">IFERROR(S1015/Q1015,0)</f>
        <v>0.115384615384615</v>
      </c>
      <c r="U1015" s="15" t="str">
        <f aca="false">TEXT(A1015,"yyyy-mm")</f>
        <v>2022-01</v>
      </c>
    </row>
    <row r="1016" customFormat="false" ht="15" hidden="false" customHeight="false" outlineLevel="0" collapsed="false">
      <c r="A1016" s="10" t="n">
        <v>44580</v>
      </c>
      <c r="B1016" s="11" t="s">
        <v>1148</v>
      </c>
      <c r="C1016" s="11" t="s">
        <v>92</v>
      </c>
      <c r="D1016" s="11" t="s">
        <v>67</v>
      </c>
      <c r="E1016" s="11" t="s">
        <v>79</v>
      </c>
      <c r="F1016" s="12" t="n">
        <v>3577480</v>
      </c>
      <c r="G1016" s="12" t="n">
        <v>3100000</v>
      </c>
      <c r="H1016" s="11" t="n">
        <v>13</v>
      </c>
      <c r="I1016" s="11" t="s">
        <v>86</v>
      </c>
      <c r="J1016" s="11" t="s">
        <v>87</v>
      </c>
      <c r="K1016" s="11" t="s">
        <v>88</v>
      </c>
      <c r="L1016" s="11" t="s">
        <v>89</v>
      </c>
      <c r="M1016" s="11" t="s">
        <v>90</v>
      </c>
      <c r="N1016" s="11" t="s">
        <v>143</v>
      </c>
      <c r="O1016" s="11" t="s">
        <v>144</v>
      </c>
      <c r="P1016" s="11" t="s">
        <v>101</v>
      </c>
      <c r="Q1016" s="13" t="n">
        <f aca="false">F1016*H1016</f>
        <v>46507240</v>
      </c>
      <c r="R1016" s="13" t="n">
        <f aca="false">G1016*H1016</f>
        <v>40300000</v>
      </c>
      <c r="S1016" s="13" t="n">
        <f aca="false">Q1016-R1016</f>
        <v>6207240</v>
      </c>
      <c r="T1016" s="14" t="n">
        <f aca="false">IFERROR(S1016/Q1016,0)</f>
        <v>0.133468251394837</v>
      </c>
      <c r="U1016" s="15" t="str">
        <f aca="false">TEXT(A1016,"yyyy-mm")</f>
        <v>2022-01</v>
      </c>
    </row>
    <row r="1017" customFormat="false" ht="15" hidden="false" customHeight="false" outlineLevel="0" collapsed="false">
      <c r="A1017" s="10" t="n">
        <v>44582</v>
      </c>
      <c r="B1017" s="11" t="s">
        <v>1149</v>
      </c>
      <c r="C1017" s="11" t="s">
        <v>97</v>
      </c>
      <c r="D1017" s="11" t="s">
        <v>67</v>
      </c>
      <c r="E1017" s="11" t="s">
        <v>98</v>
      </c>
      <c r="F1017" s="12" t="n">
        <v>4969724</v>
      </c>
      <c r="G1017" s="12" t="n">
        <v>4121560</v>
      </c>
      <c r="H1017" s="11" t="n">
        <v>4</v>
      </c>
      <c r="I1017" s="11" t="s">
        <v>69</v>
      </c>
      <c r="J1017" s="11" t="s">
        <v>80</v>
      </c>
      <c r="K1017" s="11" t="s">
        <v>81</v>
      </c>
      <c r="L1017" s="11" t="s">
        <v>82</v>
      </c>
      <c r="M1017" s="11" t="s">
        <v>73</v>
      </c>
      <c r="N1017" s="11" t="s">
        <v>143</v>
      </c>
      <c r="O1017" s="11" t="s">
        <v>144</v>
      </c>
      <c r="P1017" s="11" t="s">
        <v>101</v>
      </c>
      <c r="Q1017" s="13" t="n">
        <f aca="false">F1017*H1017</f>
        <v>19878896</v>
      </c>
      <c r="R1017" s="13" t="n">
        <f aca="false">G1017*H1017</f>
        <v>16486240</v>
      </c>
      <c r="S1017" s="13" t="n">
        <f aca="false">Q1017-R1017</f>
        <v>3392656</v>
      </c>
      <c r="T1017" s="14" t="n">
        <f aca="false">IFERROR(S1017/Q1017,0)</f>
        <v>0.170666218083741</v>
      </c>
      <c r="U1017" s="15" t="str">
        <f aca="false">TEXT(A1017,"yyyy-mm")</f>
        <v>2022-01</v>
      </c>
    </row>
    <row r="1018" customFormat="false" ht="15" hidden="false" customHeight="false" outlineLevel="0" collapsed="false">
      <c r="A1018" s="10" t="n">
        <v>44583</v>
      </c>
      <c r="B1018" s="11" t="s">
        <v>1150</v>
      </c>
      <c r="C1018" s="11" t="s">
        <v>103</v>
      </c>
      <c r="D1018" s="11" t="s">
        <v>67</v>
      </c>
      <c r="E1018" s="11" t="s">
        <v>68</v>
      </c>
      <c r="F1018" s="12" t="n">
        <v>3319925</v>
      </c>
      <c r="G1018" s="12" t="n">
        <v>2800000</v>
      </c>
      <c r="H1018" s="11" t="n">
        <v>14</v>
      </c>
      <c r="I1018" s="11" t="s">
        <v>69</v>
      </c>
      <c r="J1018" s="11" t="s">
        <v>80</v>
      </c>
      <c r="K1018" s="11" t="s">
        <v>81</v>
      </c>
      <c r="L1018" s="11" t="s">
        <v>82</v>
      </c>
      <c r="M1018" s="11" t="s">
        <v>73</v>
      </c>
      <c r="N1018" s="11" t="s">
        <v>173</v>
      </c>
      <c r="O1018" s="11" t="s">
        <v>174</v>
      </c>
      <c r="P1018" s="11" t="s">
        <v>95</v>
      </c>
      <c r="Q1018" s="13" t="n">
        <f aca="false">F1018*H1018</f>
        <v>46478950</v>
      </c>
      <c r="R1018" s="13" t="n">
        <f aca="false">G1018*H1018</f>
        <v>39200000</v>
      </c>
      <c r="S1018" s="13" t="n">
        <f aca="false">Q1018-R1018</f>
        <v>7278950</v>
      </c>
      <c r="T1018" s="14" t="n">
        <f aca="false">IFERROR(S1018/Q1018,0)</f>
        <v>0.15660745348163</v>
      </c>
      <c r="U1018" s="15" t="str">
        <f aca="false">TEXT(A1018,"yyyy-mm")</f>
        <v>2022-01</v>
      </c>
    </row>
    <row r="1019" customFormat="false" ht="15" hidden="false" customHeight="false" outlineLevel="0" collapsed="false">
      <c r="A1019" s="10" t="n">
        <v>44583</v>
      </c>
      <c r="B1019" s="11" t="s">
        <v>1151</v>
      </c>
      <c r="C1019" s="11" t="s">
        <v>108</v>
      </c>
      <c r="D1019" s="11" t="s">
        <v>67</v>
      </c>
      <c r="E1019" s="11" t="s">
        <v>68</v>
      </c>
      <c r="F1019" s="12" t="n">
        <v>4757880</v>
      </c>
      <c r="G1019" s="12" t="n">
        <v>3450000</v>
      </c>
      <c r="H1019" s="11" t="n">
        <v>7</v>
      </c>
      <c r="I1019" s="11" t="s">
        <v>69</v>
      </c>
      <c r="J1019" s="11" t="s">
        <v>70</v>
      </c>
      <c r="K1019" s="11" t="s">
        <v>71</v>
      </c>
      <c r="L1019" s="11" t="s">
        <v>72</v>
      </c>
      <c r="M1019" s="11" t="s">
        <v>73</v>
      </c>
      <c r="N1019" s="11" t="s">
        <v>143</v>
      </c>
      <c r="O1019" s="11" t="s">
        <v>144</v>
      </c>
      <c r="P1019" s="11" t="s">
        <v>101</v>
      </c>
      <c r="Q1019" s="13" t="n">
        <f aca="false">F1019*H1019</f>
        <v>33305160</v>
      </c>
      <c r="R1019" s="13" t="n">
        <f aca="false">G1019*H1019</f>
        <v>24150000</v>
      </c>
      <c r="S1019" s="13" t="n">
        <f aca="false">Q1019-R1019</f>
        <v>9155160</v>
      </c>
      <c r="T1019" s="14" t="n">
        <f aca="false">IFERROR(S1019/Q1019,0)</f>
        <v>0.274887134606169</v>
      </c>
      <c r="U1019" s="15" t="str">
        <f aca="false">TEXT(A1019,"yyyy-mm")</f>
        <v>2022-01</v>
      </c>
    </row>
    <row r="1020" customFormat="false" ht="15" hidden="false" customHeight="false" outlineLevel="0" collapsed="false">
      <c r="A1020" s="10" t="n">
        <v>44584</v>
      </c>
      <c r="B1020" s="11" t="s">
        <v>1152</v>
      </c>
      <c r="C1020" s="11" t="s">
        <v>111</v>
      </c>
      <c r="D1020" s="11" t="s">
        <v>67</v>
      </c>
      <c r="E1020" s="11" t="s">
        <v>79</v>
      </c>
      <c r="F1020" s="12" t="n">
        <v>3545808</v>
      </c>
      <c r="G1020" s="12" t="n">
        <v>3350000</v>
      </c>
      <c r="H1020" s="11" t="n">
        <v>7</v>
      </c>
      <c r="I1020" s="11" t="s">
        <v>69</v>
      </c>
      <c r="J1020" s="11" t="s">
        <v>112</v>
      </c>
      <c r="K1020" s="11" t="s">
        <v>113</v>
      </c>
      <c r="L1020" s="11" t="s">
        <v>82</v>
      </c>
      <c r="M1020" s="11" t="s">
        <v>157</v>
      </c>
      <c r="N1020" s="11" t="s">
        <v>123</v>
      </c>
      <c r="O1020" s="11" t="s">
        <v>60</v>
      </c>
      <c r="P1020" s="11" t="s">
        <v>106</v>
      </c>
      <c r="Q1020" s="13" t="n">
        <f aca="false">F1020*H1020</f>
        <v>24820656</v>
      </c>
      <c r="R1020" s="13" t="n">
        <f aca="false">G1020*H1020</f>
        <v>23450000</v>
      </c>
      <c r="S1020" s="13" t="n">
        <f aca="false">Q1020-R1020</f>
        <v>1370656</v>
      </c>
      <c r="T1020" s="14" t="n">
        <f aca="false">IFERROR(S1020/Q1020,0)</f>
        <v>0.0552223921881839</v>
      </c>
      <c r="U1020" s="15" t="str">
        <f aca="false">TEXT(A1020,"yyyy-mm")</f>
        <v>2022-01</v>
      </c>
    </row>
    <row r="1021" customFormat="false" ht="15" hidden="false" customHeight="false" outlineLevel="0" collapsed="false">
      <c r="A1021" s="10" t="n">
        <v>44584</v>
      </c>
      <c r="B1021" s="11" t="s">
        <v>1153</v>
      </c>
      <c r="C1021" s="11" t="s">
        <v>115</v>
      </c>
      <c r="D1021" s="11" t="s">
        <v>67</v>
      </c>
      <c r="E1021" s="11" t="s">
        <v>98</v>
      </c>
      <c r="F1021" s="12" t="n">
        <v>4200743</v>
      </c>
      <c r="G1021" s="12" t="n">
        <v>4101000</v>
      </c>
      <c r="H1021" s="11" t="n">
        <v>4</v>
      </c>
      <c r="I1021" s="11" t="s">
        <v>69</v>
      </c>
      <c r="J1021" s="11" t="s">
        <v>80</v>
      </c>
      <c r="K1021" s="11" t="s">
        <v>81</v>
      </c>
      <c r="L1021" s="11" t="s">
        <v>82</v>
      </c>
      <c r="M1021" s="11" t="s">
        <v>73</v>
      </c>
      <c r="N1021" s="11" t="s">
        <v>149</v>
      </c>
      <c r="O1021" s="11" t="s">
        <v>150</v>
      </c>
      <c r="P1021" s="11" t="s">
        <v>151</v>
      </c>
      <c r="Q1021" s="13" t="n">
        <f aca="false">F1021*H1021</f>
        <v>16802972</v>
      </c>
      <c r="R1021" s="13" t="n">
        <f aca="false">G1021*H1021</f>
        <v>16404000</v>
      </c>
      <c r="S1021" s="13" t="n">
        <f aca="false">Q1021-R1021</f>
        <v>398972</v>
      </c>
      <c r="T1021" s="14" t="n">
        <f aca="false">IFERROR(S1021/Q1021,0)</f>
        <v>0.023744132883159</v>
      </c>
      <c r="U1021" s="15" t="str">
        <f aca="false">TEXT(A1021,"yyyy-mm")</f>
        <v>2022-01</v>
      </c>
    </row>
    <row r="1022" customFormat="false" ht="15" hidden="false" customHeight="false" outlineLevel="0" collapsed="false">
      <c r="A1022" s="10" t="n">
        <v>44584</v>
      </c>
      <c r="B1022" s="11" t="s">
        <v>1154</v>
      </c>
      <c r="C1022" s="11" t="s">
        <v>117</v>
      </c>
      <c r="D1022" s="11" t="s">
        <v>118</v>
      </c>
      <c r="E1022" s="11" t="s">
        <v>119</v>
      </c>
      <c r="F1022" s="12" t="n">
        <v>8220549</v>
      </c>
      <c r="G1022" s="12" t="n">
        <v>6500000</v>
      </c>
      <c r="H1022" s="11" t="n">
        <v>25</v>
      </c>
      <c r="I1022" s="11" t="s">
        <v>69</v>
      </c>
      <c r="J1022" s="11" t="s">
        <v>80</v>
      </c>
      <c r="K1022" s="11" t="s">
        <v>81</v>
      </c>
      <c r="L1022" s="11" t="s">
        <v>82</v>
      </c>
      <c r="M1022" s="11" t="s">
        <v>73</v>
      </c>
      <c r="N1022" s="11" t="s">
        <v>74</v>
      </c>
      <c r="O1022" s="11" t="s">
        <v>75</v>
      </c>
      <c r="P1022" s="11" t="s">
        <v>76</v>
      </c>
      <c r="Q1022" s="13" t="n">
        <f aca="false">F1022*H1022</f>
        <v>205513725</v>
      </c>
      <c r="R1022" s="13" t="n">
        <f aca="false">G1022*H1022</f>
        <v>162500000</v>
      </c>
      <c r="S1022" s="13" t="n">
        <f aca="false">Q1022-R1022</f>
        <v>43013725</v>
      </c>
      <c r="T1022" s="14" t="n">
        <f aca="false">IFERROR(S1022/Q1022,0)</f>
        <v>0.209298551714733</v>
      </c>
      <c r="U1022" s="15" t="str">
        <f aca="false">TEXT(A1022,"yyyy-mm")</f>
        <v>2022-01</v>
      </c>
    </row>
    <row r="1023" customFormat="false" ht="15" hidden="false" customHeight="false" outlineLevel="0" collapsed="false">
      <c r="A1023" s="10" t="n">
        <v>44584</v>
      </c>
      <c r="B1023" s="11" t="s">
        <v>1155</v>
      </c>
      <c r="C1023" s="11" t="s">
        <v>121</v>
      </c>
      <c r="D1023" s="11" t="s">
        <v>118</v>
      </c>
      <c r="E1023" s="11" t="s">
        <v>122</v>
      </c>
      <c r="F1023" s="12" t="n">
        <v>7687274</v>
      </c>
      <c r="G1023" s="12" t="n">
        <v>6500000</v>
      </c>
      <c r="H1023" s="11" t="n">
        <v>13</v>
      </c>
      <c r="I1023" s="11" t="s">
        <v>86</v>
      </c>
      <c r="J1023" s="11" t="s">
        <v>87</v>
      </c>
      <c r="K1023" s="11" t="s">
        <v>88</v>
      </c>
      <c r="L1023" s="11" t="s">
        <v>89</v>
      </c>
      <c r="M1023" s="11" t="s">
        <v>90</v>
      </c>
      <c r="N1023" s="11" t="s">
        <v>93</v>
      </c>
      <c r="O1023" s="11" t="s">
        <v>94</v>
      </c>
      <c r="P1023" s="11" t="s">
        <v>95</v>
      </c>
      <c r="Q1023" s="13" t="n">
        <f aca="false">F1023*H1023</f>
        <v>99934562</v>
      </c>
      <c r="R1023" s="13" t="n">
        <f aca="false">G1023*H1023</f>
        <v>84500000</v>
      </c>
      <c r="S1023" s="13" t="n">
        <f aca="false">Q1023-R1023</f>
        <v>15434562</v>
      </c>
      <c r="T1023" s="14" t="n">
        <f aca="false">IFERROR(S1023/Q1023,0)</f>
        <v>0.154446686822923</v>
      </c>
      <c r="U1023" s="15" t="str">
        <f aca="false">TEXT(A1023,"yyyy-mm")</f>
        <v>2022-01</v>
      </c>
    </row>
    <row r="1024" customFormat="false" ht="15" hidden="false" customHeight="false" outlineLevel="0" collapsed="false">
      <c r="A1024" s="10" t="n">
        <v>44584</v>
      </c>
      <c r="B1024" s="11" t="s">
        <v>1156</v>
      </c>
      <c r="C1024" s="11" t="s">
        <v>125</v>
      </c>
      <c r="D1024" s="11" t="s">
        <v>118</v>
      </c>
      <c r="E1024" s="11" t="s">
        <v>126</v>
      </c>
      <c r="F1024" s="12" t="n">
        <v>5684211</v>
      </c>
      <c r="G1024" s="12" t="n">
        <v>4300000</v>
      </c>
      <c r="H1024" s="11" t="n">
        <v>1</v>
      </c>
      <c r="I1024" s="11" t="s">
        <v>69</v>
      </c>
      <c r="J1024" s="11" t="s">
        <v>80</v>
      </c>
      <c r="K1024" s="11" t="s">
        <v>81</v>
      </c>
      <c r="L1024" s="11" t="s">
        <v>82</v>
      </c>
      <c r="M1024" s="11" t="s">
        <v>73</v>
      </c>
      <c r="N1024" s="11" t="s">
        <v>133</v>
      </c>
      <c r="O1024" s="11" t="s">
        <v>60</v>
      </c>
      <c r="P1024" s="11" t="s">
        <v>76</v>
      </c>
      <c r="Q1024" s="13" t="n">
        <f aca="false">F1024*H1024</f>
        <v>5684211</v>
      </c>
      <c r="R1024" s="13" t="n">
        <f aca="false">G1024*H1024</f>
        <v>4300000</v>
      </c>
      <c r="S1024" s="13" t="n">
        <f aca="false">Q1024-R1024</f>
        <v>1384211</v>
      </c>
      <c r="T1024" s="14" t="n">
        <f aca="false">IFERROR(S1024/Q1024,0)</f>
        <v>0.243518581558637</v>
      </c>
      <c r="U1024" s="15" t="str">
        <f aca="false">TEXT(A1024,"yyyy-mm")</f>
        <v>2022-01</v>
      </c>
    </row>
    <row r="1025" customFormat="false" ht="15" hidden="false" customHeight="false" outlineLevel="0" collapsed="false">
      <c r="A1025" s="10" t="n">
        <v>44586</v>
      </c>
      <c r="B1025" s="11" t="s">
        <v>1157</v>
      </c>
      <c r="C1025" s="11" t="s">
        <v>128</v>
      </c>
      <c r="D1025" s="11" t="s">
        <v>118</v>
      </c>
      <c r="E1025" s="11" t="s">
        <v>119</v>
      </c>
      <c r="F1025" s="12" t="n">
        <v>3370302</v>
      </c>
      <c r="G1025" s="12" t="n">
        <v>2100000</v>
      </c>
      <c r="H1025" s="11" t="n">
        <v>15</v>
      </c>
      <c r="I1025" s="11" t="s">
        <v>86</v>
      </c>
      <c r="J1025" s="11" t="s">
        <v>87</v>
      </c>
      <c r="K1025" s="11" t="s">
        <v>88</v>
      </c>
      <c r="L1025" s="11" t="s">
        <v>89</v>
      </c>
      <c r="M1025" s="11" t="s">
        <v>90</v>
      </c>
      <c r="N1025" s="11" t="s">
        <v>104</v>
      </c>
      <c r="O1025" s="11" t="s">
        <v>105</v>
      </c>
      <c r="P1025" s="11" t="s">
        <v>106</v>
      </c>
      <c r="Q1025" s="13" t="n">
        <f aca="false">F1025*H1025</f>
        <v>50554530</v>
      </c>
      <c r="R1025" s="13" t="n">
        <f aca="false">G1025*H1025</f>
        <v>31500000</v>
      </c>
      <c r="S1025" s="13" t="n">
        <f aca="false">Q1025-R1025</f>
        <v>19054530</v>
      </c>
      <c r="T1025" s="14" t="n">
        <f aca="false">IFERROR(S1025/Q1025,0)</f>
        <v>0.37691043710623</v>
      </c>
      <c r="U1025" s="15" t="str">
        <f aca="false">TEXT(A1025,"yyyy-mm")</f>
        <v>2022-01</v>
      </c>
    </row>
    <row r="1026" customFormat="false" ht="15" hidden="false" customHeight="false" outlineLevel="0" collapsed="false">
      <c r="A1026" s="10" t="n">
        <v>44586</v>
      </c>
      <c r="B1026" s="11" t="s">
        <v>1158</v>
      </c>
      <c r="C1026" s="11" t="s">
        <v>130</v>
      </c>
      <c r="D1026" s="11" t="s">
        <v>118</v>
      </c>
      <c r="E1026" s="11" t="s">
        <v>68</v>
      </c>
      <c r="F1026" s="12" t="n">
        <v>2852897</v>
      </c>
      <c r="G1026" s="12" t="n">
        <v>2450000</v>
      </c>
      <c r="H1026" s="11" t="n">
        <v>12</v>
      </c>
      <c r="I1026" s="11" t="s">
        <v>69</v>
      </c>
      <c r="J1026" s="11" t="s">
        <v>70</v>
      </c>
      <c r="K1026" s="11" t="s">
        <v>71</v>
      </c>
      <c r="L1026" s="11" t="s">
        <v>72</v>
      </c>
      <c r="M1026" s="11" t="s">
        <v>73</v>
      </c>
      <c r="N1026" s="11" t="s">
        <v>149</v>
      </c>
      <c r="O1026" s="11" t="s">
        <v>150</v>
      </c>
      <c r="P1026" s="11" t="s">
        <v>151</v>
      </c>
      <c r="Q1026" s="13" t="n">
        <f aca="false">F1026*H1026</f>
        <v>34234764</v>
      </c>
      <c r="R1026" s="13" t="n">
        <f aca="false">G1026*H1026</f>
        <v>29400000</v>
      </c>
      <c r="S1026" s="13" t="n">
        <f aca="false">Q1026-R1026</f>
        <v>4834764</v>
      </c>
      <c r="T1026" s="14" t="n">
        <f aca="false">IFERROR(S1026/Q1026,0)</f>
        <v>0.141223815651249</v>
      </c>
      <c r="U1026" s="15" t="str">
        <f aca="false">TEXT(A1026,"yyyy-mm")</f>
        <v>2022-01</v>
      </c>
    </row>
    <row r="1027" customFormat="false" ht="15" hidden="false" customHeight="false" outlineLevel="0" collapsed="false">
      <c r="A1027" s="10" t="n">
        <v>44586</v>
      </c>
      <c r="B1027" s="11" t="s">
        <v>1159</v>
      </c>
      <c r="C1027" s="11" t="s">
        <v>132</v>
      </c>
      <c r="D1027" s="11" t="s">
        <v>118</v>
      </c>
      <c r="E1027" s="11" t="s">
        <v>68</v>
      </c>
      <c r="F1027" s="12" t="n">
        <v>4803603</v>
      </c>
      <c r="G1027" s="12" t="n">
        <v>4121000</v>
      </c>
      <c r="H1027" s="11" t="n">
        <v>22</v>
      </c>
      <c r="I1027" s="11" t="s">
        <v>69</v>
      </c>
      <c r="J1027" s="11" t="s">
        <v>80</v>
      </c>
      <c r="K1027" s="11" t="s">
        <v>81</v>
      </c>
      <c r="L1027" s="11" t="s">
        <v>82</v>
      </c>
      <c r="M1027" s="11" t="s">
        <v>73</v>
      </c>
      <c r="N1027" s="11" t="s">
        <v>74</v>
      </c>
      <c r="O1027" s="11" t="s">
        <v>75</v>
      </c>
      <c r="P1027" s="11" t="s">
        <v>76</v>
      </c>
      <c r="Q1027" s="13" t="n">
        <f aca="false">F1027*H1027</f>
        <v>105679266</v>
      </c>
      <c r="R1027" s="13" t="n">
        <f aca="false">G1027*H1027</f>
        <v>90662000</v>
      </c>
      <c r="S1027" s="13" t="n">
        <f aca="false">Q1027-R1027</f>
        <v>15017266</v>
      </c>
      <c r="T1027" s="14" t="n">
        <f aca="false">IFERROR(S1027/Q1027,0)</f>
        <v>0.142102292799801</v>
      </c>
      <c r="U1027" s="15" t="str">
        <f aca="false">TEXT(A1027,"yyyy-mm")</f>
        <v>2022-01</v>
      </c>
    </row>
    <row r="1028" customFormat="false" ht="15" hidden="false" customHeight="false" outlineLevel="0" collapsed="false">
      <c r="A1028" s="10" t="n">
        <v>44587</v>
      </c>
      <c r="B1028" s="11" t="s">
        <v>1160</v>
      </c>
      <c r="C1028" s="11" t="s">
        <v>135</v>
      </c>
      <c r="D1028" s="11" t="s">
        <v>118</v>
      </c>
      <c r="E1028" s="11" t="s">
        <v>68</v>
      </c>
      <c r="F1028" s="12" t="n">
        <v>5689947</v>
      </c>
      <c r="G1028" s="12" t="n">
        <v>5235000</v>
      </c>
      <c r="H1028" s="11" t="n">
        <v>6</v>
      </c>
      <c r="I1028" s="11" t="s">
        <v>69</v>
      </c>
      <c r="J1028" s="11" t="s">
        <v>80</v>
      </c>
      <c r="K1028" s="11" t="s">
        <v>81</v>
      </c>
      <c r="L1028" s="11" t="s">
        <v>82</v>
      </c>
      <c r="M1028" s="11" t="s">
        <v>73</v>
      </c>
      <c r="N1028" s="11" t="s">
        <v>104</v>
      </c>
      <c r="O1028" s="11" t="s">
        <v>105</v>
      </c>
      <c r="P1028" s="11" t="s">
        <v>106</v>
      </c>
      <c r="Q1028" s="13" t="n">
        <f aca="false">F1028*H1028</f>
        <v>34139682</v>
      </c>
      <c r="R1028" s="13" t="n">
        <f aca="false">G1028*H1028</f>
        <v>31410000</v>
      </c>
      <c r="S1028" s="13" t="n">
        <f aca="false">Q1028-R1028</f>
        <v>2729682</v>
      </c>
      <c r="T1028" s="14" t="n">
        <f aca="false">IFERROR(S1028/Q1028,0)</f>
        <v>0.0799562807878527</v>
      </c>
      <c r="U1028" s="15" t="str">
        <f aca="false">TEXT(A1028,"yyyy-mm")</f>
        <v>2022-01</v>
      </c>
    </row>
    <row r="1029" customFormat="false" ht="15" hidden="false" customHeight="false" outlineLevel="0" collapsed="false">
      <c r="A1029" s="10" t="n">
        <v>44588</v>
      </c>
      <c r="B1029" s="11" t="s">
        <v>1161</v>
      </c>
      <c r="C1029" s="11" t="s">
        <v>137</v>
      </c>
      <c r="D1029" s="11" t="s">
        <v>138</v>
      </c>
      <c r="E1029" s="11" t="s">
        <v>139</v>
      </c>
      <c r="F1029" s="12" t="n">
        <v>5171827</v>
      </c>
      <c r="G1029" s="12" t="n">
        <v>4890000</v>
      </c>
      <c r="H1029" s="11" t="n">
        <v>6</v>
      </c>
      <c r="I1029" s="11" t="s">
        <v>69</v>
      </c>
      <c r="J1029" s="11" t="s">
        <v>80</v>
      </c>
      <c r="K1029" s="11" t="s">
        <v>81</v>
      </c>
      <c r="L1029" s="11" t="s">
        <v>82</v>
      </c>
      <c r="M1029" s="11" t="s">
        <v>73</v>
      </c>
      <c r="N1029" s="11" t="s">
        <v>109</v>
      </c>
      <c r="O1029" s="11" t="s">
        <v>75</v>
      </c>
      <c r="P1029" s="11" t="s">
        <v>95</v>
      </c>
      <c r="Q1029" s="13" t="n">
        <f aca="false">F1029*H1029</f>
        <v>31030962</v>
      </c>
      <c r="R1029" s="13" t="n">
        <f aca="false">G1029*H1029</f>
        <v>29340000</v>
      </c>
      <c r="S1029" s="13" t="n">
        <f aca="false">Q1029-R1029</f>
        <v>1690962</v>
      </c>
      <c r="T1029" s="14" t="n">
        <f aca="false">IFERROR(S1029/Q1029,0)</f>
        <v>0.0544927353525166</v>
      </c>
      <c r="U1029" s="15" t="str">
        <f aca="false">TEXT(A1029,"yyyy-mm")</f>
        <v>2022-01</v>
      </c>
    </row>
    <row r="1030" customFormat="false" ht="15" hidden="false" customHeight="false" outlineLevel="0" collapsed="false">
      <c r="A1030" s="10" t="n">
        <v>44588</v>
      </c>
      <c r="B1030" s="11" t="s">
        <v>1162</v>
      </c>
      <c r="C1030" s="11" t="s">
        <v>141</v>
      </c>
      <c r="D1030" s="11" t="s">
        <v>138</v>
      </c>
      <c r="E1030" s="11" t="s">
        <v>142</v>
      </c>
      <c r="F1030" s="12" t="n">
        <v>2805124</v>
      </c>
      <c r="G1030" s="12" t="n">
        <v>2178000</v>
      </c>
      <c r="H1030" s="11" t="n">
        <v>30</v>
      </c>
      <c r="I1030" s="11" t="s">
        <v>69</v>
      </c>
      <c r="J1030" s="11" t="s">
        <v>112</v>
      </c>
      <c r="K1030" s="11" t="s">
        <v>113</v>
      </c>
      <c r="L1030" s="11" t="s">
        <v>82</v>
      </c>
      <c r="M1030" s="11" t="s">
        <v>157</v>
      </c>
      <c r="N1030" s="11" t="s">
        <v>133</v>
      </c>
      <c r="O1030" s="11" t="s">
        <v>60</v>
      </c>
      <c r="P1030" s="11" t="s">
        <v>76</v>
      </c>
      <c r="Q1030" s="13" t="n">
        <f aca="false">F1030*H1030</f>
        <v>84153720</v>
      </c>
      <c r="R1030" s="13" t="n">
        <f aca="false">G1030*H1030</f>
        <v>65340000</v>
      </c>
      <c r="S1030" s="13" t="n">
        <f aca="false">Q1030-R1030</f>
        <v>18813720</v>
      </c>
      <c r="T1030" s="14" t="n">
        <f aca="false">IFERROR(S1030/Q1030,0)</f>
        <v>0.22356373550688</v>
      </c>
      <c r="U1030" s="15" t="str">
        <f aca="false">TEXT(A1030,"yyyy-mm")</f>
        <v>2022-01</v>
      </c>
    </row>
    <row r="1031" customFormat="false" ht="15" hidden="false" customHeight="false" outlineLevel="0" collapsed="false">
      <c r="A1031" s="10" t="n">
        <v>44589</v>
      </c>
      <c r="B1031" s="11" t="s">
        <v>1163</v>
      </c>
      <c r="C1031" s="11" t="s">
        <v>146</v>
      </c>
      <c r="D1031" s="11" t="s">
        <v>138</v>
      </c>
      <c r="E1031" s="11" t="s">
        <v>139</v>
      </c>
      <c r="F1031" s="12" t="n">
        <v>2728100</v>
      </c>
      <c r="G1031" s="12" t="n">
        <v>2321000</v>
      </c>
      <c r="H1031" s="11" t="n">
        <v>5</v>
      </c>
      <c r="I1031" s="11" t="s">
        <v>69</v>
      </c>
      <c r="J1031" s="11" t="s">
        <v>112</v>
      </c>
      <c r="K1031" s="11" t="s">
        <v>113</v>
      </c>
      <c r="L1031" s="11" t="s">
        <v>82</v>
      </c>
      <c r="M1031" s="11" t="s">
        <v>157</v>
      </c>
      <c r="N1031" s="11" t="s">
        <v>93</v>
      </c>
      <c r="O1031" s="11" t="s">
        <v>94</v>
      </c>
      <c r="P1031" s="11" t="s">
        <v>95</v>
      </c>
      <c r="Q1031" s="13" t="n">
        <f aca="false">F1031*H1031</f>
        <v>13640500</v>
      </c>
      <c r="R1031" s="13" t="n">
        <f aca="false">G1031*H1031</f>
        <v>11605000</v>
      </c>
      <c r="S1031" s="13" t="n">
        <f aca="false">Q1031-R1031</f>
        <v>2035500</v>
      </c>
      <c r="T1031" s="14" t="n">
        <f aca="false">IFERROR(S1031/Q1031,0)</f>
        <v>0.149224735163667</v>
      </c>
      <c r="U1031" s="15" t="str">
        <f aca="false">TEXT(A1031,"yyyy-mm")</f>
        <v>2022-01</v>
      </c>
    </row>
    <row r="1032" customFormat="false" ht="15" hidden="false" customHeight="false" outlineLevel="0" collapsed="false">
      <c r="A1032" s="10" t="n">
        <v>44589</v>
      </c>
      <c r="B1032" s="11" t="s">
        <v>1164</v>
      </c>
      <c r="C1032" s="11" t="s">
        <v>148</v>
      </c>
      <c r="D1032" s="11" t="s">
        <v>138</v>
      </c>
      <c r="E1032" s="11" t="s">
        <v>122</v>
      </c>
      <c r="F1032" s="12" t="n">
        <v>4941716</v>
      </c>
      <c r="G1032" s="12" t="n">
        <v>4456000</v>
      </c>
      <c r="H1032" s="11" t="n">
        <v>15</v>
      </c>
      <c r="I1032" s="11" t="s">
        <v>69</v>
      </c>
      <c r="J1032" s="11" t="s">
        <v>80</v>
      </c>
      <c r="K1032" s="11" t="s">
        <v>81</v>
      </c>
      <c r="L1032" s="11" t="s">
        <v>82</v>
      </c>
      <c r="M1032" s="11" t="s">
        <v>73</v>
      </c>
      <c r="N1032" s="11" t="s">
        <v>93</v>
      </c>
      <c r="O1032" s="11" t="s">
        <v>94</v>
      </c>
      <c r="P1032" s="11" t="s">
        <v>95</v>
      </c>
      <c r="Q1032" s="13" t="n">
        <f aca="false">F1032*H1032</f>
        <v>74125740</v>
      </c>
      <c r="R1032" s="13" t="n">
        <f aca="false">G1032*H1032</f>
        <v>66840000</v>
      </c>
      <c r="S1032" s="13" t="n">
        <f aca="false">Q1032-R1032</f>
        <v>7285740</v>
      </c>
      <c r="T1032" s="14" t="n">
        <f aca="false">IFERROR(S1032/Q1032,0)</f>
        <v>0.0982889344511097</v>
      </c>
      <c r="U1032" s="15" t="str">
        <f aca="false">TEXT(A1032,"yyyy-mm")</f>
        <v>2022-01</v>
      </c>
    </row>
    <row r="1033" customFormat="false" ht="15" hidden="false" customHeight="false" outlineLevel="0" collapsed="false">
      <c r="A1033" s="10" t="n">
        <v>44589</v>
      </c>
      <c r="B1033" s="11" t="s">
        <v>1165</v>
      </c>
      <c r="C1033" s="11" t="s">
        <v>66</v>
      </c>
      <c r="D1033" s="11" t="s">
        <v>67</v>
      </c>
      <c r="E1033" s="11" t="s">
        <v>68</v>
      </c>
      <c r="F1033" s="12" t="n">
        <v>3048952</v>
      </c>
      <c r="G1033" s="12" t="n">
        <v>2560000</v>
      </c>
      <c r="H1033" s="11" t="n">
        <v>19</v>
      </c>
      <c r="I1033" s="11" t="s">
        <v>69</v>
      </c>
      <c r="J1033" s="11" t="s">
        <v>70</v>
      </c>
      <c r="K1033" s="11" t="s">
        <v>71</v>
      </c>
      <c r="L1033" s="11" t="s">
        <v>72</v>
      </c>
      <c r="M1033" s="11" t="s">
        <v>73</v>
      </c>
      <c r="N1033" s="11" t="s">
        <v>123</v>
      </c>
      <c r="O1033" s="11" t="s">
        <v>60</v>
      </c>
      <c r="P1033" s="11" t="s">
        <v>106</v>
      </c>
      <c r="Q1033" s="13" t="n">
        <f aca="false">F1033*H1033</f>
        <v>57930088</v>
      </c>
      <c r="R1033" s="13" t="n">
        <f aca="false">G1033*H1033</f>
        <v>48640000</v>
      </c>
      <c r="S1033" s="13" t="n">
        <f aca="false">Q1033-R1033</f>
        <v>9290088</v>
      </c>
      <c r="T1033" s="14" t="n">
        <f aca="false">IFERROR(S1033/Q1033,0)</f>
        <v>0.160367234380863</v>
      </c>
      <c r="U1033" s="15" t="str">
        <f aca="false">TEXT(A1033,"yyyy-mm")</f>
        <v>2022-01</v>
      </c>
    </row>
    <row r="1034" customFormat="false" ht="15" hidden="false" customHeight="false" outlineLevel="0" collapsed="false">
      <c r="A1034" s="10" t="n">
        <v>44590</v>
      </c>
      <c r="B1034" s="11" t="s">
        <v>1166</v>
      </c>
      <c r="C1034" s="11" t="s">
        <v>78</v>
      </c>
      <c r="D1034" s="11" t="s">
        <v>67</v>
      </c>
      <c r="E1034" s="11" t="s">
        <v>79</v>
      </c>
      <c r="F1034" s="12" t="n">
        <v>1870000</v>
      </c>
      <c r="G1034" s="12" t="n">
        <v>1650000</v>
      </c>
      <c r="H1034" s="11" t="n">
        <v>15</v>
      </c>
      <c r="I1034" s="11" t="s">
        <v>69</v>
      </c>
      <c r="J1034" s="11" t="s">
        <v>80</v>
      </c>
      <c r="K1034" s="11" t="s">
        <v>81</v>
      </c>
      <c r="L1034" s="11" t="s">
        <v>82</v>
      </c>
      <c r="M1034" s="11" t="s">
        <v>73</v>
      </c>
      <c r="N1034" s="11" t="s">
        <v>104</v>
      </c>
      <c r="O1034" s="11" t="s">
        <v>105</v>
      </c>
      <c r="P1034" s="11" t="s">
        <v>106</v>
      </c>
      <c r="Q1034" s="13" t="n">
        <f aca="false">F1034*H1034</f>
        <v>28050000</v>
      </c>
      <c r="R1034" s="13" t="n">
        <f aca="false">G1034*H1034</f>
        <v>24750000</v>
      </c>
      <c r="S1034" s="13" t="n">
        <f aca="false">Q1034-R1034</f>
        <v>3300000</v>
      </c>
      <c r="T1034" s="14" t="n">
        <f aca="false">IFERROR(S1034/Q1034,0)</f>
        <v>0.117647058823529</v>
      </c>
      <c r="U1034" s="15" t="str">
        <f aca="false">TEXT(A1034,"yyyy-mm")</f>
        <v>2022-01</v>
      </c>
    </row>
    <row r="1035" customFormat="false" ht="15" hidden="false" customHeight="false" outlineLevel="0" collapsed="false">
      <c r="A1035" s="10" t="n">
        <v>44590</v>
      </c>
      <c r="B1035" s="11" t="s">
        <v>1167</v>
      </c>
      <c r="C1035" s="11" t="s">
        <v>84</v>
      </c>
      <c r="D1035" s="11" t="s">
        <v>67</v>
      </c>
      <c r="E1035" s="11" t="s">
        <v>85</v>
      </c>
      <c r="F1035" s="12" t="n">
        <v>2600000</v>
      </c>
      <c r="G1035" s="12" t="n">
        <v>2300000</v>
      </c>
      <c r="H1035" s="11" t="n">
        <v>13</v>
      </c>
      <c r="I1035" s="11" t="s">
        <v>69</v>
      </c>
      <c r="J1035" s="11" t="s">
        <v>80</v>
      </c>
      <c r="K1035" s="11" t="s">
        <v>81</v>
      </c>
      <c r="L1035" s="11" t="s">
        <v>82</v>
      </c>
      <c r="M1035" s="11" t="s">
        <v>73</v>
      </c>
      <c r="N1035" s="11" t="s">
        <v>149</v>
      </c>
      <c r="O1035" s="11" t="s">
        <v>150</v>
      </c>
      <c r="P1035" s="11" t="s">
        <v>151</v>
      </c>
      <c r="Q1035" s="13" t="n">
        <f aca="false">F1035*H1035</f>
        <v>33800000</v>
      </c>
      <c r="R1035" s="13" t="n">
        <f aca="false">G1035*H1035</f>
        <v>29900000</v>
      </c>
      <c r="S1035" s="13" t="n">
        <f aca="false">Q1035-R1035</f>
        <v>3900000</v>
      </c>
      <c r="T1035" s="14" t="n">
        <f aca="false">IFERROR(S1035/Q1035,0)</f>
        <v>0.115384615384615</v>
      </c>
      <c r="U1035" s="15" t="str">
        <f aca="false">TEXT(A1035,"yyyy-mm")</f>
        <v>2022-01</v>
      </c>
    </row>
    <row r="1036" customFormat="false" ht="15" hidden="false" customHeight="false" outlineLevel="0" collapsed="false">
      <c r="A1036" s="10" t="n">
        <v>44590</v>
      </c>
      <c r="B1036" s="11" t="s">
        <v>1168</v>
      </c>
      <c r="C1036" s="11" t="s">
        <v>92</v>
      </c>
      <c r="D1036" s="11" t="s">
        <v>67</v>
      </c>
      <c r="E1036" s="11" t="s">
        <v>79</v>
      </c>
      <c r="F1036" s="12" t="n">
        <v>3577480</v>
      </c>
      <c r="G1036" s="12" t="n">
        <v>3100000</v>
      </c>
      <c r="H1036" s="11" t="n">
        <v>25</v>
      </c>
      <c r="I1036" s="11" t="s">
        <v>69</v>
      </c>
      <c r="J1036" s="11" t="s">
        <v>80</v>
      </c>
      <c r="K1036" s="11" t="s">
        <v>81</v>
      </c>
      <c r="L1036" s="11" t="s">
        <v>82</v>
      </c>
      <c r="M1036" s="11" t="s">
        <v>73</v>
      </c>
      <c r="N1036" s="11" t="s">
        <v>143</v>
      </c>
      <c r="O1036" s="11" t="s">
        <v>144</v>
      </c>
      <c r="P1036" s="11" t="s">
        <v>101</v>
      </c>
      <c r="Q1036" s="13" t="n">
        <f aca="false">F1036*H1036</f>
        <v>89437000</v>
      </c>
      <c r="R1036" s="13" t="n">
        <f aca="false">G1036*H1036</f>
        <v>77500000</v>
      </c>
      <c r="S1036" s="13" t="n">
        <f aca="false">Q1036-R1036</f>
        <v>11937000</v>
      </c>
      <c r="T1036" s="14" t="n">
        <f aca="false">IFERROR(S1036/Q1036,0)</f>
        <v>0.133468251394837</v>
      </c>
      <c r="U1036" s="15" t="str">
        <f aca="false">TEXT(A1036,"yyyy-mm")</f>
        <v>2022-01</v>
      </c>
    </row>
    <row r="1037" customFormat="false" ht="15" hidden="false" customHeight="false" outlineLevel="0" collapsed="false">
      <c r="A1037" s="10" t="n">
        <v>44591</v>
      </c>
      <c r="B1037" s="11" t="s">
        <v>1169</v>
      </c>
      <c r="C1037" s="11" t="s">
        <v>97</v>
      </c>
      <c r="D1037" s="11" t="s">
        <v>67</v>
      </c>
      <c r="E1037" s="11" t="s">
        <v>98</v>
      </c>
      <c r="F1037" s="12" t="n">
        <v>4969724</v>
      </c>
      <c r="G1037" s="12" t="n">
        <v>4121560</v>
      </c>
      <c r="H1037" s="11" t="n">
        <v>16</v>
      </c>
      <c r="I1037" s="11" t="s">
        <v>69</v>
      </c>
      <c r="J1037" s="11" t="s">
        <v>80</v>
      </c>
      <c r="K1037" s="11" t="s">
        <v>81</v>
      </c>
      <c r="L1037" s="11" t="s">
        <v>82</v>
      </c>
      <c r="M1037" s="11" t="s">
        <v>73</v>
      </c>
      <c r="N1037" s="11" t="s">
        <v>74</v>
      </c>
      <c r="O1037" s="11" t="s">
        <v>75</v>
      </c>
      <c r="P1037" s="11" t="s">
        <v>76</v>
      </c>
      <c r="Q1037" s="13" t="n">
        <f aca="false">F1037*H1037</f>
        <v>79515584</v>
      </c>
      <c r="R1037" s="13" t="n">
        <f aca="false">G1037*H1037</f>
        <v>65944960</v>
      </c>
      <c r="S1037" s="13" t="n">
        <f aca="false">Q1037-R1037</f>
        <v>13570624</v>
      </c>
      <c r="T1037" s="14" t="n">
        <f aca="false">IFERROR(S1037/Q1037,0)</f>
        <v>0.170666218083741</v>
      </c>
      <c r="U1037" s="15" t="str">
        <f aca="false">TEXT(A1037,"yyyy-mm")</f>
        <v>2022-01</v>
      </c>
    </row>
    <row r="1038" customFormat="false" ht="15" hidden="false" customHeight="false" outlineLevel="0" collapsed="false">
      <c r="A1038" s="10" t="n">
        <v>44591</v>
      </c>
      <c r="B1038" s="11" t="s">
        <v>1170</v>
      </c>
      <c r="C1038" s="11" t="s">
        <v>103</v>
      </c>
      <c r="D1038" s="11" t="s">
        <v>67</v>
      </c>
      <c r="E1038" s="11" t="s">
        <v>68</v>
      </c>
      <c r="F1038" s="12" t="n">
        <v>3319925</v>
      </c>
      <c r="G1038" s="12" t="n">
        <v>2800000</v>
      </c>
      <c r="H1038" s="11" t="n">
        <v>9</v>
      </c>
      <c r="I1038" s="11" t="s">
        <v>69</v>
      </c>
      <c r="J1038" s="11" t="s">
        <v>70</v>
      </c>
      <c r="K1038" s="11" t="s">
        <v>71</v>
      </c>
      <c r="L1038" s="11" t="s">
        <v>72</v>
      </c>
      <c r="M1038" s="11" t="s">
        <v>73</v>
      </c>
      <c r="N1038" s="11" t="s">
        <v>123</v>
      </c>
      <c r="O1038" s="11" t="s">
        <v>60</v>
      </c>
      <c r="P1038" s="11" t="s">
        <v>106</v>
      </c>
      <c r="Q1038" s="13" t="n">
        <f aca="false">F1038*H1038</f>
        <v>29879325</v>
      </c>
      <c r="R1038" s="13" t="n">
        <f aca="false">G1038*H1038</f>
        <v>25200000</v>
      </c>
      <c r="S1038" s="13" t="n">
        <f aca="false">Q1038-R1038</f>
        <v>4679325</v>
      </c>
      <c r="T1038" s="14" t="n">
        <f aca="false">IFERROR(S1038/Q1038,0)</f>
        <v>0.15660745348163</v>
      </c>
      <c r="U1038" s="15" t="str">
        <f aca="false">TEXT(A1038,"yyyy-mm")</f>
        <v>2022-01</v>
      </c>
    </row>
    <row r="1039" customFormat="false" ht="15" hidden="false" customHeight="false" outlineLevel="0" collapsed="false">
      <c r="A1039" s="10" t="n">
        <v>44591</v>
      </c>
      <c r="B1039" s="11" t="s">
        <v>1171</v>
      </c>
      <c r="C1039" s="11" t="s">
        <v>108</v>
      </c>
      <c r="D1039" s="11" t="s">
        <v>67</v>
      </c>
      <c r="E1039" s="11" t="s">
        <v>68</v>
      </c>
      <c r="F1039" s="12" t="n">
        <v>4757880</v>
      </c>
      <c r="G1039" s="12" t="n">
        <v>3450000</v>
      </c>
      <c r="H1039" s="11" t="n">
        <v>15</v>
      </c>
      <c r="I1039" s="11" t="s">
        <v>69</v>
      </c>
      <c r="J1039" s="11" t="s">
        <v>70</v>
      </c>
      <c r="K1039" s="11" t="s">
        <v>71</v>
      </c>
      <c r="L1039" s="11" t="s">
        <v>72</v>
      </c>
      <c r="M1039" s="11" t="s">
        <v>73</v>
      </c>
      <c r="N1039" s="11" t="s">
        <v>133</v>
      </c>
      <c r="O1039" s="11" t="s">
        <v>60</v>
      </c>
      <c r="P1039" s="11" t="s">
        <v>76</v>
      </c>
      <c r="Q1039" s="13" t="n">
        <f aca="false">F1039*H1039</f>
        <v>71368200</v>
      </c>
      <c r="R1039" s="13" t="n">
        <f aca="false">G1039*H1039</f>
        <v>51750000</v>
      </c>
      <c r="S1039" s="13" t="n">
        <f aca="false">Q1039-R1039</f>
        <v>19618200</v>
      </c>
      <c r="T1039" s="14" t="n">
        <f aca="false">IFERROR(S1039/Q1039,0)</f>
        <v>0.274887134606169</v>
      </c>
      <c r="U1039" s="15" t="str">
        <f aca="false">TEXT(A1039,"yyyy-mm")</f>
        <v>2022-01</v>
      </c>
    </row>
    <row r="1040" customFormat="false" ht="15" hidden="false" customHeight="false" outlineLevel="0" collapsed="false">
      <c r="A1040" s="10" t="n">
        <v>44591</v>
      </c>
      <c r="B1040" s="11" t="s">
        <v>1172</v>
      </c>
      <c r="C1040" s="11" t="s">
        <v>111</v>
      </c>
      <c r="D1040" s="11" t="s">
        <v>67</v>
      </c>
      <c r="E1040" s="11" t="s">
        <v>79</v>
      </c>
      <c r="F1040" s="12" t="n">
        <v>3545808</v>
      </c>
      <c r="G1040" s="12" t="n">
        <v>3350000</v>
      </c>
      <c r="H1040" s="11" t="n">
        <v>18</v>
      </c>
      <c r="I1040" s="11" t="s">
        <v>69</v>
      </c>
      <c r="J1040" s="11" t="s">
        <v>80</v>
      </c>
      <c r="K1040" s="11" t="s">
        <v>81</v>
      </c>
      <c r="L1040" s="11" t="s">
        <v>82</v>
      </c>
      <c r="M1040" s="11" t="s">
        <v>73</v>
      </c>
      <c r="N1040" s="11" t="s">
        <v>74</v>
      </c>
      <c r="O1040" s="11" t="s">
        <v>75</v>
      </c>
      <c r="P1040" s="11" t="s">
        <v>76</v>
      </c>
      <c r="Q1040" s="13" t="n">
        <f aca="false">F1040*H1040</f>
        <v>63824544</v>
      </c>
      <c r="R1040" s="13" t="n">
        <f aca="false">G1040*H1040</f>
        <v>60300000</v>
      </c>
      <c r="S1040" s="13" t="n">
        <f aca="false">Q1040-R1040</f>
        <v>3524544</v>
      </c>
      <c r="T1040" s="14" t="n">
        <f aca="false">IFERROR(S1040/Q1040,0)</f>
        <v>0.0552223921881839</v>
      </c>
      <c r="U1040" s="15" t="str">
        <f aca="false">TEXT(A1040,"yyyy-mm")</f>
        <v>2022-01</v>
      </c>
    </row>
    <row r="1041" customFormat="false" ht="15" hidden="false" customHeight="false" outlineLevel="0" collapsed="false">
      <c r="A1041" s="10" t="n">
        <v>44592</v>
      </c>
      <c r="B1041" s="11" t="s">
        <v>1173</v>
      </c>
      <c r="C1041" s="11" t="s">
        <v>115</v>
      </c>
      <c r="D1041" s="11" t="s">
        <v>67</v>
      </c>
      <c r="E1041" s="11" t="s">
        <v>98</v>
      </c>
      <c r="F1041" s="12" t="n">
        <v>4200743</v>
      </c>
      <c r="G1041" s="12" t="n">
        <v>4101000</v>
      </c>
      <c r="H1041" s="11" t="n">
        <v>5</v>
      </c>
      <c r="I1041" s="11" t="s">
        <v>69</v>
      </c>
      <c r="J1041" s="11" t="s">
        <v>80</v>
      </c>
      <c r="K1041" s="11" t="s">
        <v>81</v>
      </c>
      <c r="L1041" s="11" t="s">
        <v>82</v>
      </c>
      <c r="M1041" s="11" t="s">
        <v>73</v>
      </c>
      <c r="N1041" s="11" t="s">
        <v>109</v>
      </c>
      <c r="O1041" s="11" t="s">
        <v>75</v>
      </c>
      <c r="P1041" s="11" t="s">
        <v>95</v>
      </c>
      <c r="Q1041" s="13" t="n">
        <f aca="false">F1041*H1041</f>
        <v>21003715</v>
      </c>
      <c r="R1041" s="13" t="n">
        <f aca="false">G1041*H1041</f>
        <v>20505000</v>
      </c>
      <c r="S1041" s="13" t="n">
        <f aca="false">Q1041-R1041</f>
        <v>498715</v>
      </c>
      <c r="T1041" s="14" t="n">
        <f aca="false">IFERROR(S1041/Q1041,0)</f>
        <v>0.023744132883159</v>
      </c>
      <c r="U1041" s="15" t="str">
        <f aca="false">TEXT(A1041,"yyyy-mm")</f>
        <v>2022-01</v>
      </c>
    </row>
    <row r="1042" customFormat="false" ht="15" hidden="false" customHeight="false" outlineLevel="0" collapsed="false">
      <c r="A1042" s="10" t="n">
        <v>44592</v>
      </c>
      <c r="B1042" s="11" t="s">
        <v>1174</v>
      </c>
      <c r="C1042" s="11" t="s">
        <v>117</v>
      </c>
      <c r="D1042" s="11" t="s">
        <v>118</v>
      </c>
      <c r="E1042" s="11" t="s">
        <v>119</v>
      </c>
      <c r="F1042" s="12" t="n">
        <v>8220549</v>
      </c>
      <c r="G1042" s="12" t="n">
        <v>6500000</v>
      </c>
      <c r="H1042" s="11" t="n">
        <v>8</v>
      </c>
      <c r="I1042" s="11" t="s">
        <v>86</v>
      </c>
      <c r="J1042" s="11" t="s">
        <v>87</v>
      </c>
      <c r="K1042" s="11" t="s">
        <v>88</v>
      </c>
      <c r="L1042" s="11" t="s">
        <v>89</v>
      </c>
      <c r="M1042" s="11" t="s">
        <v>90</v>
      </c>
      <c r="N1042" s="11" t="s">
        <v>99</v>
      </c>
      <c r="O1042" s="11" t="s">
        <v>100</v>
      </c>
      <c r="P1042" s="11" t="s">
        <v>101</v>
      </c>
      <c r="Q1042" s="13" t="n">
        <f aca="false">F1042*H1042</f>
        <v>65764392</v>
      </c>
      <c r="R1042" s="13" t="n">
        <f aca="false">G1042*H1042</f>
        <v>52000000</v>
      </c>
      <c r="S1042" s="13" t="n">
        <f aca="false">Q1042-R1042</f>
        <v>13764392</v>
      </c>
      <c r="T1042" s="14" t="n">
        <f aca="false">IFERROR(S1042/Q1042,0)</f>
        <v>0.209298551714733</v>
      </c>
      <c r="U1042" s="15" t="str">
        <f aca="false">TEXT(A1042,"yyyy-mm")</f>
        <v>2022-01</v>
      </c>
    </row>
    <row r="1043" customFormat="false" ht="15" hidden="false" customHeight="false" outlineLevel="0" collapsed="false">
      <c r="A1043" s="10" t="n">
        <v>44593</v>
      </c>
      <c r="B1043" s="11" t="s">
        <v>1175</v>
      </c>
      <c r="C1043" s="11" t="s">
        <v>121</v>
      </c>
      <c r="D1043" s="11" t="s">
        <v>118</v>
      </c>
      <c r="E1043" s="11" t="s">
        <v>122</v>
      </c>
      <c r="F1043" s="12" t="n">
        <v>7687274</v>
      </c>
      <c r="G1043" s="12" t="n">
        <v>6500000</v>
      </c>
      <c r="H1043" s="11" t="n">
        <v>17</v>
      </c>
      <c r="I1043" s="11" t="s">
        <v>69</v>
      </c>
      <c r="J1043" s="11" t="s">
        <v>80</v>
      </c>
      <c r="K1043" s="11" t="s">
        <v>81</v>
      </c>
      <c r="L1043" s="11" t="s">
        <v>82</v>
      </c>
      <c r="M1043" s="11" t="s">
        <v>73</v>
      </c>
      <c r="N1043" s="11" t="s">
        <v>149</v>
      </c>
      <c r="O1043" s="11" t="s">
        <v>150</v>
      </c>
      <c r="P1043" s="11" t="s">
        <v>151</v>
      </c>
      <c r="Q1043" s="13" t="n">
        <f aca="false">F1043*H1043</f>
        <v>130683658</v>
      </c>
      <c r="R1043" s="13" t="n">
        <f aca="false">G1043*H1043</f>
        <v>110500000</v>
      </c>
      <c r="S1043" s="13" t="n">
        <f aca="false">Q1043-R1043</f>
        <v>20183658</v>
      </c>
      <c r="T1043" s="14" t="n">
        <f aca="false">IFERROR(S1043/Q1043,0)</f>
        <v>0.154446686822923</v>
      </c>
      <c r="U1043" s="15" t="str">
        <f aca="false">TEXT(A1043,"yyyy-mm")</f>
        <v>2022-02</v>
      </c>
    </row>
    <row r="1044" customFormat="false" ht="15" hidden="false" customHeight="false" outlineLevel="0" collapsed="false">
      <c r="A1044" s="10" t="n">
        <v>44594</v>
      </c>
      <c r="B1044" s="11" t="s">
        <v>1176</v>
      </c>
      <c r="C1044" s="11" t="s">
        <v>125</v>
      </c>
      <c r="D1044" s="11" t="s">
        <v>118</v>
      </c>
      <c r="E1044" s="11" t="s">
        <v>126</v>
      </c>
      <c r="F1044" s="12" t="n">
        <v>5684211</v>
      </c>
      <c r="G1044" s="12" t="n">
        <v>4300000</v>
      </c>
      <c r="H1044" s="11" t="n">
        <v>14</v>
      </c>
      <c r="I1044" s="11" t="s">
        <v>69</v>
      </c>
      <c r="J1044" s="11" t="s">
        <v>80</v>
      </c>
      <c r="K1044" s="11" t="s">
        <v>81</v>
      </c>
      <c r="L1044" s="11" t="s">
        <v>82</v>
      </c>
      <c r="M1044" s="11" t="s">
        <v>73</v>
      </c>
      <c r="N1044" s="11" t="s">
        <v>104</v>
      </c>
      <c r="O1044" s="11" t="s">
        <v>105</v>
      </c>
      <c r="P1044" s="11" t="s">
        <v>106</v>
      </c>
      <c r="Q1044" s="13" t="n">
        <f aca="false">F1044*H1044</f>
        <v>79578954</v>
      </c>
      <c r="R1044" s="13" t="n">
        <f aca="false">G1044*H1044</f>
        <v>60200000</v>
      </c>
      <c r="S1044" s="13" t="n">
        <f aca="false">Q1044-R1044</f>
        <v>19378954</v>
      </c>
      <c r="T1044" s="14" t="n">
        <f aca="false">IFERROR(S1044/Q1044,0)</f>
        <v>0.243518581558637</v>
      </c>
      <c r="U1044" s="15" t="str">
        <f aca="false">TEXT(A1044,"yyyy-mm")</f>
        <v>2022-02</v>
      </c>
    </row>
    <row r="1045" customFormat="false" ht="15" hidden="false" customHeight="false" outlineLevel="0" collapsed="false">
      <c r="A1045" s="10" t="n">
        <v>44594</v>
      </c>
      <c r="B1045" s="11" t="s">
        <v>1177</v>
      </c>
      <c r="C1045" s="11" t="s">
        <v>128</v>
      </c>
      <c r="D1045" s="11" t="s">
        <v>118</v>
      </c>
      <c r="E1045" s="11" t="s">
        <v>119</v>
      </c>
      <c r="F1045" s="12" t="n">
        <v>3370302</v>
      </c>
      <c r="G1045" s="12" t="n">
        <v>2100000</v>
      </c>
      <c r="H1045" s="11" t="n">
        <v>9</v>
      </c>
      <c r="I1045" s="11" t="s">
        <v>69</v>
      </c>
      <c r="J1045" s="11" t="s">
        <v>80</v>
      </c>
      <c r="K1045" s="11" t="s">
        <v>81</v>
      </c>
      <c r="L1045" s="11" t="s">
        <v>82</v>
      </c>
      <c r="M1045" s="11" t="s">
        <v>73</v>
      </c>
      <c r="N1045" s="11" t="s">
        <v>104</v>
      </c>
      <c r="O1045" s="11" t="s">
        <v>105</v>
      </c>
      <c r="P1045" s="11" t="s">
        <v>106</v>
      </c>
      <c r="Q1045" s="13" t="n">
        <f aca="false">F1045*H1045</f>
        <v>30332718</v>
      </c>
      <c r="R1045" s="13" t="n">
        <f aca="false">G1045*H1045</f>
        <v>18900000</v>
      </c>
      <c r="S1045" s="13" t="n">
        <f aca="false">Q1045-R1045</f>
        <v>11432718</v>
      </c>
      <c r="T1045" s="14" t="n">
        <f aca="false">IFERROR(S1045/Q1045,0)</f>
        <v>0.37691043710623</v>
      </c>
      <c r="U1045" s="15" t="str">
        <f aca="false">TEXT(A1045,"yyyy-mm")</f>
        <v>2022-02</v>
      </c>
    </row>
    <row r="1046" customFormat="false" ht="15" hidden="false" customHeight="false" outlineLevel="0" collapsed="false">
      <c r="A1046" s="10" t="n">
        <v>44594</v>
      </c>
      <c r="B1046" s="11" t="s">
        <v>1178</v>
      </c>
      <c r="C1046" s="11" t="s">
        <v>130</v>
      </c>
      <c r="D1046" s="11" t="s">
        <v>118</v>
      </c>
      <c r="E1046" s="11" t="s">
        <v>68</v>
      </c>
      <c r="F1046" s="12" t="n">
        <v>2852897</v>
      </c>
      <c r="G1046" s="12" t="n">
        <v>2450000</v>
      </c>
      <c r="H1046" s="11" t="n">
        <v>8</v>
      </c>
      <c r="I1046" s="11" t="s">
        <v>69</v>
      </c>
      <c r="J1046" s="11" t="s">
        <v>70</v>
      </c>
      <c r="K1046" s="11" t="s">
        <v>71</v>
      </c>
      <c r="L1046" s="11" t="s">
        <v>72</v>
      </c>
      <c r="M1046" s="11" t="s">
        <v>73</v>
      </c>
      <c r="N1046" s="11" t="s">
        <v>104</v>
      </c>
      <c r="O1046" s="11" t="s">
        <v>105</v>
      </c>
      <c r="P1046" s="11" t="s">
        <v>106</v>
      </c>
      <c r="Q1046" s="13" t="n">
        <f aca="false">F1046*H1046</f>
        <v>22823176</v>
      </c>
      <c r="R1046" s="13" t="n">
        <f aca="false">G1046*H1046</f>
        <v>19600000</v>
      </c>
      <c r="S1046" s="13" t="n">
        <f aca="false">Q1046-R1046</f>
        <v>3223176</v>
      </c>
      <c r="T1046" s="14" t="n">
        <f aca="false">IFERROR(S1046/Q1046,0)</f>
        <v>0.141223815651249</v>
      </c>
      <c r="U1046" s="15" t="str">
        <f aca="false">TEXT(A1046,"yyyy-mm")</f>
        <v>2022-02</v>
      </c>
    </row>
    <row r="1047" customFormat="false" ht="15" hidden="false" customHeight="false" outlineLevel="0" collapsed="false">
      <c r="A1047" s="10" t="n">
        <v>44596</v>
      </c>
      <c r="B1047" s="11" t="s">
        <v>1179</v>
      </c>
      <c r="C1047" s="11" t="s">
        <v>132</v>
      </c>
      <c r="D1047" s="11" t="s">
        <v>118</v>
      </c>
      <c r="E1047" s="11" t="s">
        <v>68</v>
      </c>
      <c r="F1047" s="12" t="n">
        <v>4803603</v>
      </c>
      <c r="G1047" s="12" t="n">
        <v>4121000</v>
      </c>
      <c r="H1047" s="11" t="n">
        <v>7</v>
      </c>
      <c r="I1047" s="11" t="s">
        <v>86</v>
      </c>
      <c r="J1047" s="11" t="s">
        <v>87</v>
      </c>
      <c r="K1047" s="11" t="s">
        <v>88</v>
      </c>
      <c r="L1047" s="11" t="s">
        <v>89</v>
      </c>
      <c r="M1047" s="11" t="s">
        <v>90</v>
      </c>
      <c r="N1047" s="11" t="s">
        <v>133</v>
      </c>
      <c r="O1047" s="11" t="s">
        <v>60</v>
      </c>
      <c r="P1047" s="11" t="s">
        <v>76</v>
      </c>
      <c r="Q1047" s="13" t="n">
        <f aca="false">F1047*H1047</f>
        <v>33625221</v>
      </c>
      <c r="R1047" s="13" t="n">
        <f aca="false">G1047*H1047</f>
        <v>28847000</v>
      </c>
      <c r="S1047" s="13" t="n">
        <f aca="false">Q1047-R1047</f>
        <v>4778221</v>
      </c>
      <c r="T1047" s="14" t="n">
        <f aca="false">IFERROR(S1047/Q1047,0)</f>
        <v>0.142102292799801</v>
      </c>
      <c r="U1047" s="15" t="str">
        <f aca="false">TEXT(A1047,"yyyy-mm")</f>
        <v>2022-02</v>
      </c>
    </row>
    <row r="1048" customFormat="false" ht="15" hidden="false" customHeight="false" outlineLevel="0" collapsed="false">
      <c r="A1048" s="10" t="n">
        <v>44596</v>
      </c>
      <c r="B1048" s="11" t="s">
        <v>1180</v>
      </c>
      <c r="C1048" s="11" t="s">
        <v>135</v>
      </c>
      <c r="D1048" s="11" t="s">
        <v>118</v>
      </c>
      <c r="E1048" s="11" t="s">
        <v>68</v>
      </c>
      <c r="F1048" s="12" t="n">
        <v>5689947</v>
      </c>
      <c r="G1048" s="12" t="n">
        <v>5235000</v>
      </c>
      <c r="H1048" s="11" t="n">
        <v>13</v>
      </c>
      <c r="I1048" s="11" t="s">
        <v>69</v>
      </c>
      <c r="J1048" s="11" t="s">
        <v>80</v>
      </c>
      <c r="K1048" s="11" t="s">
        <v>81</v>
      </c>
      <c r="L1048" s="11" t="s">
        <v>82</v>
      </c>
      <c r="M1048" s="11" t="s">
        <v>73</v>
      </c>
      <c r="N1048" s="11" t="s">
        <v>99</v>
      </c>
      <c r="O1048" s="11" t="s">
        <v>100</v>
      </c>
      <c r="P1048" s="11" t="s">
        <v>101</v>
      </c>
      <c r="Q1048" s="13" t="n">
        <f aca="false">F1048*H1048</f>
        <v>73969311</v>
      </c>
      <c r="R1048" s="13" t="n">
        <f aca="false">G1048*H1048</f>
        <v>68055000</v>
      </c>
      <c r="S1048" s="13" t="n">
        <f aca="false">Q1048-R1048</f>
        <v>5914311</v>
      </c>
      <c r="T1048" s="14" t="n">
        <f aca="false">IFERROR(S1048/Q1048,0)</f>
        <v>0.0799562807878527</v>
      </c>
      <c r="U1048" s="15" t="str">
        <f aca="false">TEXT(A1048,"yyyy-mm")</f>
        <v>2022-02</v>
      </c>
    </row>
    <row r="1049" customFormat="false" ht="15" hidden="false" customHeight="false" outlineLevel="0" collapsed="false">
      <c r="A1049" s="10" t="n">
        <v>44596</v>
      </c>
      <c r="B1049" s="11" t="s">
        <v>1181</v>
      </c>
      <c r="C1049" s="11" t="s">
        <v>137</v>
      </c>
      <c r="D1049" s="11" t="s">
        <v>138</v>
      </c>
      <c r="E1049" s="11" t="s">
        <v>139</v>
      </c>
      <c r="F1049" s="12" t="n">
        <v>5171827</v>
      </c>
      <c r="G1049" s="12" t="n">
        <v>4890000</v>
      </c>
      <c r="H1049" s="11" t="n">
        <v>9</v>
      </c>
      <c r="I1049" s="11" t="s">
        <v>86</v>
      </c>
      <c r="J1049" s="11" t="s">
        <v>87</v>
      </c>
      <c r="K1049" s="11" t="s">
        <v>88</v>
      </c>
      <c r="L1049" s="11" t="s">
        <v>89</v>
      </c>
      <c r="M1049" s="11" t="s">
        <v>90</v>
      </c>
      <c r="N1049" s="11" t="s">
        <v>173</v>
      </c>
      <c r="O1049" s="11" t="s">
        <v>174</v>
      </c>
      <c r="P1049" s="11" t="s">
        <v>95</v>
      </c>
      <c r="Q1049" s="13" t="n">
        <f aca="false">F1049*H1049</f>
        <v>46546443</v>
      </c>
      <c r="R1049" s="13" t="n">
        <f aca="false">G1049*H1049</f>
        <v>44010000</v>
      </c>
      <c r="S1049" s="13" t="n">
        <f aca="false">Q1049-R1049</f>
        <v>2536443</v>
      </c>
      <c r="T1049" s="14" t="n">
        <f aca="false">IFERROR(S1049/Q1049,0)</f>
        <v>0.0544927353525166</v>
      </c>
      <c r="U1049" s="15" t="str">
        <f aca="false">TEXT(A1049,"yyyy-mm")</f>
        <v>2022-02</v>
      </c>
    </row>
    <row r="1050" customFormat="false" ht="15" hidden="false" customHeight="false" outlineLevel="0" collapsed="false">
      <c r="A1050" s="10" t="n">
        <v>44596</v>
      </c>
      <c r="B1050" s="11" t="s">
        <v>1182</v>
      </c>
      <c r="C1050" s="11" t="s">
        <v>141</v>
      </c>
      <c r="D1050" s="11" t="s">
        <v>138</v>
      </c>
      <c r="E1050" s="11" t="s">
        <v>142</v>
      </c>
      <c r="F1050" s="12" t="n">
        <v>2805124</v>
      </c>
      <c r="G1050" s="12" t="n">
        <v>2178000</v>
      </c>
      <c r="H1050" s="11" t="n">
        <v>6</v>
      </c>
      <c r="I1050" s="11" t="s">
        <v>69</v>
      </c>
      <c r="J1050" s="11" t="s">
        <v>70</v>
      </c>
      <c r="K1050" s="11" t="s">
        <v>71</v>
      </c>
      <c r="L1050" s="11" t="s">
        <v>72</v>
      </c>
      <c r="M1050" s="11" t="s">
        <v>73</v>
      </c>
      <c r="N1050" s="11" t="s">
        <v>149</v>
      </c>
      <c r="O1050" s="11" t="s">
        <v>150</v>
      </c>
      <c r="P1050" s="11" t="s">
        <v>151</v>
      </c>
      <c r="Q1050" s="13" t="n">
        <f aca="false">F1050*H1050</f>
        <v>16830744</v>
      </c>
      <c r="R1050" s="13" t="n">
        <f aca="false">G1050*H1050</f>
        <v>13068000</v>
      </c>
      <c r="S1050" s="13" t="n">
        <f aca="false">Q1050-R1050</f>
        <v>3762744</v>
      </c>
      <c r="T1050" s="14" t="n">
        <f aca="false">IFERROR(S1050/Q1050,0)</f>
        <v>0.22356373550688</v>
      </c>
      <c r="U1050" s="15" t="str">
        <f aca="false">TEXT(A1050,"yyyy-mm")</f>
        <v>2022-02</v>
      </c>
    </row>
    <row r="1051" customFormat="false" ht="15" hidden="false" customHeight="false" outlineLevel="0" collapsed="false">
      <c r="A1051" s="10" t="n">
        <v>44596</v>
      </c>
      <c r="B1051" s="11" t="s">
        <v>1183</v>
      </c>
      <c r="C1051" s="11" t="s">
        <v>146</v>
      </c>
      <c r="D1051" s="11" t="s">
        <v>138</v>
      </c>
      <c r="E1051" s="11" t="s">
        <v>139</v>
      </c>
      <c r="F1051" s="12" t="n">
        <v>2728100</v>
      </c>
      <c r="G1051" s="12" t="n">
        <v>2321000</v>
      </c>
      <c r="H1051" s="11" t="n">
        <v>19</v>
      </c>
      <c r="I1051" s="11" t="s">
        <v>86</v>
      </c>
      <c r="J1051" s="11" t="s">
        <v>87</v>
      </c>
      <c r="K1051" s="11" t="s">
        <v>88</v>
      </c>
      <c r="L1051" s="11" t="s">
        <v>89</v>
      </c>
      <c r="M1051" s="11" t="s">
        <v>90</v>
      </c>
      <c r="N1051" s="11" t="s">
        <v>93</v>
      </c>
      <c r="O1051" s="11" t="s">
        <v>94</v>
      </c>
      <c r="P1051" s="11" t="s">
        <v>95</v>
      </c>
      <c r="Q1051" s="13" t="n">
        <f aca="false">F1051*H1051</f>
        <v>51833900</v>
      </c>
      <c r="R1051" s="13" t="n">
        <f aca="false">G1051*H1051</f>
        <v>44099000</v>
      </c>
      <c r="S1051" s="13" t="n">
        <f aca="false">Q1051-R1051</f>
        <v>7734900</v>
      </c>
      <c r="T1051" s="14" t="n">
        <f aca="false">IFERROR(S1051/Q1051,0)</f>
        <v>0.149224735163667</v>
      </c>
      <c r="U1051" s="15" t="str">
        <f aca="false">TEXT(A1051,"yyyy-mm")</f>
        <v>2022-02</v>
      </c>
    </row>
    <row r="1052" customFormat="false" ht="15" hidden="false" customHeight="false" outlineLevel="0" collapsed="false">
      <c r="A1052" s="10" t="n">
        <v>44597</v>
      </c>
      <c r="B1052" s="11" t="s">
        <v>1184</v>
      </c>
      <c r="C1052" s="11" t="s">
        <v>148</v>
      </c>
      <c r="D1052" s="11" t="s">
        <v>138</v>
      </c>
      <c r="E1052" s="11" t="s">
        <v>122</v>
      </c>
      <c r="F1052" s="12" t="n">
        <v>4941716</v>
      </c>
      <c r="G1052" s="12" t="n">
        <v>4456000</v>
      </c>
      <c r="H1052" s="11" t="n">
        <v>6</v>
      </c>
      <c r="I1052" s="11" t="s">
        <v>69</v>
      </c>
      <c r="J1052" s="11" t="s">
        <v>112</v>
      </c>
      <c r="K1052" s="11" t="s">
        <v>113</v>
      </c>
      <c r="L1052" s="11" t="s">
        <v>82</v>
      </c>
      <c r="M1052" s="11" t="s">
        <v>157</v>
      </c>
      <c r="N1052" s="11" t="s">
        <v>149</v>
      </c>
      <c r="O1052" s="11" t="s">
        <v>150</v>
      </c>
      <c r="P1052" s="11" t="s">
        <v>151</v>
      </c>
      <c r="Q1052" s="13" t="n">
        <f aca="false">F1052*H1052</f>
        <v>29650296</v>
      </c>
      <c r="R1052" s="13" t="n">
        <f aca="false">G1052*H1052</f>
        <v>26736000</v>
      </c>
      <c r="S1052" s="13" t="n">
        <f aca="false">Q1052-R1052</f>
        <v>2914296</v>
      </c>
      <c r="T1052" s="14" t="n">
        <f aca="false">IFERROR(S1052/Q1052,0)</f>
        <v>0.0982889344511097</v>
      </c>
      <c r="U1052" s="15" t="str">
        <f aca="false">TEXT(A1052,"yyyy-mm")</f>
        <v>2022-02</v>
      </c>
    </row>
    <row r="1053" customFormat="false" ht="15" hidden="false" customHeight="false" outlineLevel="0" collapsed="false">
      <c r="A1053" s="10" t="n">
        <v>44597</v>
      </c>
      <c r="B1053" s="11" t="s">
        <v>1185</v>
      </c>
      <c r="C1053" s="11" t="s">
        <v>66</v>
      </c>
      <c r="D1053" s="11" t="s">
        <v>67</v>
      </c>
      <c r="E1053" s="11" t="s">
        <v>68</v>
      </c>
      <c r="F1053" s="12" t="n">
        <v>3048952</v>
      </c>
      <c r="G1053" s="12" t="n">
        <v>2560000</v>
      </c>
      <c r="H1053" s="11" t="n">
        <v>2</v>
      </c>
      <c r="I1053" s="11" t="s">
        <v>69</v>
      </c>
      <c r="J1053" s="11" t="s">
        <v>70</v>
      </c>
      <c r="K1053" s="11" t="s">
        <v>71</v>
      </c>
      <c r="L1053" s="11" t="s">
        <v>72</v>
      </c>
      <c r="M1053" s="11" t="s">
        <v>73</v>
      </c>
      <c r="N1053" s="11" t="s">
        <v>93</v>
      </c>
      <c r="O1053" s="11" t="s">
        <v>94</v>
      </c>
      <c r="P1053" s="11" t="s">
        <v>95</v>
      </c>
      <c r="Q1053" s="13" t="n">
        <f aca="false">F1053*H1053</f>
        <v>6097904</v>
      </c>
      <c r="R1053" s="13" t="n">
        <f aca="false">G1053*H1053</f>
        <v>5120000</v>
      </c>
      <c r="S1053" s="13" t="n">
        <f aca="false">Q1053-R1053</f>
        <v>977904</v>
      </c>
      <c r="T1053" s="14" t="n">
        <f aca="false">IFERROR(S1053/Q1053,0)</f>
        <v>0.160367234380863</v>
      </c>
      <c r="U1053" s="15" t="str">
        <f aca="false">TEXT(A1053,"yyyy-mm")</f>
        <v>2022-02</v>
      </c>
    </row>
    <row r="1054" customFormat="false" ht="15" hidden="false" customHeight="false" outlineLevel="0" collapsed="false">
      <c r="A1054" s="10" t="n">
        <v>44597</v>
      </c>
      <c r="B1054" s="11" t="s">
        <v>1186</v>
      </c>
      <c r="C1054" s="11" t="s">
        <v>78</v>
      </c>
      <c r="D1054" s="11" t="s">
        <v>67</v>
      </c>
      <c r="E1054" s="11" t="s">
        <v>79</v>
      </c>
      <c r="F1054" s="12" t="n">
        <v>1870000</v>
      </c>
      <c r="G1054" s="12" t="n">
        <v>1650000</v>
      </c>
      <c r="H1054" s="11" t="n">
        <v>10</v>
      </c>
      <c r="I1054" s="11" t="s">
        <v>69</v>
      </c>
      <c r="J1054" s="11" t="s">
        <v>80</v>
      </c>
      <c r="K1054" s="11" t="s">
        <v>81</v>
      </c>
      <c r="L1054" s="11" t="s">
        <v>82</v>
      </c>
      <c r="M1054" s="11" t="s">
        <v>73</v>
      </c>
      <c r="N1054" s="11" t="s">
        <v>109</v>
      </c>
      <c r="O1054" s="11" t="s">
        <v>75</v>
      </c>
      <c r="P1054" s="11" t="s">
        <v>95</v>
      </c>
      <c r="Q1054" s="13" t="n">
        <f aca="false">F1054*H1054</f>
        <v>18700000</v>
      </c>
      <c r="R1054" s="13" t="n">
        <f aca="false">G1054*H1054</f>
        <v>16500000</v>
      </c>
      <c r="S1054" s="13" t="n">
        <f aca="false">Q1054-R1054</f>
        <v>2200000</v>
      </c>
      <c r="T1054" s="14" t="n">
        <f aca="false">IFERROR(S1054/Q1054,0)</f>
        <v>0.117647058823529</v>
      </c>
      <c r="U1054" s="15" t="str">
        <f aca="false">TEXT(A1054,"yyyy-mm")</f>
        <v>2022-02</v>
      </c>
    </row>
    <row r="1055" customFormat="false" ht="15" hidden="false" customHeight="false" outlineLevel="0" collapsed="false">
      <c r="A1055" s="10" t="n">
        <v>44598</v>
      </c>
      <c r="B1055" s="11" t="s">
        <v>1187</v>
      </c>
      <c r="C1055" s="11" t="s">
        <v>84</v>
      </c>
      <c r="D1055" s="11" t="s">
        <v>67</v>
      </c>
      <c r="E1055" s="11" t="s">
        <v>85</v>
      </c>
      <c r="F1055" s="12" t="n">
        <v>2600000</v>
      </c>
      <c r="G1055" s="12" t="n">
        <v>2300000</v>
      </c>
      <c r="H1055" s="11" t="n">
        <v>3</v>
      </c>
      <c r="I1055" s="11" t="s">
        <v>69</v>
      </c>
      <c r="J1055" s="11" t="s">
        <v>80</v>
      </c>
      <c r="K1055" s="11" t="s">
        <v>81</v>
      </c>
      <c r="L1055" s="11" t="s">
        <v>82</v>
      </c>
      <c r="M1055" s="11" t="s">
        <v>73</v>
      </c>
      <c r="N1055" s="11" t="s">
        <v>149</v>
      </c>
      <c r="O1055" s="11" t="s">
        <v>150</v>
      </c>
      <c r="P1055" s="11" t="s">
        <v>151</v>
      </c>
      <c r="Q1055" s="13" t="n">
        <f aca="false">F1055*H1055</f>
        <v>7800000</v>
      </c>
      <c r="R1055" s="13" t="n">
        <f aca="false">G1055*H1055</f>
        <v>6900000</v>
      </c>
      <c r="S1055" s="13" t="n">
        <f aca="false">Q1055-R1055</f>
        <v>900000</v>
      </c>
      <c r="T1055" s="14" t="n">
        <f aca="false">IFERROR(S1055/Q1055,0)</f>
        <v>0.115384615384615</v>
      </c>
      <c r="U1055" s="15" t="str">
        <f aca="false">TEXT(A1055,"yyyy-mm")</f>
        <v>2022-02</v>
      </c>
    </row>
    <row r="1056" customFormat="false" ht="15" hidden="false" customHeight="false" outlineLevel="0" collapsed="false">
      <c r="A1056" s="10" t="n">
        <v>44598</v>
      </c>
      <c r="B1056" s="11" t="s">
        <v>1188</v>
      </c>
      <c r="C1056" s="11" t="s">
        <v>92</v>
      </c>
      <c r="D1056" s="11" t="s">
        <v>67</v>
      </c>
      <c r="E1056" s="11" t="s">
        <v>79</v>
      </c>
      <c r="F1056" s="12" t="n">
        <v>3577480</v>
      </c>
      <c r="G1056" s="12" t="n">
        <v>3100000</v>
      </c>
      <c r="H1056" s="11" t="n">
        <v>9</v>
      </c>
      <c r="I1056" s="11" t="s">
        <v>69</v>
      </c>
      <c r="J1056" s="11" t="s">
        <v>80</v>
      </c>
      <c r="K1056" s="11" t="s">
        <v>81</v>
      </c>
      <c r="L1056" s="11" t="s">
        <v>82</v>
      </c>
      <c r="M1056" s="11" t="s">
        <v>73</v>
      </c>
      <c r="N1056" s="11" t="s">
        <v>74</v>
      </c>
      <c r="O1056" s="11" t="s">
        <v>75</v>
      </c>
      <c r="P1056" s="11" t="s">
        <v>76</v>
      </c>
      <c r="Q1056" s="13" t="n">
        <f aca="false">F1056*H1056</f>
        <v>32197320</v>
      </c>
      <c r="R1056" s="13" t="n">
        <f aca="false">G1056*H1056</f>
        <v>27900000</v>
      </c>
      <c r="S1056" s="13" t="n">
        <f aca="false">Q1056-R1056</f>
        <v>4297320</v>
      </c>
      <c r="T1056" s="14" t="n">
        <f aca="false">IFERROR(S1056/Q1056,0)</f>
        <v>0.133468251394837</v>
      </c>
      <c r="U1056" s="15" t="str">
        <f aca="false">TEXT(A1056,"yyyy-mm")</f>
        <v>2022-02</v>
      </c>
    </row>
    <row r="1057" customFormat="false" ht="15" hidden="false" customHeight="false" outlineLevel="0" collapsed="false">
      <c r="A1057" s="10" t="n">
        <v>44598</v>
      </c>
      <c r="B1057" s="11" t="s">
        <v>1189</v>
      </c>
      <c r="C1057" s="11" t="s">
        <v>97</v>
      </c>
      <c r="D1057" s="11" t="s">
        <v>67</v>
      </c>
      <c r="E1057" s="11" t="s">
        <v>98</v>
      </c>
      <c r="F1057" s="12" t="n">
        <v>4969724</v>
      </c>
      <c r="G1057" s="12" t="n">
        <v>4121560</v>
      </c>
      <c r="H1057" s="11" t="n">
        <v>7</v>
      </c>
      <c r="I1057" s="11" t="s">
        <v>69</v>
      </c>
      <c r="J1057" s="11" t="s">
        <v>80</v>
      </c>
      <c r="K1057" s="11" t="s">
        <v>81</v>
      </c>
      <c r="L1057" s="11" t="s">
        <v>82</v>
      </c>
      <c r="M1057" s="11" t="s">
        <v>73</v>
      </c>
      <c r="N1057" s="11" t="s">
        <v>133</v>
      </c>
      <c r="O1057" s="11" t="s">
        <v>60</v>
      </c>
      <c r="P1057" s="11" t="s">
        <v>76</v>
      </c>
      <c r="Q1057" s="13" t="n">
        <f aca="false">F1057*H1057</f>
        <v>34788068</v>
      </c>
      <c r="R1057" s="13" t="n">
        <f aca="false">G1057*H1057</f>
        <v>28850920</v>
      </c>
      <c r="S1057" s="13" t="n">
        <f aca="false">Q1057-R1057</f>
        <v>5937148</v>
      </c>
      <c r="T1057" s="14" t="n">
        <f aca="false">IFERROR(S1057/Q1057,0)</f>
        <v>0.170666218083741</v>
      </c>
      <c r="U1057" s="15" t="str">
        <f aca="false">TEXT(A1057,"yyyy-mm")</f>
        <v>2022-02</v>
      </c>
    </row>
    <row r="1058" customFormat="false" ht="15" hidden="false" customHeight="false" outlineLevel="0" collapsed="false">
      <c r="A1058" s="10" t="n">
        <v>44598</v>
      </c>
      <c r="B1058" s="11" t="s">
        <v>1190</v>
      </c>
      <c r="C1058" s="11" t="s">
        <v>103</v>
      </c>
      <c r="D1058" s="11" t="s">
        <v>67</v>
      </c>
      <c r="E1058" s="11" t="s">
        <v>68</v>
      </c>
      <c r="F1058" s="12" t="n">
        <v>3319925</v>
      </c>
      <c r="G1058" s="12" t="n">
        <v>2800000</v>
      </c>
      <c r="H1058" s="11" t="n">
        <v>4</v>
      </c>
      <c r="I1058" s="11" t="s">
        <v>69</v>
      </c>
      <c r="J1058" s="11" t="s">
        <v>80</v>
      </c>
      <c r="K1058" s="11" t="s">
        <v>81</v>
      </c>
      <c r="L1058" s="11" t="s">
        <v>82</v>
      </c>
      <c r="M1058" s="11" t="s">
        <v>73</v>
      </c>
      <c r="N1058" s="11" t="s">
        <v>93</v>
      </c>
      <c r="O1058" s="11" t="s">
        <v>94</v>
      </c>
      <c r="P1058" s="11" t="s">
        <v>95</v>
      </c>
      <c r="Q1058" s="13" t="n">
        <f aca="false">F1058*H1058</f>
        <v>13279700</v>
      </c>
      <c r="R1058" s="13" t="n">
        <f aca="false">G1058*H1058</f>
        <v>11200000</v>
      </c>
      <c r="S1058" s="13" t="n">
        <f aca="false">Q1058-R1058</f>
        <v>2079700</v>
      </c>
      <c r="T1058" s="14" t="n">
        <f aca="false">IFERROR(S1058/Q1058,0)</f>
        <v>0.15660745348163</v>
      </c>
      <c r="U1058" s="15" t="str">
        <f aca="false">TEXT(A1058,"yyyy-mm")</f>
        <v>2022-02</v>
      </c>
    </row>
    <row r="1059" customFormat="false" ht="15" hidden="false" customHeight="false" outlineLevel="0" collapsed="false">
      <c r="A1059" s="10" t="n">
        <v>44599</v>
      </c>
      <c r="B1059" s="11" t="s">
        <v>1191</v>
      </c>
      <c r="C1059" s="11" t="s">
        <v>108</v>
      </c>
      <c r="D1059" s="11" t="s">
        <v>67</v>
      </c>
      <c r="E1059" s="11" t="s">
        <v>68</v>
      </c>
      <c r="F1059" s="12" t="n">
        <v>4757880</v>
      </c>
      <c r="G1059" s="12" t="n">
        <v>3450000</v>
      </c>
      <c r="H1059" s="11" t="n">
        <v>12</v>
      </c>
      <c r="I1059" s="11" t="s">
        <v>69</v>
      </c>
      <c r="J1059" s="11" t="s">
        <v>80</v>
      </c>
      <c r="K1059" s="11" t="s">
        <v>81</v>
      </c>
      <c r="L1059" s="11" t="s">
        <v>82</v>
      </c>
      <c r="M1059" s="11" t="s">
        <v>73</v>
      </c>
      <c r="N1059" s="11" t="s">
        <v>74</v>
      </c>
      <c r="O1059" s="11" t="s">
        <v>75</v>
      </c>
      <c r="P1059" s="11" t="s">
        <v>76</v>
      </c>
      <c r="Q1059" s="13" t="n">
        <f aca="false">F1059*H1059</f>
        <v>57094560</v>
      </c>
      <c r="R1059" s="13" t="n">
        <f aca="false">G1059*H1059</f>
        <v>41400000</v>
      </c>
      <c r="S1059" s="13" t="n">
        <f aca="false">Q1059-R1059</f>
        <v>15694560</v>
      </c>
      <c r="T1059" s="14" t="n">
        <f aca="false">IFERROR(S1059/Q1059,0)</f>
        <v>0.274887134606169</v>
      </c>
      <c r="U1059" s="15" t="str">
        <f aca="false">TEXT(A1059,"yyyy-mm")</f>
        <v>2022-02</v>
      </c>
    </row>
    <row r="1060" customFormat="false" ht="15" hidden="false" customHeight="false" outlineLevel="0" collapsed="false">
      <c r="A1060" s="10" t="n">
        <v>44599</v>
      </c>
      <c r="B1060" s="11" t="s">
        <v>1192</v>
      </c>
      <c r="C1060" s="11" t="s">
        <v>111</v>
      </c>
      <c r="D1060" s="11" t="s">
        <v>67</v>
      </c>
      <c r="E1060" s="11" t="s">
        <v>79</v>
      </c>
      <c r="F1060" s="12" t="n">
        <v>3545808</v>
      </c>
      <c r="G1060" s="12" t="n">
        <v>3350000</v>
      </c>
      <c r="H1060" s="11" t="n">
        <v>13</v>
      </c>
      <c r="I1060" s="11" t="s">
        <v>69</v>
      </c>
      <c r="J1060" s="11" t="s">
        <v>70</v>
      </c>
      <c r="K1060" s="11" t="s">
        <v>71</v>
      </c>
      <c r="L1060" s="11" t="s">
        <v>72</v>
      </c>
      <c r="M1060" s="11" t="s">
        <v>73</v>
      </c>
      <c r="N1060" s="11" t="s">
        <v>143</v>
      </c>
      <c r="O1060" s="11" t="s">
        <v>144</v>
      </c>
      <c r="P1060" s="11" t="s">
        <v>101</v>
      </c>
      <c r="Q1060" s="13" t="n">
        <f aca="false">F1060*H1060</f>
        <v>46095504</v>
      </c>
      <c r="R1060" s="13" t="n">
        <f aca="false">G1060*H1060</f>
        <v>43550000</v>
      </c>
      <c r="S1060" s="13" t="n">
        <f aca="false">Q1060-R1060</f>
        <v>2545504</v>
      </c>
      <c r="T1060" s="14" t="n">
        <f aca="false">IFERROR(S1060/Q1060,0)</f>
        <v>0.0552223921881839</v>
      </c>
      <c r="U1060" s="15" t="str">
        <f aca="false">TEXT(A1060,"yyyy-mm")</f>
        <v>2022-02</v>
      </c>
    </row>
    <row r="1061" customFormat="false" ht="15" hidden="false" customHeight="false" outlineLevel="0" collapsed="false">
      <c r="A1061" s="10" t="n">
        <v>44599</v>
      </c>
      <c r="B1061" s="11" t="s">
        <v>1193</v>
      </c>
      <c r="C1061" s="11" t="s">
        <v>115</v>
      </c>
      <c r="D1061" s="11" t="s">
        <v>67</v>
      </c>
      <c r="E1061" s="11" t="s">
        <v>98</v>
      </c>
      <c r="F1061" s="12" t="n">
        <v>4200743</v>
      </c>
      <c r="G1061" s="12" t="n">
        <v>4101000</v>
      </c>
      <c r="H1061" s="11" t="n">
        <v>5</v>
      </c>
      <c r="I1061" s="11" t="s">
        <v>69</v>
      </c>
      <c r="J1061" s="11" t="s">
        <v>80</v>
      </c>
      <c r="K1061" s="11" t="s">
        <v>81</v>
      </c>
      <c r="L1061" s="11" t="s">
        <v>82</v>
      </c>
      <c r="M1061" s="11" t="s">
        <v>73</v>
      </c>
      <c r="N1061" s="11" t="s">
        <v>143</v>
      </c>
      <c r="O1061" s="11" t="s">
        <v>144</v>
      </c>
      <c r="P1061" s="11" t="s">
        <v>101</v>
      </c>
      <c r="Q1061" s="13" t="n">
        <f aca="false">F1061*H1061</f>
        <v>21003715</v>
      </c>
      <c r="R1061" s="13" t="n">
        <f aca="false">G1061*H1061</f>
        <v>20505000</v>
      </c>
      <c r="S1061" s="13" t="n">
        <f aca="false">Q1061-R1061</f>
        <v>498715</v>
      </c>
      <c r="T1061" s="14" t="n">
        <f aca="false">IFERROR(S1061/Q1061,0)</f>
        <v>0.023744132883159</v>
      </c>
      <c r="U1061" s="15" t="str">
        <f aca="false">TEXT(A1061,"yyyy-mm")</f>
        <v>2022-02</v>
      </c>
    </row>
    <row r="1062" customFormat="false" ht="15" hidden="false" customHeight="false" outlineLevel="0" collapsed="false">
      <c r="A1062" s="10" t="n">
        <v>44599</v>
      </c>
      <c r="B1062" s="11" t="s">
        <v>1194</v>
      </c>
      <c r="C1062" s="11" t="s">
        <v>117</v>
      </c>
      <c r="D1062" s="11" t="s">
        <v>118</v>
      </c>
      <c r="E1062" s="11" t="s">
        <v>119</v>
      </c>
      <c r="F1062" s="12" t="n">
        <v>8220549</v>
      </c>
      <c r="G1062" s="12" t="n">
        <v>6500000</v>
      </c>
      <c r="H1062" s="11" t="n">
        <v>9</v>
      </c>
      <c r="I1062" s="11" t="s">
        <v>69</v>
      </c>
      <c r="J1062" s="11" t="s">
        <v>80</v>
      </c>
      <c r="K1062" s="11" t="s">
        <v>81</v>
      </c>
      <c r="L1062" s="11" t="s">
        <v>82</v>
      </c>
      <c r="M1062" s="11" t="s">
        <v>73</v>
      </c>
      <c r="N1062" s="11" t="s">
        <v>133</v>
      </c>
      <c r="O1062" s="11" t="s">
        <v>60</v>
      </c>
      <c r="P1062" s="11" t="s">
        <v>76</v>
      </c>
      <c r="Q1062" s="13" t="n">
        <f aca="false">F1062*H1062</f>
        <v>73984941</v>
      </c>
      <c r="R1062" s="13" t="n">
        <f aca="false">G1062*H1062</f>
        <v>58500000</v>
      </c>
      <c r="S1062" s="13" t="n">
        <f aca="false">Q1062-R1062</f>
        <v>15484941</v>
      </c>
      <c r="T1062" s="14" t="n">
        <f aca="false">IFERROR(S1062/Q1062,0)</f>
        <v>0.209298551714733</v>
      </c>
      <c r="U1062" s="15" t="str">
        <f aca="false">TEXT(A1062,"yyyy-mm")</f>
        <v>2022-02</v>
      </c>
    </row>
    <row r="1063" customFormat="false" ht="15" hidden="false" customHeight="false" outlineLevel="0" collapsed="false">
      <c r="A1063" s="10" t="n">
        <v>44600</v>
      </c>
      <c r="B1063" s="11" t="s">
        <v>1195</v>
      </c>
      <c r="C1063" s="11" t="s">
        <v>121</v>
      </c>
      <c r="D1063" s="11" t="s">
        <v>118</v>
      </c>
      <c r="E1063" s="11" t="s">
        <v>122</v>
      </c>
      <c r="F1063" s="12" t="n">
        <v>7687274</v>
      </c>
      <c r="G1063" s="12" t="n">
        <v>6500000</v>
      </c>
      <c r="H1063" s="11" t="n">
        <v>10</v>
      </c>
      <c r="I1063" s="11" t="s">
        <v>69</v>
      </c>
      <c r="J1063" s="11" t="s">
        <v>80</v>
      </c>
      <c r="K1063" s="11" t="s">
        <v>81</v>
      </c>
      <c r="L1063" s="11" t="s">
        <v>82</v>
      </c>
      <c r="M1063" s="11" t="s">
        <v>73</v>
      </c>
      <c r="N1063" s="11" t="s">
        <v>99</v>
      </c>
      <c r="O1063" s="11" t="s">
        <v>100</v>
      </c>
      <c r="P1063" s="11" t="s">
        <v>101</v>
      </c>
      <c r="Q1063" s="13" t="n">
        <f aca="false">F1063*H1063</f>
        <v>76872740</v>
      </c>
      <c r="R1063" s="13" t="n">
        <f aca="false">G1063*H1063</f>
        <v>65000000</v>
      </c>
      <c r="S1063" s="13" t="n">
        <f aca="false">Q1063-R1063</f>
        <v>11872740</v>
      </c>
      <c r="T1063" s="14" t="n">
        <f aca="false">IFERROR(S1063/Q1063,0)</f>
        <v>0.154446686822923</v>
      </c>
      <c r="U1063" s="15" t="str">
        <f aca="false">TEXT(A1063,"yyyy-mm")</f>
        <v>2022-02</v>
      </c>
    </row>
    <row r="1064" customFormat="false" ht="15" hidden="false" customHeight="false" outlineLevel="0" collapsed="false">
      <c r="A1064" s="10" t="n">
        <v>44601</v>
      </c>
      <c r="B1064" s="11" t="s">
        <v>1196</v>
      </c>
      <c r="C1064" s="11" t="s">
        <v>125</v>
      </c>
      <c r="D1064" s="11" t="s">
        <v>118</v>
      </c>
      <c r="E1064" s="11" t="s">
        <v>126</v>
      </c>
      <c r="F1064" s="12" t="n">
        <v>5684211</v>
      </c>
      <c r="G1064" s="12" t="n">
        <v>4300000</v>
      </c>
      <c r="H1064" s="11" t="n">
        <v>15</v>
      </c>
      <c r="I1064" s="11" t="s">
        <v>69</v>
      </c>
      <c r="J1064" s="11" t="s">
        <v>80</v>
      </c>
      <c r="K1064" s="11" t="s">
        <v>81</v>
      </c>
      <c r="L1064" s="11" t="s">
        <v>82</v>
      </c>
      <c r="M1064" s="11" t="s">
        <v>73</v>
      </c>
      <c r="N1064" s="11" t="s">
        <v>173</v>
      </c>
      <c r="O1064" s="11" t="s">
        <v>174</v>
      </c>
      <c r="P1064" s="11" t="s">
        <v>95</v>
      </c>
      <c r="Q1064" s="13" t="n">
        <f aca="false">F1064*H1064</f>
        <v>85263165</v>
      </c>
      <c r="R1064" s="13" t="n">
        <f aca="false">G1064*H1064</f>
        <v>64500000</v>
      </c>
      <c r="S1064" s="13" t="n">
        <f aca="false">Q1064-R1064</f>
        <v>20763165</v>
      </c>
      <c r="T1064" s="14" t="n">
        <f aca="false">IFERROR(S1064/Q1064,0)</f>
        <v>0.243518581558637</v>
      </c>
      <c r="U1064" s="15" t="str">
        <f aca="false">TEXT(A1064,"yyyy-mm")</f>
        <v>2022-02</v>
      </c>
    </row>
    <row r="1065" customFormat="false" ht="15" hidden="false" customHeight="false" outlineLevel="0" collapsed="false">
      <c r="A1065" s="10" t="n">
        <v>44601</v>
      </c>
      <c r="B1065" s="11" t="s">
        <v>1197</v>
      </c>
      <c r="C1065" s="11" t="s">
        <v>128</v>
      </c>
      <c r="D1065" s="11" t="s">
        <v>118</v>
      </c>
      <c r="E1065" s="11" t="s">
        <v>119</v>
      </c>
      <c r="F1065" s="12" t="n">
        <v>3370302</v>
      </c>
      <c r="G1065" s="12" t="n">
        <v>2100000</v>
      </c>
      <c r="H1065" s="11" t="n">
        <v>32</v>
      </c>
      <c r="I1065" s="11" t="s">
        <v>69</v>
      </c>
      <c r="J1065" s="11" t="s">
        <v>70</v>
      </c>
      <c r="K1065" s="11" t="s">
        <v>71</v>
      </c>
      <c r="L1065" s="11" t="s">
        <v>72</v>
      </c>
      <c r="M1065" s="11" t="s">
        <v>73</v>
      </c>
      <c r="N1065" s="11" t="s">
        <v>149</v>
      </c>
      <c r="O1065" s="11" t="s">
        <v>150</v>
      </c>
      <c r="P1065" s="11" t="s">
        <v>151</v>
      </c>
      <c r="Q1065" s="13" t="n">
        <f aca="false">F1065*H1065</f>
        <v>107849664</v>
      </c>
      <c r="R1065" s="13" t="n">
        <f aca="false">G1065*H1065</f>
        <v>67200000</v>
      </c>
      <c r="S1065" s="13" t="n">
        <f aca="false">Q1065-R1065</f>
        <v>40649664</v>
      </c>
      <c r="T1065" s="14" t="n">
        <f aca="false">IFERROR(S1065/Q1065,0)</f>
        <v>0.37691043710623</v>
      </c>
      <c r="U1065" s="15" t="str">
        <f aca="false">TEXT(A1065,"yyyy-mm")</f>
        <v>2022-02</v>
      </c>
    </row>
    <row r="1066" customFormat="false" ht="15" hidden="false" customHeight="false" outlineLevel="0" collapsed="false">
      <c r="A1066" s="10" t="n">
        <v>44601</v>
      </c>
      <c r="B1066" s="11" t="s">
        <v>1198</v>
      </c>
      <c r="C1066" s="11" t="s">
        <v>130</v>
      </c>
      <c r="D1066" s="11" t="s">
        <v>118</v>
      </c>
      <c r="E1066" s="11" t="s">
        <v>68</v>
      </c>
      <c r="F1066" s="12" t="n">
        <v>2852897</v>
      </c>
      <c r="G1066" s="12" t="n">
        <v>2450000</v>
      </c>
      <c r="H1066" s="11" t="n">
        <v>1</v>
      </c>
      <c r="I1066" s="11" t="s">
        <v>86</v>
      </c>
      <c r="J1066" s="11" t="s">
        <v>87</v>
      </c>
      <c r="K1066" s="11" t="s">
        <v>88</v>
      </c>
      <c r="L1066" s="11" t="s">
        <v>89</v>
      </c>
      <c r="M1066" s="11" t="s">
        <v>90</v>
      </c>
      <c r="N1066" s="11" t="s">
        <v>99</v>
      </c>
      <c r="O1066" s="11" t="s">
        <v>100</v>
      </c>
      <c r="P1066" s="11" t="s">
        <v>101</v>
      </c>
      <c r="Q1066" s="13" t="n">
        <f aca="false">F1066*H1066</f>
        <v>2852897</v>
      </c>
      <c r="R1066" s="13" t="n">
        <f aca="false">G1066*H1066</f>
        <v>2450000</v>
      </c>
      <c r="S1066" s="13" t="n">
        <f aca="false">Q1066-R1066</f>
        <v>402897</v>
      </c>
      <c r="T1066" s="14" t="n">
        <f aca="false">IFERROR(S1066/Q1066,0)</f>
        <v>0.141223815651249</v>
      </c>
      <c r="U1066" s="15" t="str">
        <f aca="false">TEXT(A1066,"yyyy-mm")</f>
        <v>2022-02</v>
      </c>
    </row>
    <row r="1067" customFormat="false" ht="15" hidden="false" customHeight="false" outlineLevel="0" collapsed="false">
      <c r="A1067" s="10" t="n">
        <v>44602</v>
      </c>
      <c r="B1067" s="11" t="s">
        <v>1199</v>
      </c>
      <c r="C1067" s="11" t="s">
        <v>132</v>
      </c>
      <c r="D1067" s="11" t="s">
        <v>118</v>
      </c>
      <c r="E1067" s="11" t="s">
        <v>68</v>
      </c>
      <c r="F1067" s="12" t="n">
        <v>4803603</v>
      </c>
      <c r="G1067" s="12" t="n">
        <v>4121000</v>
      </c>
      <c r="H1067" s="11" t="n">
        <v>4</v>
      </c>
      <c r="I1067" s="11" t="s">
        <v>69</v>
      </c>
      <c r="J1067" s="11" t="s">
        <v>112</v>
      </c>
      <c r="K1067" s="11" t="s">
        <v>113</v>
      </c>
      <c r="L1067" s="11" t="s">
        <v>82</v>
      </c>
      <c r="M1067" s="11" t="s">
        <v>157</v>
      </c>
      <c r="N1067" s="11" t="s">
        <v>93</v>
      </c>
      <c r="O1067" s="11" t="s">
        <v>94</v>
      </c>
      <c r="P1067" s="11" t="s">
        <v>95</v>
      </c>
      <c r="Q1067" s="13" t="n">
        <f aca="false">F1067*H1067</f>
        <v>19214412</v>
      </c>
      <c r="R1067" s="13" t="n">
        <f aca="false">G1067*H1067</f>
        <v>16484000</v>
      </c>
      <c r="S1067" s="13" t="n">
        <f aca="false">Q1067-R1067</f>
        <v>2730412</v>
      </c>
      <c r="T1067" s="14" t="n">
        <f aca="false">IFERROR(S1067/Q1067,0)</f>
        <v>0.142102292799801</v>
      </c>
      <c r="U1067" s="15" t="str">
        <f aca="false">TEXT(A1067,"yyyy-mm")</f>
        <v>2022-02</v>
      </c>
    </row>
    <row r="1068" customFormat="false" ht="15" hidden="false" customHeight="false" outlineLevel="0" collapsed="false">
      <c r="A1068" s="10" t="n">
        <v>44602</v>
      </c>
      <c r="B1068" s="11" t="s">
        <v>1200</v>
      </c>
      <c r="C1068" s="11" t="s">
        <v>135</v>
      </c>
      <c r="D1068" s="11" t="s">
        <v>118</v>
      </c>
      <c r="E1068" s="11" t="s">
        <v>68</v>
      </c>
      <c r="F1068" s="12" t="n">
        <v>5689947</v>
      </c>
      <c r="G1068" s="12" t="n">
        <v>5235000</v>
      </c>
      <c r="H1068" s="11" t="n">
        <v>11</v>
      </c>
      <c r="I1068" s="11" t="s">
        <v>69</v>
      </c>
      <c r="J1068" s="11" t="s">
        <v>80</v>
      </c>
      <c r="K1068" s="11" t="s">
        <v>81</v>
      </c>
      <c r="L1068" s="11" t="s">
        <v>82</v>
      </c>
      <c r="M1068" s="11" t="s">
        <v>73</v>
      </c>
      <c r="N1068" s="11" t="s">
        <v>143</v>
      </c>
      <c r="O1068" s="11" t="s">
        <v>144</v>
      </c>
      <c r="P1068" s="11" t="s">
        <v>101</v>
      </c>
      <c r="Q1068" s="13" t="n">
        <f aca="false">F1068*H1068</f>
        <v>62589417</v>
      </c>
      <c r="R1068" s="13" t="n">
        <f aca="false">G1068*H1068</f>
        <v>57585000</v>
      </c>
      <c r="S1068" s="13" t="n">
        <f aca="false">Q1068-R1068</f>
        <v>5004417</v>
      </c>
      <c r="T1068" s="14" t="n">
        <f aca="false">IFERROR(S1068/Q1068,0)</f>
        <v>0.0799562807878527</v>
      </c>
      <c r="U1068" s="15" t="str">
        <f aca="false">TEXT(A1068,"yyyy-mm")</f>
        <v>2022-02</v>
      </c>
    </row>
    <row r="1069" customFormat="false" ht="15" hidden="false" customHeight="false" outlineLevel="0" collapsed="false">
      <c r="A1069" s="10" t="n">
        <v>44603</v>
      </c>
      <c r="B1069" s="11" t="s">
        <v>1201</v>
      </c>
      <c r="C1069" s="11" t="s">
        <v>137</v>
      </c>
      <c r="D1069" s="11" t="s">
        <v>138</v>
      </c>
      <c r="E1069" s="11" t="s">
        <v>139</v>
      </c>
      <c r="F1069" s="12" t="n">
        <v>5171827</v>
      </c>
      <c r="G1069" s="12" t="n">
        <v>4890000</v>
      </c>
      <c r="H1069" s="11" t="n">
        <v>16</v>
      </c>
      <c r="I1069" s="11" t="s">
        <v>69</v>
      </c>
      <c r="J1069" s="11" t="s">
        <v>80</v>
      </c>
      <c r="K1069" s="11" t="s">
        <v>81</v>
      </c>
      <c r="L1069" s="11" t="s">
        <v>82</v>
      </c>
      <c r="M1069" s="11" t="s">
        <v>73</v>
      </c>
      <c r="N1069" s="11" t="s">
        <v>133</v>
      </c>
      <c r="O1069" s="11" t="s">
        <v>60</v>
      </c>
      <c r="P1069" s="11" t="s">
        <v>76</v>
      </c>
      <c r="Q1069" s="13" t="n">
        <f aca="false">F1069*H1069</f>
        <v>82749232</v>
      </c>
      <c r="R1069" s="13" t="n">
        <f aca="false">G1069*H1069</f>
        <v>78240000</v>
      </c>
      <c r="S1069" s="13" t="n">
        <f aca="false">Q1069-R1069</f>
        <v>4509232</v>
      </c>
      <c r="T1069" s="14" t="n">
        <f aca="false">IFERROR(S1069/Q1069,0)</f>
        <v>0.0544927353525166</v>
      </c>
      <c r="U1069" s="15" t="str">
        <f aca="false">TEXT(A1069,"yyyy-mm")</f>
        <v>2022-02</v>
      </c>
    </row>
    <row r="1070" customFormat="false" ht="15" hidden="false" customHeight="false" outlineLevel="0" collapsed="false">
      <c r="A1070" s="10" t="n">
        <v>44603</v>
      </c>
      <c r="B1070" s="11" t="s">
        <v>1202</v>
      </c>
      <c r="C1070" s="11" t="s">
        <v>141</v>
      </c>
      <c r="D1070" s="11" t="s">
        <v>138</v>
      </c>
      <c r="E1070" s="11" t="s">
        <v>142</v>
      </c>
      <c r="F1070" s="12" t="n">
        <v>2805124</v>
      </c>
      <c r="G1070" s="12" t="n">
        <v>2178000</v>
      </c>
      <c r="H1070" s="11" t="n">
        <v>28</v>
      </c>
      <c r="I1070" s="11" t="s">
        <v>69</v>
      </c>
      <c r="J1070" s="11" t="s">
        <v>112</v>
      </c>
      <c r="K1070" s="11" t="s">
        <v>113</v>
      </c>
      <c r="L1070" s="11" t="s">
        <v>82</v>
      </c>
      <c r="M1070" s="11" t="s">
        <v>157</v>
      </c>
      <c r="N1070" s="11" t="s">
        <v>133</v>
      </c>
      <c r="O1070" s="11" t="s">
        <v>60</v>
      </c>
      <c r="P1070" s="11" t="s">
        <v>76</v>
      </c>
      <c r="Q1070" s="13" t="n">
        <f aca="false">F1070*H1070</f>
        <v>78543472</v>
      </c>
      <c r="R1070" s="13" t="n">
        <f aca="false">G1070*H1070</f>
        <v>60984000</v>
      </c>
      <c r="S1070" s="13" t="n">
        <f aca="false">Q1070-R1070</f>
        <v>17559472</v>
      </c>
      <c r="T1070" s="14" t="n">
        <f aca="false">IFERROR(S1070/Q1070,0)</f>
        <v>0.22356373550688</v>
      </c>
      <c r="U1070" s="15" t="str">
        <f aca="false">TEXT(A1070,"yyyy-mm")</f>
        <v>2022-02</v>
      </c>
    </row>
    <row r="1071" customFormat="false" ht="15" hidden="false" customHeight="false" outlineLevel="0" collapsed="false">
      <c r="A1071" s="10" t="n">
        <v>44603</v>
      </c>
      <c r="B1071" s="11" t="s">
        <v>1203</v>
      </c>
      <c r="C1071" s="11" t="s">
        <v>146</v>
      </c>
      <c r="D1071" s="11" t="s">
        <v>138</v>
      </c>
      <c r="E1071" s="11" t="s">
        <v>139</v>
      </c>
      <c r="F1071" s="12" t="n">
        <v>2728100</v>
      </c>
      <c r="G1071" s="12" t="n">
        <v>2321000</v>
      </c>
      <c r="H1071" s="11" t="n">
        <v>20</v>
      </c>
      <c r="I1071" s="11" t="s">
        <v>69</v>
      </c>
      <c r="J1071" s="11" t="s">
        <v>80</v>
      </c>
      <c r="K1071" s="11" t="s">
        <v>81</v>
      </c>
      <c r="L1071" s="11" t="s">
        <v>82</v>
      </c>
      <c r="M1071" s="11" t="s">
        <v>73</v>
      </c>
      <c r="N1071" s="11" t="s">
        <v>123</v>
      </c>
      <c r="O1071" s="11" t="s">
        <v>60</v>
      </c>
      <c r="P1071" s="11" t="s">
        <v>106</v>
      </c>
      <c r="Q1071" s="13" t="n">
        <f aca="false">F1071*H1071</f>
        <v>54562000</v>
      </c>
      <c r="R1071" s="13" t="n">
        <f aca="false">G1071*H1071</f>
        <v>46420000</v>
      </c>
      <c r="S1071" s="13" t="n">
        <f aca="false">Q1071-R1071</f>
        <v>8142000</v>
      </c>
      <c r="T1071" s="14" t="n">
        <f aca="false">IFERROR(S1071/Q1071,0)</f>
        <v>0.149224735163667</v>
      </c>
      <c r="U1071" s="15" t="str">
        <f aca="false">TEXT(A1071,"yyyy-mm")</f>
        <v>2022-02</v>
      </c>
    </row>
    <row r="1072" customFormat="false" ht="15" hidden="false" customHeight="false" outlineLevel="0" collapsed="false">
      <c r="A1072" s="10" t="n">
        <v>44603</v>
      </c>
      <c r="B1072" s="11" t="s">
        <v>1204</v>
      </c>
      <c r="C1072" s="11" t="s">
        <v>148</v>
      </c>
      <c r="D1072" s="11" t="s">
        <v>138</v>
      </c>
      <c r="E1072" s="11" t="s">
        <v>122</v>
      </c>
      <c r="F1072" s="12" t="n">
        <v>4941716</v>
      </c>
      <c r="G1072" s="12" t="n">
        <v>4456000</v>
      </c>
      <c r="H1072" s="11" t="n">
        <v>18</v>
      </c>
      <c r="I1072" s="11" t="s">
        <v>69</v>
      </c>
      <c r="J1072" s="11" t="s">
        <v>80</v>
      </c>
      <c r="K1072" s="11" t="s">
        <v>81</v>
      </c>
      <c r="L1072" s="11" t="s">
        <v>82</v>
      </c>
      <c r="M1072" s="11" t="s">
        <v>73</v>
      </c>
      <c r="N1072" s="11" t="s">
        <v>74</v>
      </c>
      <c r="O1072" s="11" t="s">
        <v>75</v>
      </c>
      <c r="P1072" s="11" t="s">
        <v>76</v>
      </c>
      <c r="Q1072" s="13" t="n">
        <f aca="false">F1072*H1072</f>
        <v>88950888</v>
      </c>
      <c r="R1072" s="13" t="n">
        <f aca="false">G1072*H1072</f>
        <v>80208000</v>
      </c>
      <c r="S1072" s="13" t="n">
        <f aca="false">Q1072-R1072</f>
        <v>8742888</v>
      </c>
      <c r="T1072" s="14" t="n">
        <f aca="false">IFERROR(S1072/Q1072,0)</f>
        <v>0.0982889344511097</v>
      </c>
      <c r="U1072" s="15" t="str">
        <f aca="false">TEXT(A1072,"yyyy-mm")</f>
        <v>2022-02</v>
      </c>
    </row>
    <row r="1073" customFormat="false" ht="15" hidden="false" customHeight="false" outlineLevel="0" collapsed="false">
      <c r="A1073" s="10" t="n">
        <v>44604</v>
      </c>
      <c r="B1073" s="11" t="s">
        <v>1205</v>
      </c>
      <c r="C1073" s="11" t="s">
        <v>66</v>
      </c>
      <c r="D1073" s="11" t="s">
        <v>67</v>
      </c>
      <c r="E1073" s="11" t="s">
        <v>68</v>
      </c>
      <c r="F1073" s="12" t="n">
        <v>3048952</v>
      </c>
      <c r="G1073" s="12" t="n">
        <v>2560000</v>
      </c>
      <c r="H1073" s="11" t="n">
        <v>7</v>
      </c>
      <c r="I1073" s="11" t="s">
        <v>69</v>
      </c>
      <c r="J1073" s="11" t="s">
        <v>70</v>
      </c>
      <c r="K1073" s="11" t="s">
        <v>71</v>
      </c>
      <c r="L1073" s="11" t="s">
        <v>72</v>
      </c>
      <c r="M1073" s="11" t="s">
        <v>73</v>
      </c>
      <c r="N1073" s="11" t="s">
        <v>99</v>
      </c>
      <c r="O1073" s="11" t="s">
        <v>100</v>
      </c>
      <c r="P1073" s="11" t="s">
        <v>101</v>
      </c>
      <c r="Q1073" s="13" t="n">
        <f aca="false">F1073*H1073</f>
        <v>21342664</v>
      </c>
      <c r="R1073" s="13" t="n">
        <f aca="false">G1073*H1073</f>
        <v>17920000</v>
      </c>
      <c r="S1073" s="13" t="n">
        <f aca="false">Q1073-R1073</f>
        <v>3422664</v>
      </c>
      <c r="T1073" s="14" t="n">
        <f aca="false">IFERROR(S1073/Q1073,0)</f>
        <v>0.160367234380863</v>
      </c>
      <c r="U1073" s="15" t="str">
        <f aca="false">TEXT(A1073,"yyyy-mm")</f>
        <v>2022-02</v>
      </c>
    </row>
    <row r="1074" customFormat="false" ht="15" hidden="false" customHeight="false" outlineLevel="0" collapsed="false">
      <c r="A1074" s="10" t="n">
        <v>44604</v>
      </c>
      <c r="B1074" s="11" t="s">
        <v>1206</v>
      </c>
      <c r="C1074" s="11" t="s">
        <v>78</v>
      </c>
      <c r="D1074" s="11" t="s">
        <v>67</v>
      </c>
      <c r="E1074" s="11" t="s">
        <v>79</v>
      </c>
      <c r="F1074" s="12" t="n">
        <v>1870000</v>
      </c>
      <c r="G1074" s="12" t="n">
        <v>1650000</v>
      </c>
      <c r="H1074" s="11" t="n">
        <v>2</v>
      </c>
      <c r="I1074" s="11" t="s">
        <v>86</v>
      </c>
      <c r="J1074" s="11" t="s">
        <v>87</v>
      </c>
      <c r="K1074" s="11" t="s">
        <v>88</v>
      </c>
      <c r="L1074" s="11" t="s">
        <v>89</v>
      </c>
      <c r="M1074" s="11" t="s">
        <v>90</v>
      </c>
      <c r="N1074" s="11" t="s">
        <v>109</v>
      </c>
      <c r="O1074" s="11" t="s">
        <v>75</v>
      </c>
      <c r="P1074" s="11" t="s">
        <v>95</v>
      </c>
      <c r="Q1074" s="13" t="n">
        <f aca="false">F1074*H1074</f>
        <v>3740000</v>
      </c>
      <c r="R1074" s="13" t="n">
        <f aca="false">G1074*H1074</f>
        <v>3300000</v>
      </c>
      <c r="S1074" s="13" t="n">
        <f aca="false">Q1074-R1074</f>
        <v>440000</v>
      </c>
      <c r="T1074" s="14" t="n">
        <f aca="false">IFERROR(S1074/Q1074,0)</f>
        <v>0.117647058823529</v>
      </c>
      <c r="U1074" s="15" t="str">
        <f aca="false">TEXT(A1074,"yyyy-mm")</f>
        <v>2022-02</v>
      </c>
    </row>
    <row r="1075" customFormat="false" ht="15" hidden="false" customHeight="false" outlineLevel="0" collapsed="false">
      <c r="A1075" s="10" t="n">
        <v>44604</v>
      </c>
      <c r="B1075" s="11" t="s">
        <v>1207</v>
      </c>
      <c r="C1075" s="11" t="s">
        <v>84</v>
      </c>
      <c r="D1075" s="11" t="s">
        <v>67</v>
      </c>
      <c r="E1075" s="11" t="s">
        <v>85</v>
      </c>
      <c r="F1075" s="12" t="n">
        <v>2600000</v>
      </c>
      <c r="G1075" s="12" t="n">
        <v>2300000</v>
      </c>
      <c r="H1075" s="11" t="n">
        <v>17</v>
      </c>
      <c r="I1075" s="11" t="s">
        <v>69</v>
      </c>
      <c r="J1075" s="11" t="s">
        <v>80</v>
      </c>
      <c r="K1075" s="11" t="s">
        <v>81</v>
      </c>
      <c r="L1075" s="11" t="s">
        <v>82</v>
      </c>
      <c r="M1075" s="11" t="s">
        <v>73</v>
      </c>
      <c r="N1075" s="11" t="s">
        <v>93</v>
      </c>
      <c r="O1075" s="11" t="s">
        <v>94</v>
      </c>
      <c r="P1075" s="11" t="s">
        <v>95</v>
      </c>
      <c r="Q1075" s="13" t="n">
        <f aca="false">F1075*H1075</f>
        <v>44200000</v>
      </c>
      <c r="R1075" s="13" t="n">
        <f aca="false">G1075*H1075</f>
        <v>39100000</v>
      </c>
      <c r="S1075" s="13" t="n">
        <f aca="false">Q1075-R1075</f>
        <v>5100000</v>
      </c>
      <c r="T1075" s="14" t="n">
        <f aca="false">IFERROR(S1075/Q1075,0)</f>
        <v>0.115384615384615</v>
      </c>
      <c r="U1075" s="15" t="str">
        <f aca="false">TEXT(A1075,"yyyy-mm")</f>
        <v>2022-02</v>
      </c>
    </row>
    <row r="1076" customFormat="false" ht="15" hidden="false" customHeight="false" outlineLevel="0" collapsed="false">
      <c r="A1076" s="10" t="n">
        <v>44604</v>
      </c>
      <c r="B1076" s="11" t="s">
        <v>1208</v>
      </c>
      <c r="C1076" s="11" t="s">
        <v>92</v>
      </c>
      <c r="D1076" s="11" t="s">
        <v>67</v>
      </c>
      <c r="E1076" s="11" t="s">
        <v>79</v>
      </c>
      <c r="F1076" s="12" t="n">
        <v>3577480</v>
      </c>
      <c r="G1076" s="12" t="n">
        <v>3100000</v>
      </c>
      <c r="H1076" s="11" t="n">
        <v>27</v>
      </c>
      <c r="I1076" s="11" t="s">
        <v>86</v>
      </c>
      <c r="J1076" s="11" t="s">
        <v>87</v>
      </c>
      <c r="K1076" s="11" t="s">
        <v>88</v>
      </c>
      <c r="L1076" s="11" t="s">
        <v>89</v>
      </c>
      <c r="M1076" s="11" t="s">
        <v>90</v>
      </c>
      <c r="N1076" s="11" t="s">
        <v>74</v>
      </c>
      <c r="O1076" s="11" t="s">
        <v>75</v>
      </c>
      <c r="P1076" s="11" t="s">
        <v>76</v>
      </c>
      <c r="Q1076" s="13" t="n">
        <f aca="false">F1076*H1076</f>
        <v>96591960</v>
      </c>
      <c r="R1076" s="13" t="n">
        <f aca="false">G1076*H1076</f>
        <v>83700000</v>
      </c>
      <c r="S1076" s="13" t="n">
        <f aca="false">Q1076-R1076</f>
        <v>12891960</v>
      </c>
      <c r="T1076" s="14" t="n">
        <f aca="false">IFERROR(S1076/Q1076,0)</f>
        <v>0.133468251394837</v>
      </c>
      <c r="U1076" s="15" t="str">
        <f aca="false">TEXT(A1076,"yyyy-mm")</f>
        <v>2022-02</v>
      </c>
    </row>
    <row r="1077" customFormat="false" ht="15" hidden="false" customHeight="false" outlineLevel="0" collapsed="false">
      <c r="A1077" s="10" t="n">
        <v>44604</v>
      </c>
      <c r="B1077" s="11" t="s">
        <v>1209</v>
      </c>
      <c r="C1077" s="11" t="s">
        <v>97</v>
      </c>
      <c r="D1077" s="11" t="s">
        <v>67</v>
      </c>
      <c r="E1077" s="11" t="s">
        <v>98</v>
      </c>
      <c r="F1077" s="12" t="n">
        <v>4969724</v>
      </c>
      <c r="G1077" s="12" t="n">
        <v>4121560</v>
      </c>
      <c r="H1077" s="11" t="n">
        <v>8</v>
      </c>
      <c r="I1077" s="11" t="s">
        <v>69</v>
      </c>
      <c r="J1077" s="11" t="s">
        <v>112</v>
      </c>
      <c r="K1077" s="11" t="s">
        <v>113</v>
      </c>
      <c r="L1077" s="11" t="s">
        <v>82</v>
      </c>
      <c r="M1077" s="11" t="s">
        <v>157</v>
      </c>
      <c r="N1077" s="11" t="s">
        <v>123</v>
      </c>
      <c r="O1077" s="11" t="s">
        <v>60</v>
      </c>
      <c r="P1077" s="11" t="s">
        <v>106</v>
      </c>
      <c r="Q1077" s="13" t="n">
        <f aca="false">F1077*H1077</f>
        <v>39757792</v>
      </c>
      <c r="R1077" s="13" t="n">
        <f aca="false">G1077*H1077</f>
        <v>32972480</v>
      </c>
      <c r="S1077" s="13" t="n">
        <f aca="false">Q1077-R1077</f>
        <v>6785312</v>
      </c>
      <c r="T1077" s="14" t="n">
        <f aca="false">IFERROR(S1077/Q1077,0)</f>
        <v>0.170666218083741</v>
      </c>
      <c r="U1077" s="15" t="str">
        <f aca="false">TEXT(A1077,"yyyy-mm")</f>
        <v>2022-02</v>
      </c>
    </row>
    <row r="1078" customFormat="false" ht="15" hidden="false" customHeight="false" outlineLevel="0" collapsed="false">
      <c r="A1078" s="10" t="n">
        <v>44604</v>
      </c>
      <c r="B1078" s="11" t="s">
        <v>1210</v>
      </c>
      <c r="C1078" s="11" t="s">
        <v>103</v>
      </c>
      <c r="D1078" s="11" t="s">
        <v>67</v>
      </c>
      <c r="E1078" s="11" t="s">
        <v>68</v>
      </c>
      <c r="F1078" s="12" t="n">
        <v>3319925</v>
      </c>
      <c r="G1078" s="12" t="n">
        <v>2800000</v>
      </c>
      <c r="H1078" s="11" t="n">
        <v>7</v>
      </c>
      <c r="I1078" s="11" t="s">
        <v>69</v>
      </c>
      <c r="J1078" s="11" t="s">
        <v>70</v>
      </c>
      <c r="K1078" s="11" t="s">
        <v>71</v>
      </c>
      <c r="L1078" s="11" t="s">
        <v>72</v>
      </c>
      <c r="M1078" s="11" t="s">
        <v>73</v>
      </c>
      <c r="N1078" s="11" t="s">
        <v>143</v>
      </c>
      <c r="O1078" s="11" t="s">
        <v>144</v>
      </c>
      <c r="P1078" s="11" t="s">
        <v>101</v>
      </c>
      <c r="Q1078" s="13" t="n">
        <f aca="false">F1078*H1078</f>
        <v>23239475</v>
      </c>
      <c r="R1078" s="13" t="n">
        <f aca="false">G1078*H1078</f>
        <v>19600000</v>
      </c>
      <c r="S1078" s="13" t="n">
        <f aca="false">Q1078-R1078</f>
        <v>3639475</v>
      </c>
      <c r="T1078" s="14" t="n">
        <f aca="false">IFERROR(S1078/Q1078,0)</f>
        <v>0.15660745348163</v>
      </c>
      <c r="U1078" s="15" t="str">
        <f aca="false">TEXT(A1078,"yyyy-mm")</f>
        <v>2022-02</v>
      </c>
    </row>
    <row r="1079" customFormat="false" ht="15" hidden="false" customHeight="false" outlineLevel="0" collapsed="false">
      <c r="A1079" s="10" t="n">
        <v>44605</v>
      </c>
      <c r="B1079" s="11" t="s">
        <v>1211</v>
      </c>
      <c r="C1079" s="11" t="s">
        <v>108</v>
      </c>
      <c r="D1079" s="11" t="s">
        <v>67</v>
      </c>
      <c r="E1079" s="11" t="s">
        <v>68</v>
      </c>
      <c r="F1079" s="12" t="n">
        <v>4757880</v>
      </c>
      <c r="G1079" s="12" t="n">
        <v>3450000</v>
      </c>
      <c r="H1079" s="11" t="n">
        <v>2</v>
      </c>
      <c r="I1079" s="11" t="s">
        <v>69</v>
      </c>
      <c r="J1079" s="11" t="s">
        <v>112</v>
      </c>
      <c r="K1079" s="11" t="s">
        <v>113</v>
      </c>
      <c r="L1079" s="11" t="s">
        <v>82</v>
      </c>
      <c r="M1079" s="11" t="s">
        <v>157</v>
      </c>
      <c r="N1079" s="11" t="s">
        <v>123</v>
      </c>
      <c r="O1079" s="11" t="s">
        <v>60</v>
      </c>
      <c r="P1079" s="11" t="s">
        <v>106</v>
      </c>
      <c r="Q1079" s="13" t="n">
        <f aca="false">F1079*H1079</f>
        <v>9515760</v>
      </c>
      <c r="R1079" s="13" t="n">
        <f aca="false">G1079*H1079</f>
        <v>6900000</v>
      </c>
      <c r="S1079" s="13" t="n">
        <f aca="false">Q1079-R1079</f>
        <v>2615760</v>
      </c>
      <c r="T1079" s="14" t="n">
        <f aca="false">IFERROR(S1079/Q1079,0)</f>
        <v>0.274887134606169</v>
      </c>
      <c r="U1079" s="15" t="str">
        <f aca="false">TEXT(A1079,"yyyy-mm")</f>
        <v>2022-02</v>
      </c>
    </row>
    <row r="1080" customFormat="false" ht="15" hidden="false" customHeight="false" outlineLevel="0" collapsed="false">
      <c r="A1080" s="10" t="n">
        <v>44605</v>
      </c>
      <c r="B1080" s="11" t="s">
        <v>1212</v>
      </c>
      <c r="C1080" s="11" t="s">
        <v>111</v>
      </c>
      <c r="D1080" s="11" t="s">
        <v>67</v>
      </c>
      <c r="E1080" s="11" t="s">
        <v>79</v>
      </c>
      <c r="F1080" s="12" t="n">
        <v>3545808</v>
      </c>
      <c r="G1080" s="12" t="n">
        <v>3350000</v>
      </c>
      <c r="H1080" s="11" t="n">
        <v>6</v>
      </c>
      <c r="I1080" s="11" t="s">
        <v>69</v>
      </c>
      <c r="J1080" s="11" t="s">
        <v>70</v>
      </c>
      <c r="K1080" s="11" t="s">
        <v>71</v>
      </c>
      <c r="L1080" s="11" t="s">
        <v>72</v>
      </c>
      <c r="M1080" s="11" t="s">
        <v>73</v>
      </c>
      <c r="N1080" s="11" t="s">
        <v>74</v>
      </c>
      <c r="O1080" s="11" t="s">
        <v>75</v>
      </c>
      <c r="P1080" s="11" t="s">
        <v>76</v>
      </c>
      <c r="Q1080" s="13" t="n">
        <f aca="false">F1080*H1080</f>
        <v>21274848</v>
      </c>
      <c r="R1080" s="13" t="n">
        <f aca="false">G1080*H1080</f>
        <v>20100000</v>
      </c>
      <c r="S1080" s="13" t="n">
        <f aca="false">Q1080-R1080</f>
        <v>1174848</v>
      </c>
      <c r="T1080" s="14" t="n">
        <f aca="false">IFERROR(S1080/Q1080,0)</f>
        <v>0.0552223921881839</v>
      </c>
      <c r="U1080" s="15" t="str">
        <f aca="false">TEXT(A1080,"yyyy-mm")</f>
        <v>2022-02</v>
      </c>
    </row>
    <row r="1081" customFormat="false" ht="15" hidden="false" customHeight="false" outlineLevel="0" collapsed="false">
      <c r="A1081" s="10" t="n">
        <v>44605</v>
      </c>
      <c r="B1081" s="11" t="s">
        <v>1213</v>
      </c>
      <c r="C1081" s="11" t="s">
        <v>115</v>
      </c>
      <c r="D1081" s="11" t="s">
        <v>67</v>
      </c>
      <c r="E1081" s="11" t="s">
        <v>98</v>
      </c>
      <c r="F1081" s="12" t="n">
        <v>4200743</v>
      </c>
      <c r="G1081" s="12" t="n">
        <v>4101000</v>
      </c>
      <c r="H1081" s="11" t="n">
        <v>10</v>
      </c>
      <c r="I1081" s="11" t="s">
        <v>69</v>
      </c>
      <c r="J1081" s="11" t="s">
        <v>112</v>
      </c>
      <c r="K1081" s="11" t="s">
        <v>113</v>
      </c>
      <c r="L1081" s="11" t="s">
        <v>82</v>
      </c>
      <c r="M1081" s="11" t="s">
        <v>157</v>
      </c>
      <c r="N1081" s="11" t="s">
        <v>93</v>
      </c>
      <c r="O1081" s="11" t="s">
        <v>94</v>
      </c>
      <c r="P1081" s="11" t="s">
        <v>95</v>
      </c>
      <c r="Q1081" s="13" t="n">
        <f aca="false">F1081*H1081</f>
        <v>42007430</v>
      </c>
      <c r="R1081" s="13" t="n">
        <f aca="false">G1081*H1081</f>
        <v>41010000</v>
      </c>
      <c r="S1081" s="13" t="n">
        <f aca="false">Q1081-R1081</f>
        <v>997430</v>
      </c>
      <c r="T1081" s="14" t="n">
        <f aca="false">IFERROR(S1081/Q1081,0)</f>
        <v>0.023744132883159</v>
      </c>
      <c r="U1081" s="15" t="str">
        <f aca="false">TEXT(A1081,"yyyy-mm")</f>
        <v>2022-02</v>
      </c>
    </row>
    <row r="1082" customFormat="false" ht="15" hidden="false" customHeight="false" outlineLevel="0" collapsed="false">
      <c r="A1082" s="10" t="n">
        <v>44605</v>
      </c>
      <c r="B1082" s="11" t="s">
        <v>1214</v>
      </c>
      <c r="C1082" s="11" t="s">
        <v>117</v>
      </c>
      <c r="D1082" s="11" t="s">
        <v>118</v>
      </c>
      <c r="E1082" s="11" t="s">
        <v>119</v>
      </c>
      <c r="F1082" s="12" t="n">
        <v>8220549</v>
      </c>
      <c r="G1082" s="12" t="n">
        <v>6500000</v>
      </c>
      <c r="H1082" s="11" t="n">
        <v>14</v>
      </c>
      <c r="I1082" s="11" t="s">
        <v>69</v>
      </c>
      <c r="J1082" s="11" t="s">
        <v>80</v>
      </c>
      <c r="K1082" s="11" t="s">
        <v>81</v>
      </c>
      <c r="L1082" s="11" t="s">
        <v>82</v>
      </c>
      <c r="M1082" s="11" t="s">
        <v>73</v>
      </c>
      <c r="N1082" s="11" t="s">
        <v>173</v>
      </c>
      <c r="O1082" s="11" t="s">
        <v>174</v>
      </c>
      <c r="P1082" s="11" t="s">
        <v>95</v>
      </c>
      <c r="Q1082" s="13" t="n">
        <f aca="false">F1082*H1082</f>
        <v>115087686</v>
      </c>
      <c r="R1082" s="13" t="n">
        <f aca="false">G1082*H1082</f>
        <v>91000000</v>
      </c>
      <c r="S1082" s="13" t="n">
        <f aca="false">Q1082-R1082</f>
        <v>24087686</v>
      </c>
      <c r="T1082" s="14" t="n">
        <f aca="false">IFERROR(S1082/Q1082,0)</f>
        <v>0.209298551714733</v>
      </c>
      <c r="U1082" s="15" t="str">
        <f aca="false">TEXT(A1082,"yyyy-mm")</f>
        <v>2022-02</v>
      </c>
    </row>
    <row r="1083" customFormat="false" ht="15" hidden="false" customHeight="false" outlineLevel="0" collapsed="false">
      <c r="A1083" s="10" t="n">
        <v>44606</v>
      </c>
      <c r="B1083" s="11" t="s">
        <v>1215</v>
      </c>
      <c r="C1083" s="11" t="s">
        <v>121</v>
      </c>
      <c r="D1083" s="11" t="s">
        <v>118</v>
      </c>
      <c r="E1083" s="11" t="s">
        <v>122</v>
      </c>
      <c r="F1083" s="12" t="n">
        <v>7687274</v>
      </c>
      <c r="G1083" s="12" t="n">
        <v>6500000</v>
      </c>
      <c r="H1083" s="11" t="n">
        <v>1</v>
      </c>
      <c r="I1083" s="11" t="s">
        <v>69</v>
      </c>
      <c r="J1083" s="11" t="s">
        <v>112</v>
      </c>
      <c r="K1083" s="11" t="s">
        <v>113</v>
      </c>
      <c r="L1083" s="11" t="s">
        <v>82</v>
      </c>
      <c r="M1083" s="11" t="s">
        <v>157</v>
      </c>
      <c r="N1083" s="11" t="s">
        <v>143</v>
      </c>
      <c r="O1083" s="11" t="s">
        <v>144</v>
      </c>
      <c r="P1083" s="11" t="s">
        <v>101</v>
      </c>
      <c r="Q1083" s="13" t="n">
        <f aca="false">F1083*H1083</f>
        <v>7687274</v>
      </c>
      <c r="R1083" s="13" t="n">
        <f aca="false">G1083*H1083</f>
        <v>6500000</v>
      </c>
      <c r="S1083" s="13" t="n">
        <f aca="false">Q1083-R1083</f>
        <v>1187274</v>
      </c>
      <c r="T1083" s="14" t="n">
        <f aca="false">IFERROR(S1083/Q1083,0)</f>
        <v>0.154446686822923</v>
      </c>
      <c r="U1083" s="15" t="str">
        <f aca="false">TEXT(A1083,"yyyy-mm")</f>
        <v>2022-02</v>
      </c>
    </row>
    <row r="1084" customFormat="false" ht="15" hidden="false" customHeight="false" outlineLevel="0" collapsed="false">
      <c r="A1084" s="10" t="n">
        <v>44606</v>
      </c>
      <c r="B1084" s="11" t="s">
        <v>1216</v>
      </c>
      <c r="C1084" s="11" t="s">
        <v>125</v>
      </c>
      <c r="D1084" s="11" t="s">
        <v>118</v>
      </c>
      <c r="E1084" s="11" t="s">
        <v>126</v>
      </c>
      <c r="F1084" s="12" t="n">
        <v>5684211</v>
      </c>
      <c r="G1084" s="12" t="n">
        <v>4300000</v>
      </c>
      <c r="H1084" s="11" t="n">
        <v>4</v>
      </c>
      <c r="I1084" s="11" t="s">
        <v>69</v>
      </c>
      <c r="J1084" s="11" t="s">
        <v>70</v>
      </c>
      <c r="K1084" s="11" t="s">
        <v>71</v>
      </c>
      <c r="L1084" s="11" t="s">
        <v>72</v>
      </c>
      <c r="M1084" s="11" t="s">
        <v>73</v>
      </c>
      <c r="N1084" s="11" t="s">
        <v>74</v>
      </c>
      <c r="O1084" s="11" t="s">
        <v>75</v>
      </c>
      <c r="P1084" s="11" t="s">
        <v>76</v>
      </c>
      <c r="Q1084" s="13" t="n">
        <f aca="false">F1084*H1084</f>
        <v>22736844</v>
      </c>
      <c r="R1084" s="13" t="n">
        <f aca="false">G1084*H1084</f>
        <v>17200000</v>
      </c>
      <c r="S1084" s="13" t="n">
        <f aca="false">Q1084-R1084</f>
        <v>5536844</v>
      </c>
      <c r="T1084" s="14" t="n">
        <f aca="false">IFERROR(S1084/Q1084,0)</f>
        <v>0.243518581558637</v>
      </c>
      <c r="U1084" s="15" t="str">
        <f aca="false">TEXT(A1084,"yyyy-mm")</f>
        <v>2022-02</v>
      </c>
    </row>
    <row r="1085" customFormat="false" ht="15" hidden="false" customHeight="false" outlineLevel="0" collapsed="false">
      <c r="A1085" s="10" t="n">
        <v>44606</v>
      </c>
      <c r="B1085" s="11" t="s">
        <v>1217</v>
      </c>
      <c r="C1085" s="11" t="s">
        <v>128</v>
      </c>
      <c r="D1085" s="11" t="s">
        <v>118</v>
      </c>
      <c r="E1085" s="11" t="s">
        <v>119</v>
      </c>
      <c r="F1085" s="12" t="n">
        <v>3370302</v>
      </c>
      <c r="G1085" s="12" t="n">
        <v>2100000</v>
      </c>
      <c r="H1085" s="11" t="n">
        <v>29</v>
      </c>
      <c r="I1085" s="11" t="s">
        <v>69</v>
      </c>
      <c r="J1085" s="11" t="s">
        <v>80</v>
      </c>
      <c r="K1085" s="11" t="s">
        <v>81</v>
      </c>
      <c r="L1085" s="11" t="s">
        <v>82</v>
      </c>
      <c r="M1085" s="11" t="s">
        <v>73</v>
      </c>
      <c r="N1085" s="11" t="s">
        <v>74</v>
      </c>
      <c r="O1085" s="11" t="s">
        <v>75</v>
      </c>
      <c r="P1085" s="11" t="s">
        <v>76</v>
      </c>
      <c r="Q1085" s="13" t="n">
        <f aca="false">F1085*H1085</f>
        <v>97738758</v>
      </c>
      <c r="R1085" s="13" t="n">
        <f aca="false">G1085*H1085</f>
        <v>60900000</v>
      </c>
      <c r="S1085" s="13" t="n">
        <f aca="false">Q1085-R1085</f>
        <v>36838758</v>
      </c>
      <c r="T1085" s="14" t="n">
        <f aca="false">IFERROR(S1085/Q1085,0)</f>
        <v>0.37691043710623</v>
      </c>
      <c r="U1085" s="15" t="str">
        <f aca="false">TEXT(A1085,"yyyy-mm")</f>
        <v>2022-02</v>
      </c>
    </row>
    <row r="1086" customFormat="false" ht="15" hidden="false" customHeight="false" outlineLevel="0" collapsed="false">
      <c r="A1086" s="10" t="n">
        <v>44607</v>
      </c>
      <c r="B1086" s="11" t="s">
        <v>1218</v>
      </c>
      <c r="C1086" s="11" t="s">
        <v>130</v>
      </c>
      <c r="D1086" s="11" t="s">
        <v>118</v>
      </c>
      <c r="E1086" s="11" t="s">
        <v>68</v>
      </c>
      <c r="F1086" s="12" t="n">
        <v>2852897</v>
      </c>
      <c r="G1086" s="12" t="n">
        <v>2450000</v>
      </c>
      <c r="H1086" s="11" t="n">
        <v>7</v>
      </c>
      <c r="I1086" s="11" t="s">
        <v>86</v>
      </c>
      <c r="J1086" s="11" t="s">
        <v>87</v>
      </c>
      <c r="K1086" s="11" t="s">
        <v>88</v>
      </c>
      <c r="L1086" s="11" t="s">
        <v>89</v>
      </c>
      <c r="M1086" s="11" t="s">
        <v>90</v>
      </c>
      <c r="N1086" s="11" t="s">
        <v>109</v>
      </c>
      <c r="O1086" s="11" t="s">
        <v>75</v>
      </c>
      <c r="P1086" s="11" t="s">
        <v>95</v>
      </c>
      <c r="Q1086" s="13" t="n">
        <f aca="false">F1086*H1086</f>
        <v>19970279</v>
      </c>
      <c r="R1086" s="13" t="n">
        <f aca="false">G1086*H1086</f>
        <v>17150000</v>
      </c>
      <c r="S1086" s="13" t="n">
        <f aca="false">Q1086-R1086</f>
        <v>2820279</v>
      </c>
      <c r="T1086" s="14" t="n">
        <f aca="false">IFERROR(S1086/Q1086,0)</f>
        <v>0.141223815651249</v>
      </c>
      <c r="U1086" s="15" t="str">
        <f aca="false">TEXT(A1086,"yyyy-mm")</f>
        <v>2022-02</v>
      </c>
    </row>
    <row r="1087" customFormat="false" ht="15" hidden="false" customHeight="false" outlineLevel="0" collapsed="false">
      <c r="A1087" s="10" t="n">
        <v>44607</v>
      </c>
      <c r="B1087" s="11" t="s">
        <v>1219</v>
      </c>
      <c r="C1087" s="11" t="s">
        <v>132</v>
      </c>
      <c r="D1087" s="11" t="s">
        <v>118</v>
      </c>
      <c r="E1087" s="11" t="s">
        <v>68</v>
      </c>
      <c r="F1087" s="12" t="n">
        <v>4803603</v>
      </c>
      <c r="G1087" s="12" t="n">
        <v>4121000</v>
      </c>
      <c r="H1087" s="11" t="n">
        <v>8</v>
      </c>
      <c r="I1087" s="11" t="s">
        <v>69</v>
      </c>
      <c r="J1087" s="11" t="s">
        <v>112</v>
      </c>
      <c r="K1087" s="11" t="s">
        <v>113</v>
      </c>
      <c r="L1087" s="11" t="s">
        <v>82</v>
      </c>
      <c r="M1087" s="11" t="s">
        <v>157</v>
      </c>
      <c r="N1087" s="11" t="s">
        <v>173</v>
      </c>
      <c r="O1087" s="11" t="s">
        <v>174</v>
      </c>
      <c r="P1087" s="11" t="s">
        <v>95</v>
      </c>
      <c r="Q1087" s="13" t="n">
        <f aca="false">F1087*H1087</f>
        <v>38428824</v>
      </c>
      <c r="R1087" s="13" t="n">
        <f aca="false">G1087*H1087</f>
        <v>32968000</v>
      </c>
      <c r="S1087" s="13" t="n">
        <f aca="false">Q1087-R1087</f>
        <v>5460824</v>
      </c>
      <c r="T1087" s="14" t="n">
        <f aca="false">IFERROR(S1087/Q1087,0)</f>
        <v>0.142102292799801</v>
      </c>
      <c r="U1087" s="15" t="str">
        <f aca="false">TEXT(A1087,"yyyy-mm")</f>
        <v>2022-02</v>
      </c>
    </row>
    <row r="1088" customFormat="false" ht="15" hidden="false" customHeight="false" outlineLevel="0" collapsed="false">
      <c r="A1088" s="10" t="n">
        <v>44608</v>
      </c>
      <c r="B1088" s="11" t="s">
        <v>1220</v>
      </c>
      <c r="C1088" s="11" t="s">
        <v>135</v>
      </c>
      <c r="D1088" s="11" t="s">
        <v>118</v>
      </c>
      <c r="E1088" s="11" t="s">
        <v>68</v>
      </c>
      <c r="F1088" s="12" t="n">
        <v>5689947</v>
      </c>
      <c r="G1088" s="12" t="n">
        <v>5235000</v>
      </c>
      <c r="H1088" s="11" t="n">
        <v>24</v>
      </c>
      <c r="I1088" s="11" t="s">
        <v>69</v>
      </c>
      <c r="J1088" s="11" t="s">
        <v>80</v>
      </c>
      <c r="K1088" s="11" t="s">
        <v>81</v>
      </c>
      <c r="L1088" s="11" t="s">
        <v>82</v>
      </c>
      <c r="M1088" s="11" t="s">
        <v>73</v>
      </c>
      <c r="N1088" s="11" t="s">
        <v>133</v>
      </c>
      <c r="O1088" s="11" t="s">
        <v>60</v>
      </c>
      <c r="P1088" s="11" t="s">
        <v>76</v>
      </c>
      <c r="Q1088" s="13" t="n">
        <f aca="false">F1088*H1088</f>
        <v>136558728</v>
      </c>
      <c r="R1088" s="13" t="n">
        <f aca="false">G1088*H1088</f>
        <v>125640000</v>
      </c>
      <c r="S1088" s="13" t="n">
        <f aca="false">Q1088-R1088</f>
        <v>10918728</v>
      </c>
      <c r="T1088" s="14" t="n">
        <f aca="false">IFERROR(S1088/Q1088,0)</f>
        <v>0.0799562807878527</v>
      </c>
      <c r="U1088" s="15" t="str">
        <f aca="false">TEXT(A1088,"yyyy-mm")</f>
        <v>2022-02</v>
      </c>
    </row>
    <row r="1089" customFormat="false" ht="15" hidden="false" customHeight="false" outlineLevel="0" collapsed="false">
      <c r="A1089" s="10" t="n">
        <v>44609</v>
      </c>
      <c r="B1089" s="11" t="s">
        <v>1221</v>
      </c>
      <c r="C1089" s="11" t="s">
        <v>137</v>
      </c>
      <c r="D1089" s="11" t="s">
        <v>138</v>
      </c>
      <c r="E1089" s="11" t="s">
        <v>139</v>
      </c>
      <c r="F1089" s="12" t="n">
        <v>5171827</v>
      </c>
      <c r="G1089" s="12" t="n">
        <v>4890000</v>
      </c>
      <c r="H1089" s="11" t="n">
        <v>16</v>
      </c>
      <c r="I1089" s="11" t="s">
        <v>69</v>
      </c>
      <c r="J1089" s="11" t="s">
        <v>80</v>
      </c>
      <c r="K1089" s="11" t="s">
        <v>81</v>
      </c>
      <c r="L1089" s="11" t="s">
        <v>82</v>
      </c>
      <c r="M1089" s="11" t="s">
        <v>73</v>
      </c>
      <c r="N1089" s="11" t="s">
        <v>123</v>
      </c>
      <c r="O1089" s="11" t="s">
        <v>60</v>
      </c>
      <c r="P1089" s="11" t="s">
        <v>106</v>
      </c>
      <c r="Q1089" s="13" t="n">
        <f aca="false">F1089*H1089</f>
        <v>82749232</v>
      </c>
      <c r="R1089" s="13" t="n">
        <f aca="false">G1089*H1089</f>
        <v>78240000</v>
      </c>
      <c r="S1089" s="13" t="n">
        <f aca="false">Q1089-R1089</f>
        <v>4509232</v>
      </c>
      <c r="T1089" s="14" t="n">
        <f aca="false">IFERROR(S1089/Q1089,0)</f>
        <v>0.0544927353525166</v>
      </c>
      <c r="U1089" s="15" t="str">
        <f aca="false">TEXT(A1089,"yyyy-mm")</f>
        <v>2022-02</v>
      </c>
    </row>
    <row r="1090" customFormat="false" ht="15" hidden="false" customHeight="false" outlineLevel="0" collapsed="false">
      <c r="A1090" s="10" t="n">
        <v>44611</v>
      </c>
      <c r="B1090" s="11" t="s">
        <v>1222</v>
      </c>
      <c r="C1090" s="11" t="s">
        <v>141</v>
      </c>
      <c r="D1090" s="11" t="s">
        <v>138</v>
      </c>
      <c r="E1090" s="11" t="s">
        <v>142</v>
      </c>
      <c r="F1090" s="12" t="n">
        <v>2805124</v>
      </c>
      <c r="G1090" s="12" t="n">
        <v>2178000</v>
      </c>
      <c r="H1090" s="11" t="n">
        <v>21</v>
      </c>
      <c r="I1090" s="11" t="s">
        <v>69</v>
      </c>
      <c r="J1090" s="11" t="s">
        <v>80</v>
      </c>
      <c r="K1090" s="11" t="s">
        <v>81</v>
      </c>
      <c r="L1090" s="11" t="s">
        <v>82</v>
      </c>
      <c r="M1090" s="11" t="s">
        <v>73</v>
      </c>
      <c r="N1090" s="11" t="s">
        <v>133</v>
      </c>
      <c r="O1090" s="11" t="s">
        <v>60</v>
      </c>
      <c r="P1090" s="11" t="s">
        <v>76</v>
      </c>
      <c r="Q1090" s="13" t="n">
        <f aca="false">F1090*H1090</f>
        <v>58907604</v>
      </c>
      <c r="R1090" s="13" t="n">
        <f aca="false">G1090*H1090</f>
        <v>45738000</v>
      </c>
      <c r="S1090" s="13" t="n">
        <f aca="false">Q1090-R1090</f>
        <v>13169604</v>
      </c>
      <c r="T1090" s="14" t="n">
        <f aca="false">IFERROR(S1090/Q1090,0)</f>
        <v>0.22356373550688</v>
      </c>
      <c r="U1090" s="15" t="str">
        <f aca="false">TEXT(A1090,"yyyy-mm")</f>
        <v>2022-02</v>
      </c>
    </row>
    <row r="1091" customFormat="false" ht="15" hidden="false" customHeight="false" outlineLevel="0" collapsed="false">
      <c r="A1091" s="10" t="n">
        <v>44611</v>
      </c>
      <c r="B1091" s="11" t="s">
        <v>1223</v>
      </c>
      <c r="C1091" s="11" t="s">
        <v>146</v>
      </c>
      <c r="D1091" s="11" t="s">
        <v>138</v>
      </c>
      <c r="E1091" s="11" t="s">
        <v>139</v>
      </c>
      <c r="F1091" s="12" t="n">
        <v>2728100</v>
      </c>
      <c r="G1091" s="12" t="n">
        <v>2321000</v>
      </c>
      <c r="H1091" s="11" t="n">
        <v>26</v>
      </c>
      <c r="I1091" s="11" t="s">
        <v>69</v>
      </c>
      <c r="J1091" s="11" t="s">
        <v>70</v>
      </c>
      <c r="K1091" s="11" t="s">
        <v>71</v>
      </c>
      <c r="L1091" s="11" t="s">
        <v>72</v>
      </c>
      <c r="M1091" s="11" t="s">
        <v>73</v>
      </c>
      <c r="N1091" s="11" t="s">
        <v>109</v>
      </c>
      <c r="O1091" s="11" t="s">
        <v>75</v>
      </c>
      <c r="P1091" s="11" t="s">
        <v>95</v>
      </c>
      <c r="Q1091" s="13" t="n">
        <f aca="false">F1091*H1091</f>
        <v>70930600</v>
      </c>
      <c r="R1091" s="13" t="n">
        <f aca="false">G1091*H1091</f>
        <v>60346000</v>
      </c>
      <c r="S1091" s="13" t="n">
        <f aca="false">Q1091-R1091</f>
        <v>10584600</v>
      </c>
      <c r="T1091" s="14" t="n">
        <f aca="false">IFERROR(S1091/Q1091,0)</f>
        <v>0.149224735163667</v>
      </c>
      <c r="U1091" s="15" t="str">
        <f aca="false">TEXT(A1091,"yyyy-mm")</f>
        <v>2022-02</v>
      </c>
    </row>
    <row r="1092" customFormat="false" ht="15" hidden="false" customHeight="false" outlineLevel="0" collapsed="false">
      <c r="A1092" s="10" t="n">
        <v>44611</v>
      </c>
      <c r="B1092" s="11" t="s">
        <v>1224</v>
      </c>
      <c r="C1092" s="11" t="s">
        <v>148</v>
      </c>
      <c r="D1092" s="11" t="s">
        <v>138</v>
      </c>
      <c r="E1092" s="11" t="s">
        <v>122</v>
      </c>
      <c r="F1092" s="12" t="n">
        <v>4941716</v>
      </c>
      <c r="G1092" s="12" t="n">
        <v>4456000</v>
      </c>
      <c r="H1092" s="11" t="n">
        <v>22</v>
      </c>
      <c r="I1092" s="11" t="s">
        <v>69</v>
      </c>
      <c r="J1092" s="11" t="s">
        <v>80</v>
      </c>
      <c r="K1092" s="11" t="s">
        <v>81</v>
      </c>
      <c r="L1092" s="11" t="s">
        <v>82</v>
      </c>
      <c r="M1092" s="11" t="s">
        <v>73</v>
      </c>
      <c r="N1092" s="11" t="s">
        <v>93</v>
      </c>
      <c r="O1092" s="11" t="s">
        <v>94</v>
      </c>
      <c r="P1092" s="11" t="s">
        <v>95</v>
      </c>
      <c r="Q1092" s="13" t="n">
        <f aca="false">F1092*H1092</f>
        <v>108717752</v>
      </c>
      <c r="R1092" s="13" t="n">
        <f aca="false">G1092*H1092</f>
        <v>98032000</v>
      </c>
      <c r="S1092" s="13" t="n">
        <f aca="false">Q1092-R1092</f>
        <v>10685752</v>
      </c>
      <c r="T1092" s="14" t="n">
        <f aca="false">IFERROR(S1092/Q1092,0)</f>
        <v>0.0982889344511097</v>
      </c>
      <c r="U1092" s="15" t="str">
        <f aca="false">TEXT(A1092,"yyyy-mm")</f>
        <v>2022-02</v>
      </c>
    </row>
    <row r="1093" customFormat="false" ht="15" hidden="false" customHeight="false" outlineLevel="0" collapsed="false">
      <c r="A1093" s="10" t="n">
        <v>44612</v>
      </c>
      <c r="B1093" s="11" t="s">
        <v>1225</v>
      </c>
      <c r="C1093" s="11" t="s">
        <v>66</v>
      </c>
      <c r="D1093" s="11" t="s">
        <v>67</v>
      </c>
      <c r="E1093" s="11" t="s">
        <v>68</v>
      </c>
      <c r="F1093" s="12" t="n">
        <v>3048952</v>
      </c>
      <c r="G1093" s="12" t="n">
        <v>2560000</v>
      </c>
      <c r="H1093" s="11" t="n">
        <v>18</v>
      </c>
      <c r="I1093" s="11" t="s">
        <v>69</v>
      </c>
      <c r="J1093" s="11" t="s">
        <v>80</v>
      </c>
      <c r="K1093" s="11" t="s">
        <v>81</v>
      </c>
      <c r="L1093" s="11" t="s">
        <v>82</v>
      </c>
      <c r="M1093" s="11" t="s">
        <v>73</v>
      </c>
      <c r="N1093" s="11" t="s">
        <v>93</v>
      </c>
      <c r="O1093" s="11" t="s">
        <v>94</v>
      </c>
      <c r="P1093" s="11" t="s">
        <v>95</v>
      </c>
      <c r="Q1093" s="13" t="n">
        <f aca="false">F1093*H1093</f>
        <v>54881136</v>
      </c>
      <c r="R1093" s="13" t="n">
        <f aca="false">G1093*H1093</f>
        <v>46080000</v>
      </c>
      <c r="S1093" s="13" t="n">
        <f aca="false">Q1093-R1093</f>
        <v>8801136</v>
      </c>
      <c r="T1093" s="14" t="n">
        <f aca="false">IFERROR(S1093/Q1093,0)</f>
        <v>0.160367234380863</v>
      </c>
      <c r="U1093" s="15" t="str">
        <f aca="false">TEXT(A1093,"yyyy-mm")</f>
        <v>2022-02</v>
      </c>
    </row>
    <row r="1094" customFormat="false" ht="15" hidden="false" customHeight="false" outlineLevel="0" collapsed="false">
      <c r="A1094" s="10" t="n">
        <v>44612</v>
      </c>
      <c r="B1094" s="11" t="s">
        <v>1226</v>
      </c>
      <c r="C1094" s="11" t="s">
        <v>78</v>
      </c>
      <c r="D1094" s="11" t="s">
        <v>67</v>
      </c>
      <c r="E1094" s="11" t="s">
        <v>79</v>
      </c>
      <c r="F1094" s="12" t="n">
        <v>1870000</v>
      </c>
      <c r="G1094" s="12" t="n">
        <v>1650000</v>
      </c>
      <c r="H1094" s="11" t="n">
        <v>12</v>
      </c>
      <c r="I1094" s="11" t="s">
        <v>69</v>
      </c>
      <c r="J1094" s="11" t="s">
        <v>112</v>
      </c>
      <c r="K1094" s="11" t="s">
        <v>113</v>
      </c>
      <c r="L1094" s="11" t="s">
        <v>82</v>
      </c>
      <c r="M1094" s="11" t="s">
        <v>157</v>
      </c>
      <c r="N1094" s="11" t="s">
        <v>99</v>
      </c>
      <c r="O1094" s="11" t="s">
        <v>100</v>
      </c>
      <c r="P1094" s="11" t="s">
        <v>101</v>
      </c>
      <c r="Q1094" s="13" t="n">
        <f aca="false">F1094*H1094</f>
        <v>22440000</v>
      </c>
      <c r="R1094" s="13" t="n">
        <f aca="false">G1094*H1094</f>
        <v>19800000</v>
      </c>
      <c r="S1094" s="13" t="n">
        <f aca="false">Q1094-R1094</f>
        <v>2640000</v>
      </c>
      <c r="T1094" s="14" t="n">
        <f aca="false">IFERROR(S1094/Q1094,0)</f>
        <v>0.117647058823529</v>
      </c>
      <c r="U1094" s="15" t="str">
        <f aca="false">TEXT(A1094,"yyyy-mm")</f>
        <v>2022-02</v>
      </c>
    </row>
    <row r="1095" customFormat="false" ht="15" hidden="false" customHeight="false" outlineLevel="0" collapsed="false">
      <c r="A1095" s="10" t="n">
        <v>44612</v>
      </c>
      <c r="B1095" s="11" t="s">
        <v>1227</v>
      </c>
      <c r="C1095" s="11" t="s">
        <v>84</v>
      </c>
      <c r="D1095" s="11" t="s">
        <v>67</v>
      </c>
      <c r="E1095" s="11" t="s">
        <v>85</v>
      </c>
      <c r="F1095" s="12" t="n">
        <v>2600000</v>
      </c>
      <c r="G1095" s="12" t="n">
        <v>2300000</v>
      </c>
      <c r="H1095" s="11" t="n">
        <v>3</v>
      </c>
      <c r="I1095" s="11" t="s">
        <v>69</v>
      </c>
      <c r="J1095" s="11" t="s">
        <v>112</v>
      </c>
      <c r="K1095" s="11" t="s">
        <v>113</v>
      </c>
      <c r="L1095" s="11" t="s">
        <v>82</v>
      </c>
      <c r="M1095" s="11" t="s">
        <v>157</v>
      </c>
      <c r="N1095" s="11" t="s">
        <v>99</v>
      </c>
      <c r="O1095" s="11" t="s">
        <v>100</v>
      </c>
      <c r="P1095" s="11" t="s">
        <v>101</v>
      </c>
      <c r="Q1095" s="13" t="n">
        <f aca="false">F1095*H1095</f>
        <v>7800000</v>
      </c>
      <c r="R1095" s="13" t="n">
        <f aca="false">G1095*H1095</f>
        <v>6900000</v>
      </c>
      <c r="S1095" s="13" t="n">
        <f aca="false">Q1095-R1095</f>
        <v>900000</v>
      </c>
      <c r="T1095" s="14" t="n">
        <f aca="false">IFERROR(S1095/Q1095,0)</f>
        <v>0.115384615384615</v>
      </c>
      <c r="U1095" s="15" t="str">
        <f aca="false">TEXT(A1095,"yyyy-mm")</f>
        <v>2022-02</v>
      </c>
    </row>
    <row r="1096" customFormat="false" ht="15" hidden="false" customHeight="false" outlineLevel="0" collapsed="false">
      <c r="A1096" s="10" t="n">
        <v>44613</v>
      </c>
      <c r="B1096" s="11" t="s">
        <v>1228</v>
      </c>
      <c r="C1096" s="11" t="s">
        <v>92</v>
      </c>
      <c r="D1096" s="11" t="s">
        <v>67</v>
      </c>
      <c r="E1096" s="11" t="s">
        <v>79</v>
      </c>
      <c r="F1096" s="12" t="n">
        <v>3577480</v>
      </c>
      <c r="G1096" s="12" t="n">
        <v>3100000</v>
      </c>
      <c r="H1096" s="11" t="n">
        <v>29</v>
      </c>
      <c r="I1096" s="11" t="s">
        <v>69</v>
      </c>
      <c r="J1096" s="11" t="s">
        <v>80</v>
      </c>
      <c r="K1096" s="11" t="s">
        <v>81</v>
      </c>
      <c r="L1096" s="11" t="s">
        <v>82</v>
      </c>
      <c r="M1096" s="11" t="s">
        <v>73</v>
      </c>
      <c r="N1096" s="11" t="s">
        <v>143</v>
      </c>
      <c r="O1096" s="11" t="s">
        <v>144</v>
      </c>
      <c r="P1096" s="11" t="s">
        <v>101</v>
      </c>
      <c r="Q1096" s="13" t="n">
        <f aca="false">F1096*H1096</f>
        <v>103746920</v>
      </c>
      <c r="R1096" s="13" t="n">
        <f aca="false">G1096*H1096</f>
        <v>89900000</v>
      </c>
      <c r="S1096" s="13" t="n">
        <f aca="false">Q1096-R1096</f>
        <v>13846920</v>
      </c>
      <c r="T1096" s="14" t="n">
        <f aca="false">IFERROR(S1096/Q1096,0)</f>
        <v>0.133468251394837</v>
      </c>
      <c r="U1096" s="15" t="str">
        <f aca="false">TEXT(A1096,"yyyy-mm")</f>
        <v>2022-02</v>
      </c>
    </row>
    <row r="1097" customFormat="false" ht="15" hidden="false" customHeight="false" outlineLevel="0" collapsed="false">
      <c r="A1097" s="10" t="n">
        <v>44613</v>
      </c>
      <c r="B1097" s="11" t="s">
        <v>1229</v>
      </c>
      <c r="C1097" s="11" t="s">
        <v>97</v>
      </c>
      <c r="D1097" s="11" t="s">
        <v>67</v>
      </c>
      <c r="E1097" s="11" t="s">
        <v>98</v>
      </c>
      <c r="F1097" s="12" t="n">
        <v>4969724</v>
      </c>
      <c r="G1097" s="12" t="n">
        <v>4121560</v>
      </c>
      <c r="H1097" s="11" t="n">
        <v>5</v>
      </c>
      <c r="I1097" s="11" t="s">
        <v>86</v>
      </c>
      <c r="J1097" s="11" t="s">
        <v>87</v>
      </c>
      <c r="K1097" s="11" t="s">
        <v>88</v>
      </c>
      <c r="L1097" s="11" t="s">
        <v>89</v>
      </c>
      <c r="M1097" s="11" t="s">
        <v>90</v>
      </c>
      <c r="N1097" s="11" t="s">
        <v>143</v>
      </c>
      <c r="O1097" s="11" t="s">
        <v>144</v>
      </c>
      <c r="P1097" s="11" t="s">
        <v>101</v>
      </c>
      <c r="Q1097" s="13" t="n">
        <f aca="false">F1097*H1097</f>
        <v>24848620</v>
      </c>
      <c r="R1097" s="13" t="n">
        <f aca="false">G1097*H1097</f>
        <v>20607800</v>
      </c>
      <c r="S1097" s="13" t="n">
        <f aca="false">Q1097-R1097</f>
        <v>4240820</v>
      </c>
      <c r="T1097" s="14" t="n">
        <f aca="false">IFERROR(S1097/Q1097,0)</f>
        <v>0.170666218083741</v>
      </c>
      <c r="U1097" s="15" t="str">
        <f aca="false">TEXT(A1097,"yyyy-mm")</f>
        <v>2022-02</v>
      </c>
    </row>
    <row r="1098" customFormat="false" ht="15" hidden="false" customHeight="false" outlineLevel="0" collapsed="false">
      <c r="A1098" s="10" t="n">
        <v>44614</v>
      </c>
      <c r="B1098" s="11" t="s">
        <v>1230</v>
      </c>
      <c r="C1098" s="11" t="s">
        <v>103</v>
      </c>
      <c r="D1098" s="11" t="s">
        <v>67</v>
      </c>
      <c r="E1098" s="11" t="s">
        <v>68</v>
      </c>
      <c r="F1098" s="12" t="n">
        <v>3319925</v>
      </c>
      <c r="G1098" s="12" t="n">
        <v>2800000</v>
      </c>
      <c r="H1098" s="11" t="n">
        <v>10</v>
      </c>
      <c r="I1098" s="11" t="s">
        <v>86</v>
      </c>
      <c r="J1098" s="11" t="s">
        <v>87</v>
      </c>
      <c r="K1098" s="11" t="s">
        <v>88</v>
      </c>
      <c r="L1098" s="11" t="s">
        <v>89</v>
      </c>
      <c r="M1098" s="11" t="s">
        <v>90</v>
      </c>
      <c r="N1098" s="11" t="s">
        <v>104</v>
      </c>
      <c r="O1098" s="11" t="s">
        <v>105</v>
      </c>
      <c r="P1098" s="11" t="s">
        <v>106</v>
      </c>
      <c r="Q1098" s="13" t="n">
        <f aca="false">F1098*H1098</f>
        <v>33199250</v>
      </c>
      <c r="R1098" s="13" t="n">
        <f aca="false">G1098*H1098</f>
        <v>28000000</v>
      </c>
      <c r="S1098" s="13" t="n">
        <f aca="false">Q1098-R1098</f>
        <v>5199250</v>
      </c>
      <c r="T1098" s="14" t="n">
        <f aca="false">IFERROR(S1098/Q1098,0)</f>
        <v>0.15660745348163</v>
      </c>
      <c r="U1098" s="15" t="str">
        <f aca="false">TEXT(A1098,"yyyy-mm")</f>
        <v>2022-02</v>
      </c>
    </row>
    <row r="1099" customFormat="false" ht="15" hidden="false" customHeight="false" outlineLevel="0" collapsed="false">
      <c r="A1099" s="10" t="n">
        <v>44614</v>
      </c>
      <c r="B1099" s="11" t="s">
        <v>1231</v>
      </c>
      <c r="C1099" s="11" t="s">
        <v>108</v>
      </c>
      <c r="D1099" s="11" t="s">
        <v>67</v>
      </c>
      <c r="E1099" s="11" t="s">
        <v>68</v>
      </c>
      <c r="F1099" s="12" t="n">
        <v>4757880</v>
      </c>
      <c r="G1099" s="12" t="n">
        <v>3450000</v>
      </c>
      <c r="H1099" s="11" t="n">
        <v>3</v>
      </c>
      <c r="I1099" s="11" t="s">
        <v>69</v>
      </c>
      <c r="J1099" s="11" t="s">
        <v>70</v>
      </c>
      <c r="K1099" s="11" t="s">
        <v>71</v>
      </c>
      <c r="L1099" s="11" t="s">
        <v>72</v>
      </c>
      <c r="M1099" s="11" t="s">
        <v>73</v>
      </c>
      <c r="N1099" s="11" t="s">
        <v>173</v>
      </c>
      <c r="O1099" s="11" t="s">
        <v>174</v>
      </c>
      <c r="P1099" s="11" t="s">
        <v>95</v>
      </c>
      <c r="Q1099" s="13" t="n">
        <f aca="false">F1099*H1099</f>
        <v>14273640</v>
      </c>
      <c r="R1099" s="13" t="n">
        <f aca="false">G1099*H1099</f>
        <v>10350000</v>
      </c>
      <c r="S1099" s="13" t="n">
        <f aca="false">Q1099-R1099</f>
        <v>3923640</v>
      </c>
      <c r="T1099" s="14" t="n">
        <f aca="false">IFERROR(S1099/Q1099,0)</f>
        <v>0.274887134606169</v>
      </c>
      <c r="U1099" s="15" t="str">
        <f aca="false">TEXT(A1099,"yyyy-mm")</f>
        <v>2022-02</v>
      </c>
    </row>
    <row r="1100" customFormat="false" ht="15" hidden="false" customHeight="false" outlineLevel="0" collapsed="false">
      <c r="A1100" s="10" t="n">
        <v>44614</v>
      </c>
      <c r="B1100" s="11" t="s">
        <v>1232</v>
      </c>
      <c r="C1100" s="11" t="s">
        <v>111</v>
      </c>
      <c r="D1100" s="11" t="s">
        <v>67</v>
      </c>
      <c r="E1100" s="11" t="s">
        <v>79</v>
      </c>
      <c r="F1100" s="12" t="n">
        <v>3545808</v>
      </c>
      <c r="G1100" s="12" t="n">
        <v>3350000</v>
      </c>
      <c r="H1100" s="11" t="n">
        <v>13</v>
      </c>
      <c r="I1100" s="11" t="s">
        <v>69</v>
      </c>
      <c r="J1100" s="11" t="s">
        <v>112</v>
      </c>
      <c r="K1100" s="11" t="s">
        <v>113</v>
      </c>
      <c r="L1100" s="11" t="s">
        <v>82</v>
      </c>
      <c r="M1100" s="11" t="s">
        <v>157</v>
      </c>
      <c r="N1100" s="11" t="s">
        <v>133</v>
      </c>
      <c r="O1100" s="11" t="s">
        <v>60</v>
      </c>
      <c r="P1100" s="11" t="s">
        <v>76</v>
      </c>
      <c r="Q1100" s="13" t="n">
        <f aca="false">F1100*H1100</f>
        <v>46095504</v>
      </c>
      <c r="R1100" s="13" t="n">
        <f aca="false">G1100*H1100</f>
        <v>43550000</v>
      </c>
      <c r="S1100" s="13" t="n">
        <f aca="false">Q1100-R1100</f>
        <v>2545504</v>
      </c>
      <c r="T1100" s="14" t="n">
        <f aca="false">IFERROR(S1100/Q1100,0)</f>
        <v>0.0552223921881839</v>
      </c>
      <c r="U1100" s="15" t="str">
        <f aca="false">TEXT(A1100,"yyyy-mm")</f>
        <v>2022-02</v>
      </c>
    </row>
    <row r="1101" customFormat="false" ht="15" hidden="false" customHeight="false" outlineLevel="0" collapsed="false">
      <c r="A1101" s="10" t="n">
        <v>44614</v>
      </c>
      <c r="B1101" s="11" t="s">
        <v>1233</v>
      </c>
      <c r="C1101" s="11" t="s">
        <v>115</v>
      </c>
      <c r="D1101" s="11" t="s">
        <v>67</v>
      </c>
      <c r="E1101" s="11" t="s">
        <v>98</v>
      </c>
      <c r="F1101" s="12" t="n">
        <v>4200743</v>
      </c>
      <c r="G1101" s="12" t="n">
        <v>4101000</v>
      </c>
      <c r="H1101" s="11" t="n">
        <v>9</v>
      </c>
      <c r="I1101" s="11" t="s">
        <v>69</v>
      </c>
      <c r="J1101" s="11" t="s">
        <v>112</v>
      </c>
      <c r="K1101" s="11" t="s">
        <v>113</v>
      </c>
      <c r="L1101" s="11" t="s">
        <v>82</v>
      </c>
      <c r="M1101" s="11" t="s">
        <v>157</v>
      </c>
      <c r="N1101" s="11" t="s">
        <v>143</v>
      </c>
      <c r="O1101" s="11" t="s">
        <v>144</v>
      </c>
      <c r="P1101" s="11" t="s">
        <v>101</v>
      </c>
      <c r="Q1101" s="13" t="n">
        <f aca="false">F1101*H1101</f>
        <v>37806687</v>
      </c>
      <c r="R1101" s="13" t="n">
        <f aca="false">G1101*H1101</f>
        <v>36909000</v>
      </c>
      <c r="S1101" s="13" t="n">
        <f aca="false">Q1101-R1101</f>
        <v>897687</v>
      </c>
      <c r="T1101" s="14" t="n">
        <f aca="false">IFERROR(S1101/Q1101,0)</f>
        <v>0.023744132883159</v>
      </c>
      <c r="U1101" s="15" t="str">
        <f aca="false">TEXT(A1101,"yyyy-mm")</f>
        <v>2022-02</v>
      </c>
    </row>
    <row r="1102" customFormat="false" ht="15" hidden="false" customHeight="false" outlineLevel="0" collapsed="false">
      <c r="A1102" s="10" t="n">
        <v>44614</v>
      </c>
      <c r="B1102" s="11" t="s">
        <v>1234</v>
      </c>
      <c r="C1102" s="11" t="s">
        <v>117</v>
      </c>
      <c r="D1102" s="11" t="s">
        <v>118</v>
      </c>
      <c r="E1102" s="11" t="s">
        <v>119</v>
      </c>
      <c r="F1102" s="12" t="n">
        <v>8220549</v>
      </c>
      <c r="G1102" s="12" t="n">
        <v>6500000</v>
      </c>
      <c r="H1102" s="11" t="n">
        <v>13</v>
      </c>
      <c r="I1102" s="11" t="s">
        <v>69</v>
      </c>
      <c r="J1102" s="11" t="s">
        <v>80</v>
      </c>
      <c r="K1102" s="11" t="s">
        <v>81</v>
      </c>
      <c r="L1102" s="11" t="s">
        <v>82</v>
      </c>
      <c r="M1102" s="11" t="s">
        <v>73</v>
      </c>
      <c r="N1102" s="11" t="s">
        <v>143</v>
      </c>
      <c r="O1102" s="11" t="s">
        <v>144</v>
      </c>
      <c r="P1102" s="11" t="s">
        <v>101</v>
      </c>
      <c r="Q1102" s="13" t="n">
        <f aca="false">F1102*H1102</f>
        <v>106867137</v>
      </c>
      <c r="R1102" s="13" t="n">
        <f aca="false">G1102*H1102</f>
        <v>84500000</v>
      </c>
      <c r="S1102" s="13" t="n">
        <f aca="false">Q1102-R1102</f>
        <v>22367137</v>
      </c>
      <c r="T1102" s="14" t="n">
        <f aca="false">IFERROR(S1102/Q1102,0)</f>
        <v>0.209298551714733</v>
      </c>
      <c r="U1102" s="15" t="str">
        <f aca="false">TEXT(A1102,"yyyy-mm")</f>
        <v>2022-02</v>
      </c>
    </row>
    <row r="1103" customFormat="false" ht="15" hidden="false" customHeight="false" outlineLevel="0" collapsed="false">
      <c r="A1103" s="10" t="n">
        <v>44614</v>
      </c>
      <c r="B1103" s="11" t="s">
        <v>1235</v>
      </c>
      <c r="C1103" s="11" t="s">
        <v>121</v>
      </c>
      <c r="D1103" s="11" t="s">
        <v>118</v>
      </c>
      <c r="E1103" s="11" t="s">
        <v>122</v>
      </c>
      <c r="F1103" s="12" t="n">
        <v>7687274</v>
      </c>
      <c r="G1103" s="12" t="n">
        <v>6500000</v>
      </c>
      <c r="H1103" s="11" t="n">
        <v>9</v>
      </c>
      <c r="I1103" s="11" t="s">
        <v>69</v>
      </c>
      <c r="J1103" s="11" t="s">
        <v>112</v>
      </c>
      <c r="K1103" s="11" t="s">
        <v>113</v>
      </c>
      <c r="L1103" s="11" t="s">
        <v>82</v>
      </c>
      <c r="M1103" s="11" t="s">
        <v>157</v>
      </c>
      <c r="N1103" s="11" t="s">
        <v>104</v>
      </c>
      <c r="O1103" s="11" t="s">
        <v>105</v>
      </c>
      <c r="P1103" s="11" t="s">
        <v>106</v>
      </c>
      <c r="Q1103" s="13" t="n">
        <f aca="false">F1103*H1103</f>
        <v>69185466</v>
      </c>
      <c r="R1103" s="13" t="n">
        <f aca="false">G1103*H1103</f>
        <v>58500000</v>
      </c>
      <c r="S1103" s="13" t="n">
        <f aca="false">Q1103-R1103</f>
        <v>10685466</v>
      </c>
      <c r="T1103" s="14" t="n">
        <f aca="false">IFERROR(S1103/Q1103,0)</f>
        <v>0.154446686822923</v>
      </c>
      <c r="U1103" s="15" t="str">
        <f aca="false">TEXT(A1103,"yyyy-mm")</f>
        <v>2022-02</v>
      </c>
    </row>
    <row r="1104" customFormat="false" ht="15" hidden="false" customHeight="false" outlineLevel="0" collapsed="false">
      <c r="A1104" s="10" t="n">
        <v>44615</v>
      </c>
      <c r="B1104" s="11" t="s">
        <v>1236</v>
      </c>
      <c r="C1104" s="11" t="s">
        <v>125</v>
      </c>
      <c r="D1104" s="11" t="s">
        <v>118</v>
      </c>
      <c r="E1104" s="11" t="s">
        <v>126</v>
      </c>
      <c r="F1104" s="12" t="n">
        <v>5684211</v>
      </c>
      <c r="G1104" s="12" t="n">
        <v>4300000</v>
      </c>
      <c r="H1104" s="11" t="n">
        <v>4</v>
      </c>
      <c r="I1104" s="11" t="s">
        <v>69</v>
      </c>
      <c r="J1104" s="11" t="s">
        <v>70</v>
      </c>
      <c r="K1104" s="11" t="s">
        <v>71</v>
      </c>
      <c r="L1104" s="11" t="s">
        <v>72</v>
      </c>
      <c r="M1104" s="11" t="s">
        <v>73</v>
      </c>
      <c r="N1104" s="11" t="s">
        <v>109</v>
      </c>
      <c r="O1104" s="11" t="s">
        <v>75</v>
      </c>
      <c r="P1104" s="11" t="s">
        <v>95</v>
      </c>
      <c r="Q1104" s="13" t="n">
        <f aca="false">F1104*H1104</f>
        <v>22736844</v>
      </c>
      <c r="R1104" s="13" t="n">
        <f aca="false">G1104*H1104</f>
        <v>17200000</v>
      </c>
      <c r="S1104" s="13" t="n">
        <f aca="false">Q1104-R1104</f>
        <v>5536844</v>
      </c>
      <c r="T1104" s="14" t="n">
        <f aca="false">IFERROR(S1104/Q1104,0)</f>
        <v>0.243518581558637</v>
      </c>
      <c r="U1104" s="15" t="str">
        <f aca="false">TEXT(A1104,"yyyy-mm")</f>
        <v>2022-02</v>
      </c>
    </row>
    <row r="1105" customFormat="false" ht="15" hidden="false" customHeight="false" outlineLevel="0" collapsed="false">
      <c r="A1105" s="10" t="n">
        <v>44616</v>
      </c>
      <c r="B1105" s="11" t="s">
        <v>1237</v>
      </c>
      <c r="C1105" s="11" t="s">
        <v>128</v>
      </c>
      <c r="D1105" s="11" t="s">
        <v>118</v>
      </c>
      <c r="E1105" s="11" t="s">
        <v>119</v>
      </c>
      <c r="F1105" s="12" t="n">
        <v>3370302</v>
      </c>
      <c r="G1105" s="12" t="n">
        <v>2100000</v>
      </c>
      <c r="H1105" s="11" t="n">
        <v>7</v>
      </c>
      <c r="I1105" s="11" t="s">
        <v>69</v>
      </c>
      <c r="J1105" s="11" t="s">
        <v>80</v>
      </c>
      <c r="K1105" s="11" t="s">
        <v>81</v>
      </c>
      <c r="L1105" s="11" t="s">
        <v>82</v>
      </c>
      <c r="M1105" s="11" t="s">
        <v>73</v>
      </c>
      <c r="N1105" s="11" t="s">
        <v>173</v>
      </c>
      <c r="O1105" s="11" t="s">
        <v>174</v>
      </c>
      <c r="P1105" s="11" t="s">
        <v>95</v>
      </c>
      <c r="Q1105" s="13" t="n">
        <f aca="false">F1105*H1105</f>
        <v>23592114</v>
      </c>
      <c r="R1105" s="13" t="n">
        <f aca="false">G1105*H1105</f>
        <v>14700000</v>
      </c>
      <c r="S1105" s="13" t="n">
        <f aca="false">Q1105-R1105</f>
        <v>8892114</v>
      </c>
      <c r="T1105" s="14" t="n">
        <f aca="false">IFERROR(S1105/Q1105,0)</f>
        <v>0.37691043710623</v>
      </c>
      <c r="U1105" s="15" t="str">
        <f aca="false">TEXT(A1105,"yyyy-mm")</f>
        <v>2022-02</v>
      </c>
    </row>
    <row r="1106" customFormat="false" ht="15" hidden="false" customHeight="false" outlineLevel="0" collapsed="false">
      <c r="A1106" s="10" t="n">
        <v>44616</v>
      </c>
      <c r="B1106" s="11" t="s">
        <v>1238</v>
      </c>
      <c r="C1106" s="11" t="s">
        <v>130</v>
      </c>
      <c r="D1106" s="11" t="s">
        <v>118</v>
      </c>
      <c r="E1106" s="11" t="s">
        <v>68</v>
      </c>
      <c r="F1106" s="12" t="n">
        <v>2852897</v>
      </c>
      <c r="G1106" s="12" t="n">
        <v>2450000</v>
      </c>
      <c r="H1106" s="11" t="n">
        <v>15</v>
      </c>
      <c r="I1106" s="11" t="s">
        <v>69</v>
      </c>
      <c r="J1106" s="11" t="s">
        <v>80</v>
      </c>
      <c r="K1106" s="11" t="s">
        <v>81</v>
      </c>
      <c r="L1106" s="11" t="s">
        <v>82</v>
      </c>
      <c r="M1106" s="11" t="s">
        <v>73</v>
      </c>
      <c r="N1106" s="11" t="s">
        <v>123</v>
      </c>
      <c r="O1106" s="11" t="s">
        <v>60</v>
      </c>
      <c r="P1106" s="11" t="s">
        <v>106</v>
      </c>
      <c r="Q1106" s="13" t="n">
        <f aca="false">F1106*H1106</f>
        <v>42793455</v>
      </c>
      <c r="R1106" s="13" t="n">
        <f aca="false">G1106*H1106</f>
        <v>36750000</v>
      </c>
      <c r="S1106" s="13" t="n">
        <f aca="false">Q1106-R1106</f>
        <v>6043455</v>
      </c>
      <c r="T1106" s="14" t="n">
        <f aca="false">IFERROR(S1106/Q1106,0)</f>
        <v>0.141223815651249</v>
      </c>
      <c r="U1106" s="15" t="str">
        <f aca="false">TEXT(A1106,"yyyy-mm")</f>
        <v>2022-02</v>
      </c>
    </row>
    <row r="1107" customFormat="false" ht="15" hidden="false" customHeight="false" outlineLevel="0" collapsed="false">
      <c r="A1107" s="10" t="n">
        <v>44617</v>
      </c>
      <c r="B1107" s="11" t="s">
        <v>1239</v>
      </c>
      <c r="C1107" s="11" t="s">
        <v>132</v>
      </c>
      <c r="D1107" s="11" t="s">
        <v>118</v>
      </c>
      <c r="E1107" s="11" t="s">
        <v>68</v>
      </c>
      <c r="F1107" s="12" t="n">
        <v>4803603</v>
      </c>
      <c r="G1107" s="12" t="n">
        <v>4121000</v>
      </c>
      <c r="H1107" s="11" t="n">
        <v>24</v>
      </c>
      <c r="I1107" s="11" t="s">
        <v>69</v>
      </c>
      <c r="J1107" s="11" t="s">
        <v>112</v>
      </c>
      <c r="K1107" s="11" t="s">
        <v>113</v>
      </c>
      <c r="L1107" s="11" t="s">
        <v>82</v>
      </c>
      <c r="M1107" s="11" t="s">
        <v>157</v>
      </c>
      <c r="N1107" s="11" t="s">
        <v>93</v>
      </c>
      <c r="O1107" s="11" t="s">
        <v>94</v>
      </c>
      <c r="P1107" s="11" t="s">
        <v>95</v>
      </c>
      <c r="Q1107" s="13" t="n">
        <f aca="false">F1107*H1107</f>
        <v>115286472</v>
      </c>
      <c r="R1107" s="13" t="n">
        <f aca="false">G1107*H1107</f>
        <v>98904000</v>
      </c>
      <c r="S1107" s="13" t="n">
        <f aca="false">Q1107-R1107</f>
        <v>16382472</v>
      </c>
      <c r="T1107" s="14" t="n">
        <f aca="false">IFERROR(S1107/Q1107,0)</f>
        <v>0.142102292799801</v>
      </c>
      <c r="U1107" s="15" t="str">
        <f aca="false">TEXT(A1107,"yyyy-mm")</f>
        <v>2022-02</v>
      </c>
    </row>
    <row r="1108" customFormat="false" ht="15" hidden="false" customHeight="false" outlineLevel="0" collapsed="false">
      <c r="A1108" s="10" t="n">
        <v>44617</v>
      </c>
      <c r="B1108" s="11" t="s">
        <v>1240</v>
      </c>
      <c r="C1108" s="11" t="s">
        <v>135</v>
      </c>
      <c r="D1108" s="11" t="s">
        <v>118</v>
      </c>
      <c r="E1108" s="11" t="s">
        <v>68</v>
      </c>
      <c r="F1108" s="12" t="n">
        <v>5689947</v>
      </c>
      <c r="G1108" s="12" t="n">
        <v>5235000</v>
      </c>
      <c r="H1108" s="11" t="n">
        <v>13</v>
      </c>
      <c r="I1108" s="11" t="s">
        <v>86</v>
      </c>
      <c r="J1108" s="11" t="s">
        <v>87</v>
      </c>
      <c r="K1108" s="11" t="s">
        <v>88</v>
      </c>
      <c r="L1108" s="11" t="s">
        <v>89</v>
      </c>
      <c r="M1108" s="11" t="s">
        <v>90</v>
      </c>
      <c r="N1108" s="11" t="s">
        <v>109</v>
      </c>
      <c r="O1108" s="11" t="s">
        <v>75</v>
      </c>
      <c r="P1108" s="11" t="s">
        <v>95</v>
      </c>
      <c r="Q1108" s="13" t="n">
        <f aca="false">F1108*H1108</f>
        <v>73969311</v>
      </c>
      <c r="R1108" s="13" t="n">
        <f aca="false">G1108*H1108</f>
        <v>68055000</v>
      </c>
      <c r="S1108" s="13" t="n">
        <f aca="false">Q1108-R1108</f>
        <v>5914311</v>
      </c>
      <c r="T1108" s="14" t="n">
        <f aca="false">IFERROR(S1108/Q1108,0)</f>
        <v>0.0799562807878527</v>
      </c>
      <c r="U1108" s="15" t="str">
        <f aca="false">TEXT(A1108,"yyyy-mm")</f>
        <v>2022-02</v>
      </c>
    </row>
    <row r="1109" customFormat="false" ht="15" hidden="false" customHeight="false" outlineLevel="0" collapsed="false">
      <c r="A1109" s="10" t="n">
        <v>44617</v>
      </c>
      <c r="B1109" s="11" t="s">
        <v>1241</v>
      </c>
      <c r="C1109" s="11" t="s">
        <v>137</v>
      </c>
      <c r="D1109" s="11" t="s">
        <v>138</v>
      </c>
      <c r="E1109" s="11" t="s">
        <v>139</v>
      </c>
      <c r="F1109" s="12" t="n">
        <v>5171827</v>
      </c>
      <c r="G1109" s="12" t="n">
        <v>4890000</v>
      </c>
      <c r="H1109" s="11" t="n">
        <v>8</v>
      </c>
      <c r="I1109" s="11" t="s">
        <v>69</v>
      </c>
      <c r="J1109" s="11" t="s">
        <v>80</v>
      </c>
      <c r="K1109" s="11" t="s">
        <v>81</v>
      </c>
      <c r="L1109" s="11" t="s">
        <v>82</v>
      </c>
      <c r="M1109" s="11" t="s">
        <v>73</v>
      </c>
      <c r="N1109" s="11" t="s">
        <v>133</v>
      </c>
      <c r="O1109" s="11" t="s">
        <v>60</v>
      </c>
      <c r="P1109" s="11" t="s">
        <v>76</v>
      </c>
      <c r="Q1109" s="13" t="n">
        <f aca="false">F1109*H1109</f>
        <v>41374616</v>
      </c>
      <c r="R1109" s="13" t="n">
        <f aca="false">G1109*H1109</f>
        <v>39120000</v>
      </c>
      <c r="S1109" s="13" t="n">
        <f aca="false">Q1109-R1109</f>
        <v>2254616</v>
      </c>
      <c r="T1109" s="14" t="n">
        <f aca="false">IFERROR(S1109/Q1109,0)</f>
        <v>0.0544927353525166</v>
      </c>
      <c r="U1109" s="15" t="str">
        <f aca="false">TEXT(A1109,"yyyy-mm")</f>
        <v>2022-02</v>
      </c>
    </row>
    <row r="1110" customFormat="false" ht="15" hidden="false" customHeight="false" outlineLevel="0" collapsed="false">
      <c r="A1110" s="10" t="n">
        <v>44619</v>
      </c>
      <c r="B1110" s="11" t="s">
        <v>1242</v>
      </c>
      <c r="C1110" s="11" t="s">
        <v>141</v>
      </c>
      <c r="D1110" s="11" t="s">
        <v>138</v>
      </c>
      <c r="E1110" s="11" t="s">
        <v>142</v>
      </c>
      <c r="F1110" s="12" t="n">
        <v>2805124</v>
      </c>
      <c r="G1110" s="12" t="n">
        <v>2178000</v>
      </c>
      <c r="H1110" s="11" t="n">
        <v>22</v>
      </c>
      <c r="I1110" s="11" t="s">
        <v>69</v>
      </c>
      <c r="J1110" s="11" t="s">
        <v>70</v>
      </c>
      <c r="K1110" s="11" t="s">
        <v>71</v>
      </c>
      <c r="L1110" s="11" t="s">
        <v>72</v>
      </c>
      <c r="M1110" s="11" t="s">
        <v>73</v>
      </c>
      <c r="N1110" s="11" t="s">
        <v>104</v>
      </c>
      <c r="O1110" s="11" t="s">
        <v>105</v>
      </c>
      <c r="P1110" s="11" t="s">
        <v>106</v>
      </c>
      <c r="Q1110" s="13" t="n">
        <f aca="false">F1110*H1110</f>
        <v>61712728</v>
      </c>
      <c r="R1110" s="13" t="n">
        <f aca="false">G1110*H1110</f>
        <v>47916000</v>
      </c>
      <c r="S1110" s="13" t="n">
        <f aca="false">Q1110-R1110</f>
        <v>13796728</v>
      </c>
      <c r="T1110" s="14" t="n">
        <f aca="false">IFERROR(S1110/Q1110,0)</f>
        <v>0.22356373550688</v>
      </c>
      <c r="U1110" s="15" t="str">
        <f aca="false">TEXT(A1110,"yyyy-mm")</f>
        <v>2022-02</v>
      </c>
    </row>
    <row r="1111" customFormat="false" ht="15" hidden="false" customHeight="false" outlineLevel="0" collapsed="false">
      <c r="A1111" s="10" t="n">
        <v>44619</v>
      </c>
      <c r="B1111" s="11" t="s">
        <v>1243</v>
      </c>
      <c r="C1111" s="11" t="s">
        <v>146</v>
      </c>
      <c r="D1111" s="11" t="s">
        <v>138</v>
      </c>
      <c r="E1111" s="11" t="s">
        <v>139</v>
      </c>
      <c r="F1111" s="12" t="n">
        <v>2728100</v>
      </c>
      <c r="G1111" s="12" t="n">
        <v>2321000</v>
      </c>
      <c r="H1111" s="11" t="n">
        <v>20</v>
      </c>
      <c r="I1111" s="11" t="s">
        <v>69</v>
      </c>
      <c r="J1111" s="11" t="s">
        <v>80</v>
      </c>
      <c r="K1111" s="11" t="s">
        <v>81</v>
      </c>
      <c r="L1111" s="11" t="s">
        <v>82</v>
      </c>
      <c r="M1111" s="11" t="s">
        <v>73</v>
      </c>
      <c r="N1111" s="11" t="s">
        <v>74</v>
      </c>
      <c r="O1111" s="11" t="s">
        <v>75</v>
      </c>
      <c r="P1111" s="11" t="s">
        <v>76</v>
      </c>
      <c r="Q1111" s="13" t="n">
        <f aca="false">F1111*H1111</f>
        <v>54562000</v>
      </c>
      <c r="R1111" s="13" t="n">
        <f aca="false">G1111*H1111</f>
        <v>46420000</v>
      </c>
      <c r="S1111" s="13" t="n">
        <f aca="false">Q1111-R1111</f>
        <v>8142000</v>
      </c>
      <c r="T1111" s="14" t="n">
        <f aca="false">IFERROR(S1111/Q1111,0)</f>
        <v>0.149224735163667</v>
      </c>
      <c r="U1111" s="15" t="str">
        <f aca="false">TEXT(A1111,"yyyy-mm")</f>
        <v>2022-02</v>
      </c>
    </row>
    <row r="1112" customFormat="false" ht="15" hidden="false" customHeight="false" outlineLevel="0" collapsed="false">
      <c r="A1112" s="10" t="n">
        <v>44619</v>
      </c>
      <c r="B1112" s="11" t="s">
        <v>1244</v>
      </c>
      <c r="C1112" s="11" t="s">
        <v>148</v>
      </c>
      <c r="D1112" s="11" t="s">
        <v>138</v>
      </c>
      <c r="E1112" s="11" t="s">
        <v>122</v>
      </c>
      <c r="F1112" s="12" t="n">
        <v>4941716</v>
      </c>
      <c r="G1112" s="12" t="n">
        <v>4456000</v>
      </c>
      <c r="H1112" s="11" t="n">
        <v>15</v>
      </c>
      <c r="I1112" s="11" t="s">
        <v>86</v>
      </c>
      <c r="J1112" s="11" t="s">
        <v>87</v>
      </c>
      <c r="K1112" s="11" t="s">
        <v>88</v>
      </c>
      <c r="L1112" s="11" t="s">
        <v>89</v>
      </c>
      <c r="M1112" s="11" t="s">
        <v>90</v>
      </c>
      <c r="N1112" s="11" t="s">
        <v>99</v>
      </c>
      <c r="O1112" s="11" t="s">
        <v>100</v>
      </c>
      <c r="P1112" s="11" t="s">
        <v>101</v>
      </c>
      <c r="Q1112" s="13" t="n">
        <f aca="false">F1112*H1112</f>
        <v>74125740</v>
      </c>
      <c r="R1112" s="13" t="n">
        <f aca="false">G1112*H1112</f>
        <v>66840000</v>
      </c>
      <c r="S1112" s="13" t="n">
        <f aca="false">Q1112-R1112</f>
        <v>7285740</v>
      </c>
      <c r="T1112" s="14" t="n">
        <f aca="false">IFERROR(S1112/Q1112,0)</f>
        <v>0.0982889344511097</v>
      </c>
      <c r="U1112" s="15" t="str">
        <f aca="false">TEXT(A1112,"yyyy-mm")</f>
        <v>2022-02</v>
      </c>
    </row>
    <row r="1113" customFormat="false" ht="15" hidden="false" customHeight="false" outlineLevel="0" collapsed="false">
      <c r="A1113" s="10" t="n">
        <v>44619</v>
      </c>
      <c r="B1113" s="11" t="s">
        <v>1245</v>
      </c>
      <c r="C1113" s="11" t="s">
        <v>66</v>
      </c>
      <c r="D1113" s="11" t="s">
        <v>67</v>
      </c>
      <c r="E1113" s="11" t="s">
        <v>68</v>
      </c>
      <c r="F1113" s="12" t="n">
        <v>3048952</v>
      </c>
      <c r="G1113" s="12" t="n">
        <v>2560000</v>
      </c>
      <c r="H1113" s="11" t="n">
        <v>13</v>
      </c>
      <c r="I1113" s="11" t="s">
        <v>69</v>
      </c>
      <c r="J1113" s="11" t="s">
        <v>80</v>
      </c>
      <c r="K1113" s="11" t="s">
        <v>81</v>
      </c>
      <c r="L1113" s="11" t="s">
        <v>82</v>
      </c>
      <c r="M1113" s="11" t="s">
        <v>73</v>
      </c>
      <c r="N1113" s="11" t="s">
        <v>74</v>
      </c>
      <c r="O1113" s="11" t="s">
        <v>75</v>
      </c>
      <c r="P1113" s="11" t="s">
        <v>76</v>
      </c>
      <c r="Q1113" s="13" t="n">
        <f aca="false">F1113*H1113</f>
        <v>39636376</v>
      </c>
      <c r="R1113" s="13" t="n">
        <f aca="false">G1113*H1113</f>
        <v>33280000</v>
      </c>
      <c r="S1113" s="13" t="n">
        <f aca="false">Q1113-R1113</f>
        <v>6356376</v>
      </c>
      <c r="T1113" s="14" t="n">
        <f aca="false">IFERROR(S1113/Q1113,0)</f>
        <v>0.160367234380863</v>
      </c>
      <c r="U1113" s="15" t="str">
        <f aca="false">TEXT(A1113,"yyyy-mm")</f>
        <v>2022-02</v>
      </c>
    </row>
    <row r="1114" customFormat="false" ht="15" hidden="false" customHeight="false" outlineLevel="0" collapsed="false">
      <c r="A1114" s="10" t="n">
        <v>44619</v>
      </c>
      <c r="B1114" s="11" t="s">
        <v>1246</v>
      </c>
      <c r="C1114" s="11" t="s">
        <v>78</v>
      </c>
      <c r="D1114" s="11" t="s">
        <v>67</v>
      </c>
      <c r="E1114" s="11" t="s">
        <v>79</v>
      </c>
      <c r="F1114" s="12" t="n">
        <v>1870000</v>
      </c>
      <c r="G1114" s="12" t="n">
        <v>1650000</v>
      </c>
      <c r="H1114" s="11" t="n">
        <v>13</v>
      </c>
      <c r="I1114" s="11" t="s">
        <v>69</v>
      </c>
      <c r="J1114" s="11" t="s">
        <v>112</v>
      </c>
      <c r="K1114" s="11" t="s">
        <v>113</v>
      </c>
      <c r="L1114" s="11" t="s">
        <v>82</v>
      </c>
      <c r="M1114" s="11" t="s">
        <v>157</v>
      </c>
      <c r="N1114" s="11" t="s">
        <v>93</v>
      </c>
      <c r="O1114" s="11" t="s">
        <v>94</v>
      </c>
      <c r="P1114" s="11" t="s">
        <v>95</v>
      </c>
      <c r="Q1114" s="13" t="n">
        <f aca="false">F1114*H1114</f>
        <v>24310000</v>
      </c>
      <c r="R1114" s="13" t="n">
        <f aca="false">G1114*H1114</f>
        <v>21450000</v>
      </c>
      <c r="S1114" s="13" t="n">
        <f aca="false">Q1114-R1114</f>
        <v>2860000</v>
      </c>
      <c r="T1114" s="14" t="n">
        <f aca="false">IFERROR(S1114/Q1114,0)</f>
        <v>0.117647058823529</v>
      </c>
      <c r="U1114" s="15" t="str">
        <f aca="false">TEXT(A1114,"yyyy-mm")</f>
        <v>2022-02</v>
      </c>
    </row>
    <row r="1115" customFormat="false" ht="15" hidden="false" customHeight="false" outlineLevel="0" collapsed="false">
      <c r="A1115" s="10" t="n">
        <v>44619</v>
      </c>
      <c r="B1115" s="11" t="s">
        <v>1247</v>
      </c>
      <c r="C1115" s="11" t="s">
        <v>84</v>
      </c>
      <c r="D1115" s="11" t="s">
        <v>67</v>
      </c>
      <c r="E1115" s="11" t="s">
        <v>85</v>
      </c>
      <c r="F1115" s="12" t="n">
        <v>2600000</v>
      </c>
      <c r="G1115" s="12" t="n">
        <v>2300000</v>
      </c>
      <c r="H1115" s="11" t="n">
        <v>11</v>
      </c>
      <c r="I1115" s="11" t="s">
        <v>69</v>
      </c>
      <c r="J1115" s="11" t="s">
        <v>70</v>
      </c>
      <c r="K1115" s="11" t="s">
        <v>71</v>
      </c>
      <c r="L1115" s="11" t="s">
        <v>72</v>
      </c>
      <c r="M1115" s="11" t="s">
        <v>73</v>
      </c>
      <c r="N1115" s="11" t="s">
        <v>104</v>
      </c>
      <c r="O1115" s="11" t="s">
        <v>105</v>
      </c>
      <c r="P1115" s="11" t="s">
        <v>106</v>
      </c>
      <c r="Q1115" s="13" t="n">
        <f aca="false">F1115*H1115</f>
        <v>28600000</v>
      </c>
      <c r="R1115" s="13" t="n">
        <f aca="false">G1115*H1115</f>
        <v>25300000</v>
      </c>
      <c r="S1115" s="13" t="n">
        <f aca="false">Q1115-R1115</f>
        <v>3300000</v>
      </c>
      <c r="T1115" s="14" t="n">
        <f aca="false">IFERROR(S1115/Q1115,0)</f>
        <v>0.115384615384615</v>
      </c>
      <c r="U1115" s="15" t="str">
        <f aca="false">TEXT(A1115,"yyyy-mm")</f>
        <v>2022-02</v>
      </c>
    </row>
    <row r="1116" customFormat="false" ht="15" hidden="false" customHeight="false" outlineLevel="0" collapsed="false">
      <c r="A1116" s="10" t="n">
        <v>44619</v>
      </c>
      <c r="B1116" s="11" t="s">
        <v>1248</v>
      </c>
      <c r="C1116" s="11" t="s">
        <v>92</v>
      </c>
      <c r="D1116" s="11" t="s">
        <v>67</v>
      </c>
      <c r="E1116" s="11" t="s">
        <v>79</v>
      </c>
      <c r="F1116" s="12" t="n">
        <v>3577480</v>
      </c>
      <c r="G1116" s="12" t="n">
        <v>3100000</v>
      </c>
      <c r="H1116" s="11" t="n">
        <v>14</v>
      </c>
      <c r="I1116" s="11" t="s">
        <v>69</v>
      </c>
      <c r="J1116" s="11" t="s">
        <v>80</v>
      </c>
      <c r="K1116" s="11" t="s">
        <v>81</v>
      </c>
      <c r="L1116" s="11" t="s">
        <v>82</v>
      </c>
      <c r="M1116" s="11" t="s">
        <v>73</v>
      </c>
      <c r="N1116" s="11" t="s">
        <v>99</v>
      </c>
      <c r="O1116" s="11" t="s">
        <v>100</v>
      </c>
      <c r="P1116" s="11" t="s">
        <v>101</v>
      </c>
      <c r="Q1116" s="13" t="n">
        <f aca="false">F1116*H1116</f>
        <v>50084720</v>
      </c>
      <c r="R1116" s="13" t="n">
        <f aca="false">G1116*H1116</f>
        <v>43400000</v>
      </c>
      <c r="S1116" s="13" t="n">
        <f aca="false">Q1116-R1116</f>
        <v>6684720</v>
      </c>
      <c r="T1116" s="14" t="n">
        <f aca="false">IFERROR(S1116/Q1116,0)</f>
        <v>0.133468251394837</v>
      </c>
      <c r="U1116" s="15" t="str">
        <f aca="false">TEXT(A1116,"yyyy-mm")</f>
        <v>2022-02</v>
      </c>
    </row>
    <row r="1117" customFormat="false" ht="15" hidden="false" customHeight="false" outlineLevel="0" collapsed="false">
      <c r="A1117" s="10" t="n">
        <v>44619</v>
      </c>
      <c r="B1117" s="11" t="s">
        <v>1249</v>
      </c>
      <c r="C1117" s="11" t="s">
        <v>97</v>
      </c>
      <c r="D1117" s="11" t="s">
        <v>67</v>
      </c>
      <c r="E1117" s="11" t="s">
        <v>98</v>
      </c>
      <c r="F1117" s="12" t="n">
        <v>4969724</v>
      </c>
      <c r="G1117" s="12" t="n">
        <v>4121560</v>
      </c>
      <c r="H1117" s="11" t="n">
        <v>16</v>
      </c>
      <c r="I1117" s="11" t="s">
        <v>69</v>
      </c>
      <c r="J1117" s="11" t="s">
        <v>112</v>
      </c>
      <c r="K1117" s="11" t="s">
        <v>113</v>
      </c>
      <c r="L1117" s="11" t="s">
        <v>82</v>
      </c>
      <c r="M1117" s="11" t="s">
        <v>157</v>
      </c>
      <c r="N1117" s="11" t="s">
        <v>143</v>
      </c>
      <c r="O1117" s="11" t="s">
        <v>144</v>
      </c>
      <c r="P1117" s="11" t="s">
        <v>101</v>
      </c>
      <c r="Q1117" s="13" t="n">
        <f aca="false">F1117*H1117</f>
        <v>79515584</v>
      </c>
      <c r="R1117" s="13" t="n">
        <f aca="false">G1117*H1117</f>
        <v>65944960</v>
      </c>
      <c r="S1117" s="13" t="n">
        <f aca="false">Q1117-R1117</f>
        <v>13570624</v>
      </c>
      <c r="T1117" s="14" t="n">
        <f aca="false">IFERROR(S1117/Q1117,0)</f>
        <v>0.170666218083741</v>
      </c>
      <c r="U1117" s="15" t="str">
        <f aca="false">TEXT(A1117,"yyyy-mm")</f>
        <v>2022-02</v>
      </c>
    </row>
    <row r="1118" customFormat="false" ht="15" hidden="false" customHeight="false" outlineLevel="0" collapsed="false">
      <c r="A1118" s="10" t="n">
        <v>44619</v>
      </c>
      <c r="B1118" s="11" t="s">
        <v>1250</v>
      </c>
      <c r="C1118" s="11" t="s">
        <v>103</v>
      </c>
      <c r="D1118" s="11" t="s">
        <v>67</v>
      </c>
      <c r="E1118" s="11" t="s">
        <v>68</v>
      </c>
      <c r="F1118" s="12" t="n">
        <v>3319925</v>
      </c>
      <c r="G1118" s="12" t="n">
        <v>2800000</v>
      </c>
      <c r="H1118" s="11" t="n">
        <v>7</v>
      </c>
      <c r="I1118" s="11" t="s">
        <v>69</v>
      </c>
      <c r="J1118" s="11" t="s">
        <v>80</v>
      </c>
      <c r="K1118" s="11" t="s">
        <v>81</v>
      </c>
      <c r="L1118" s="11" t="s">
        <v>82</v>
      </c>
      <c r="M1118" s="11" t="s">
        <v>73</v>
      </c>
      <c r="N1118" s="11" t="s">
        <v>143</v>
      </c>
      <c r="O1118" s="11" t="s">
        <v>144</v>
      </c>
      <c r="P1118" s="11" t="s">
        <v>101</v>
      </c>
      <c r="Q1118" s="13" t="n">
        <f aca="false">F1118*H1118</f>
        <v>23239475</v>
      </c>
      <c r="R1118" s="13" t="n">
        <f aca="false">G1118*H1118</f>
        <v>19600000</v>
      </c>
      <c r="S1118" s="13" t="n">
        <f aca="false">Q1118-R1118</f>
        <v>3639475</v>
      </c>
      <c r="T1118" s="14" t="n">
        <f aca="false">IFERROR(S1118/Q1118,0)</f>
        <v>0.15660745348163</v>
      </c>
      <c r="U1118" s="15" t="str">
        <f aca="false">TEXT(A1118,"yyyy-mm")</f>
        <v>2022-02</v>
      </c>
    </row>
    <row r="1119" customFormat="false" ht="15" hidden="false" customHeight="false" outlineLevel="0" collapsed="false">
      <c r="A1119" s="10" t="n">
        <v>44619</v>
      </c>
      <c r="B1119" s="11" t="s">
        <v>1251</v>
      </c>
      <c r="C1119" s="11" t="s">
        <v>108</v>
      </c>
      <c r="D1119" s="11" t="s">
        <v>67</v>
      </c>
      <c r="E1119" s="11" t="s">
        <v>68</v>
      </c>
      <c r="F1119" s="12" t="n">
        <v>4757880</v>
      </c>
      <c r="G1119" s="12" t="n">
        <v>3450000</v>
      </c>
      <c r="H1119" s="11" t="n">
        <v>2</v>
      </c>
      <c r="I1119" s="11" t="s">
        <v>86</v>
      </c>
      <c r="J1119" s="11" t="s">
        <v>87</v>
      </c>
      <c r="K1119" s="11" t="s">
        <v>88</v>
      </c>
      <c r="L1119" s="11" t="s">
        <v>89</v>
      </c>
      <c r="M1119" s="11" t="s">
        <v>90</v>
      </c>
      <c r="N1119" s="11" t="s">
        <v>93</v>
      </c>
      <c r="O1119" s="11" t="s">
        <v>94</v>
      </c>
      <c r="P1119" s="11" t="s">
        <v>95</v>
      </c>
      <c r="Q1119" s="13" t="n">
        <f aca="false">F1119*H1119</f>
        <v>9515760</v>
      </c>
      <c r="R1119" s="13" t="n">
        <f aca="false">G1119*H1119</f>
        <v>6900000</v>
      </c>
      <c r="S1119" s="13" t="n">
        <f aca="false">Q1119-R1119</f>
        <v>2615760</v>
      </c>
      <c r="T1119" s="14" t="n">
        <f aca="false">IFERROR(S1119/Q1119,0)</f>
        <v>0.274887134606169</v>
      </c>
      <c r="U1119" s="15" t="str">
        <f aca="false">TEXT(A1119,"yyyy-mm")</f>
        <v>2022-02</v>
      </c>
    </row>
    <row r="1120" customFormat="false" ht="15" hidden="false" customHeight="false" outlineLevel="0" collapsed="false">
      <c r="A1120" s="10" t="n">
        <v>44621</v>
      </c>
      <c r="B1120" s="11" t="s">
        <v>1252</v>
      </c>
      <c r="C1120" s="11" t="s">
        <v>111</v>
      </c>
      <c r="D1120" s="11" t="s">
        <v>67</v>
      </c>
      <c r="E1120" s="11" t="s">
        <v>79</v>
      </c>
      <c r="F1120" s="12" t="n">
        <v>3545808</v>
      </c>
      <c r="G1120" s="12" t="n">
        <v>3350000</v>
      </c>
      <c r="H1120" s="11" t="n">
        <v>20</v>
      </c>
      <c r="I1120" s="11" t="s">
        <v>69</v>
      </c>
      <c r="J1120" s="11" t="s">
        <v>70</v>
      </c>
      <c r="K1120" s="11" t="s">
        <v>71</v>
      </c>
      <c r="L1120" s="11" t="s">
        <v>72</v>
      </c>
      <c r="M1120" s="11" t="s">
        <v>73</v>
      </c>
      <c r="N1120" s="11" t="s">
        <v>123</v>
      </c>
      <c r="O1120" s="11" t="s">
        <v>60</v>
      </c>
      <c r="P1120" s="11" t="s">
        <v>106</v>
      </c>
      <c r="Q1120" s="13" t="n">
        <f aca="false">F1120*H1120</f>
        <v>70916160</v>
      </c>
      <c r="R1120" s="13" t="n">
        <f aca="false">G1120*H1120</f>
        <v>67000000</v>
      </c>
      <c r="S1120" s="13" t="n">
        <f aca="false">Q1120-R1120</f>
        <v>3916160</v>
      </c>
      <c r="T1120" s="14" t="n">
        <f aca="false">IFERROR(S1120/Q1120,0)</f>
        <v>0.0552223921881839</v>
      </c>
      <c r="U1120" s="15" t="str">
        <f aca="false">TEXT(A1120,"yyyy-mm")</f>
        <v>2022-03</v>
      </c>
    </row>
    <row r="1121" customFormat="false" ht="15" hidden="false" customHeight="false" outlineLevel="0" collapsed="false">
      <c r="A1121" s="10" t="n">
        <v>44621</v>
      </c>
      <c r="B1121" s="11" t="s">
        <v>1253</v>
      </c>
      <c r="C1121" s="11" t="s">
        <v>115</v>
      </c>
      <c r="D1121" s="11" t="s">
        <v>67</v>
      </c>
      <c r="E1121" s="11" t="s">
        <v>98</v>
      </c>
      <c r="F1121" s="12" t="n">
        <v>4200743</v>
      </c>
      <c r="G1121" s="12" t="n">
        <v>4101000</v>
      </c>
      <c r="H1121" s="11" t="n">
        <v>9</v>
      </c>
      <c r="I1121" s="11" t="s">
        <v>69</v>
      </c>
      <c r="J1121" s="11" t="s">
        <v>80</v>
      </c>
      <c r="K1121" s="11" t="s">
        <v>81</v>
      </c>
      <c r="L1121" s="11" t="s">
        <v>82</v>
      </c>
      <c r="M1121" s="11" t="s">
        <v>73</v>
      </c>
      <c r="N1121" s="11" t="s">
        <v>149</v>
      </c>
      <c r="O1121" s="11" t="s">
        <v>150</v>
      </c>
      <c r="P1121" s="11" t="s">
        <v>151</v>
      </c>
      <c r="Q1121" s="13" t="n">
        <f aca="false">F1121*H1121</f>
        <v>37806687</v>
      </c>
      <c r="R1121" s="13" t="n">
        <f aca="false">G1121*H1121</f>
        <v>36909000</v>
      </c>
      <c r="S1121" s="13" t="n">
        <f aca="false">Q1121-R1121</f>
        <v>897687</v>
      </c>
      <c r="T1121" s="14" t="n">
        <f aca="false">IFERROR(S1121/Q1121,0)</f>
        <v>0.023744132883159</v>
      </c>
      <c r="U1121" s="15" t="str">
        <f aca="false">TEXT(A1121,"yyyy-mm")</f>
        <v>2022-03</v>
      </c>
    </row>
    <row r="1122" customFormat="false" ht="15" hidden="false" customHeight="false" outlineLevel="0" collapsed="false">
      <c r="A1122" s="10" t="n">
        <v>44621</v>
      </c>
      <c r="B1122" s="11" t="s">
        <v>1254</v>
      </c>
      <c r="C1122" s="11" t="s">
        <v>117</v>
      </c>
      <c r="D1122" s="11" t="s">
        <v>118</v>
      </c>
      <c r="E1122" s="11" t="s">
        <v>119</v>
      </c>
      <c r="F1122" s="12" t="n">
        <v>8220549</v>
      </c>
      <c r="G1122" s="12" t="n">
        <v>6500000</v>
      </c>
      <c r="H1122" s="11" t="n">
        <v>23</v>
      </c>
      <c r="I1122" s="11" t="s">
        <v>69</v>
      </c>
      <c r="J1122" s="11" t="s">
        <v>80</v>
      </c>
      <c r="K1122" s="11" t="s">
        <v>81</v>
      </c>
      <c r="L1122" s="11" t="s">
        <v>82</v>
      </c>
      <c r="M1122" s="11" t="s">
        <v>73</v>
      </c>
      <c r="N1122" s="11" t="s">
        <v>149</v>
      </c>
      <c r="O1122" s="11" t="s">
        <v>150</v>
      </c>
      <c r="P1122" s="11" t="s">
        <v>151</v>
      </c>
      <c r="Q1122" s="13" t="n">
        <f aca="false">F1122*H1122</f>
        <v>189072627</v>
      </c>
      <c r="R1122" s="13" t="n">
        <f aca="false">G1122*H1122</f>
        <v>149500000</v>
      </c>
      <c r="S1122" s="13" t="n">
        <f aca="false">Q1122-R1122</f>
        <v>39572627</v>
      </c>
      <c r="T1122" s="14" t="n">
        <f aca="false">IFERROR(S1122/Q1122,0)</f>
        <v>0.209298551714733</v>
      </c>
      <c r="U1122" s="15" t="str">
        <f aca="false">TEXT(A1122,"yyyy-mm")</f>
        <v>2022-03</v>
      </c>
    </row>
    <row r="1123" customFormat="false" ht="15" hidden="false" customHeight="false" outlineLevel="0" collapsed="false">
      <c r="A1123" s="10" t="n">
        <v>44621</v>
      </c>
      <c r="B1123" s="11" t="s">
        <v>1255</v>
      </c>
      <c r="C1123" s="11" t="s">
        <v>121</v>
      </c>
      <c r="D1123" s="11" t="s">
        <v>118</v>
      </c>
      <c r="E1123" s="11" t="s">
        <v>122</v>
      </c>
      <c r="F1123" s="12" t="n">
        <v>7687274</v>
      </c>
      <c r="G1123" s="12" t="n">
        <v>6500000</v>
      </c>
      <c r="H1123" s="11" t="n">
        <v>18</v>
      </c>
      <c r="I1123" s="11" t="s">
        <v>69</v>
      </c>
      <c r="J1123" s="11" t="s">
        <v>70</v>
      </c>
      <c r="K1123" s="11" t="s">
        <v>71</v>
      </c>
      <c r="L1123" s="11" t="s">
        <v>72</v>
      </c>
      <c r="M1123" s="11" t="s">
        <v>73</v>
      </c>
      <c r="N1123" s="11" t="s">
        <v>143</v>
      </c>
      <c r="O1123" s="11" t="s">
        <v>144</v>
      </c>
      <c r="P1123" s="11" t="s">
        <v>101</v>
      </c>
      <c r="Q1123" s="13" t="n">
        <f aca="false">F1123*H1123</f>
        <v>138370932</v>
      </c>
      <c r="R1123" s="13" t="n">
        <f aca="false">G1123*H1123</f>
        <v>117000000</v>
      </c>
      <c r="S1123" s="13" t="n">
        <f aca="false">Q1123-R1123</f>
        <v>21370932</v>
      </c>
      <c r="T1123" s="14" t="n">
        <f aca="false">IFERROR(S1123/Q1123,0)</f>
        <v>0.154446686822923</v>
      </c>
      <c r="U1123" s="15" t="str">
        <f aca="false">TEXT(A1123,"yyyy-mm")</f>
        <v>2022-03</v>
      </c>
    </row>
    <row r="1124" customFormat="false" ht="15" hidden="false" customHeight="false" outlineLevel="0" collapsed="false">
      <c r="A1124" s="10" t="n">
        <v>44621</v>
      </c>
      <c r="B1124" s="11" t="s">
        <v>1256</v>
      </c>
      <c r="C1124" s="11" t="s">
        <v>125</v>
      </c>
      <c r="D1124" s="11" t="s">
        <v>118</v>
      </c>
      <c r="E1124" s="11" t="s">
        <v>126</v>
      </c>
      <c r="F1124" s="12" t="n">
        <v>5684211</v>
      </c>
      <c r="G1124" s="12" t="n">
        <v>4300000</v>
      </c>
      <c r="H1124" s="11" t="n">
        <v>1</v>
      </c>
      <c r="I1124" s="11" t="s">
        <v>69</v>
      </c>
      <c r="J1124" s="11" t="s">
        <v>112</v>
      </c>
      <c r="K1124" s="11" t="s">
        <v>113</v>
      </c>
      <c r="L1124" s="11" t="s">
        <v>82</v>
      </c>
      <c r="M1124" s="11" t="s">
        <v>157</v>
      </c>
      <c r="N1124" s="11" t="s">
        <v>99</v>
      </c>
      <c r="O1124" s="11" t="s">
        <v>100</v>
      </c>
      <c r="P1124" s="11" t="s">
        <v>101</v>
      </c>
      <c r="Q1124" s="13" t="n">
        <f aca="false">F1124*H1124</f>
        <v>5684211</v>
      </c>
      <c r="R1124" s="13" t="n">
        <f aca="false">G1124*H1124</f>
        <v>4300000</v>
      </c>
      <c r="S1124" s="13" t="n">
        <f aca="false">Q1124-R1124</f>
        <v>1384211</v>
      </c>
      <c r="T1124" s="14" t="n">
        <f aca="false">IFERROR(S1124/Q1124,0)</f>
        <v>0.243518581558637</v>
      </c>
      <c r="U1124" s="15" t="str">
        <f aca="false">TEXT(A1124,"yyyy-mm")</f>
        <v>2022-03</v>
      </c>
    </row>
    <row r="1125" customFormat="false" ht="15" hidden="false" customHeight="false" outlineLevel="0" collapsed="false">
      <c r="A1125" s="10" t="n">
        <v>44622</v>
      </c>
      <c r="B1125" s="11" t="s">
        <v>1257</v>
      </c>
      <c r="C1125" s="11" t="s">
        <v>128</v>
      </c>
      <c r="D1125" s="11" t="s">
        <v>118</v>
      </c>
      <c r="E1125" s="11" t="s">
        <v>119</v>
      </c>
      <c r="F1125" s="12" t="n">
        <v>3370302</v>
      </c>
      <c r="G1125" s="12" t="n">
        <v>2100000</v>
      </c>
      <c r="H1125" s="11" t="n">
        <v>19</v>
      </c>
      <c r="I1125" s="11" t="s">
        <v>86</v>
      </c>
      <c r="J1125" s="11" t="s">
        <v>87</v>
      </c>
      <c r="K1125" s="11" t="s">
        <v>88</v>
      </c>
      <c r="L1125" s="11" t="s">
        <v>89</v>
      </c>
      <c r="M1125" s="11" t="s">
        <v>90</v>
      </c>
      <c r="N1125" s="11" t="s">
        <v>133</v>
      </c>
      <c r="O1125" s="11" t="s">
        <v>60</v>
      </c>
      <c r="P1125" s="11" t="s">
        <v>76</v>
      </c>
      <c r="Q1125" s="13" t="n">
        <f aca="false">F1125*H1125</f>
        <v>64035738</v>
      </c>
      <c r="R1125" s="13" t="n">
        <f aca="false">G1125*H1125</f>
        <v>39900000</v>
      </c>
      <c r="S1125" s="13" t="n">
        <f aca="false">Q1125-R1125</f>
        <v>24135738</v>
      </c>
      <c r="T1125" s="14" t="n">
        <f aca="false">IFERROR(S1125/Q1125,0)</f>
        <v>0.37691043710623</v>
      </c>
      <c r="U1125" s="15" t="str">
        <f aca="false">TEXT(A1125,"yyyy-mm")</f>
        <v>2022-03</v>
      </c>
    </row>
    <row r="1126" customFormat="false" ht="15" hidden="false" customHeight="false" outlineLevel="0" collapsed="false">
      <c r="A1126" s="10" t="n">
        <v>44622</v>
      </c>
      <c r="B1126" s="11" t="s">
        <v>1258</v>
      </c>
      <c r="C1126" s="11" t="s">
        <v>130</v>
      </c>
      <c r="D1126" s="11" t="s">
        <v>118</v>
      </c>
      <c r="E1126" s="11" t="s">
        <v>68</v>
      </c>
      <c r="F1126" s="12" t="n">
        <v>2852897</v>
      </c>
      <c r="G1126" s="12" t="n">
        <v>2450000</v>
      </c>
      <c r="H1126" s="11" t="n">
        <v>4</v>
      </c>
      <c r="I1126" s="11" t="s">
        <v>69</v>
      </c>
      <c r="J1126" s="11" t="s">
        <v>70</v>
      </c>
      <c r="K1126" s="11" t="s">
        <v>71</v>
      </c>
      <c r="L1126" s="11" t="s">
        <v>72</v>
      </c>
      <c r="M1126" s="11" t="s">
        <v>73</v>
      </c>
      <c r="N1126" s="11" t="s">
        <v>109</v>
      </c>
      <c r="O1126" s="11" t="s">
        <v>75</v>
      </c>
      <c r="P1126" s="11" t="s">
        <v>95</v>
      </c>
      <c r="Q1126" s="13" t="n">
        <f aca="false">F1126*H1126</f>
        <v>11411588</v>
      </c>
      <c r="R1126" s="13" t="n">
        <f aca="false">G1126*H1126</f>
        <v>9800000</v>
      </c>
      <c r="S1126" s="13" t="n">
        <f aca="false">Q1126-R1126</f>
        <v>1611588</v>
      </c>
      <c r="T1126" s="14" t="n">
        <f aca="false">IFERROR(S1126/Q1126,0)</f>
        <v>0.141223815651249</v>
      </c>
      <c r="U1126" s="15" t="str">
        <f aca="false">TEXT(A1126,"yyyy-mm")</f>
        <v>2022-03</v>
      </c>
    </row>
    <row r="1127" customFormat="false" ht="15" hidden="false" customHeight="false" outlineLevel="0" collapsed="false">
      <c r="A1127" s="10" t="n">
        <v>44623</v>
      </c>
      <c r="B1127" s="11" t="s">
        <v>1259</v>
      </c>
      <c r="C1127" s="11" t="s">
        <v>132</v>
      </c>
      <c r="D1127" s="11" t="s">
        <v>118</v>
      </c>
      <c r="E1127" s="11" t="s">
        <v>68</v>
      </c>
      <c r="F1127" s="12" t="n">
        <v>4803603</v>
      </c>
      <c r="G1127" s="12" t="n">
        <v>4121000</v>
      </c>
      <c r="H1127" s="11" t="n">
        <v>19</v>
      </c>
      <c r="I1127" s="11" t="s">
        <v>69</v>
      </c>
      <c r="J1127" s="11" t="s">
        <v>70</v>
      </c>
      <c r="K1127" s="11" t="s">
        <v>71</v>
      </c>
      <c r="L1127" s="11" t="s">
        <v>72</v>
      </c>
      <c r="M1127" s="11" t="s">
        <v>73</v>
      </c>
      <c r="N1127" s="11" t="s">
        <v>133</v>
      </c>
      <c r="O1127" s="11" t="s">
        <v>60</v>
      </c>
      <c r="P1127" s="11" t="s">
        <v>76</v>
      </c>
      <c r="Q1127" s="13" t="n">
        <f aca="false">F1127*H1127</f>
        <v>91268457</v>
      </c>
      <c r="R1127" s="13" t="n">
        <f aca="false">G1127*H1127</f>
        <v>78299000</v>
      </c>
      <c r="S1127" s="13" t="n">
        <f aca="false">Q1127-R1127</f>
        <v>12969457</v>
      </c>
      <c r="T1127" s="14" t="n">
        <f aca="false">IFERROR(S1127/Q1127,0)</f>
        <v>0.142102292799801</v>
      </c>
      <c r="U1127" s="15" t="str">
        <f aca="false">TEXT(A1127,"yyyy-mm")</f>
        <v>2022-03</v>
      </c>
    </row>
    <row r="1128" customFormat="false" ht="15" hidden="false" customHeight="false" outlineLevel="0" collapsed="false">
      <c r="A1128" s="10" t="n">
        <v>44623</v>
      </c>
      <c r="B1128" s="11" t="s">
        <v>1260</v>
      </c>
      <c r="C1128" s="11" t="s">
        <v>135</v>
      </c>
      <c r="D1128" s="11" t="s">
        <v>118</v>
      </c>
      <c r="E1128" s="11" t="s">
        <v>68</v>
      </c>
      <c r="F1128" s="12" t="n">
        <v>5689947</v>
      </c>
      <c r="G1128" s="12" t="n">
        <v>5235000</v>
      </c>
      <c r="H1128" s="11" t="n">
        <v>16</v>
      </c>
      <c r="I1128" s="11" t="s">
        <v>69</v>
      </c>
      <c r="J1128" s="11" t="s">
        <v>70</v>
      </c>
      <c r="K1128" s="11" t="s">
        <v>71</v>
      </c>
      <c r="L1128" s="11" t="s">
        <v>72</v>
      </c>
      <c r="M1128" s="11" t="s">
        <v>73</v>
      </c>
      <c r="N1128" s="11" t="s">
        <v>173</v>
      </c>
      <c r="O1128" s="11" t="s">
        <v>174</v>
      </c>
      <c r="P1128" s="11" t="s">
        <v>95</v>
      </c>
      <c r="Q1128" s="13" t="n">
        <f aca="false">F1128*H1128</f>
        <v>91039152</v>
      </c>
      <c r="R1128" s="13" t="n">
        <f aca="false">G1128*H1128</f>
        <v>83760000</v>
      </c>
      <c r="S1128" s="13" t="n">
        <f aca="false">Q1128-R1128</f>
        <v>7279152</v>
      </c>
      <c r="T1128" s="14" t="n">
        <f aca="false">IFERROR(S1128/Q1128,0)</f>
        <v>0.0799562807878527</v>
      </c>
      <c r="U1128" s="15" t="str">
        <f aca="false">TEXT(A1128,"yyyy-mm")</f>
        <v>2022-03</v>
      </c>
    </row>
    <row r="1129" customFormat="false" ht="15" hidden="false" customHeight="false" outlineLevel="0" collapsed="false">
      <c r="A1129" s="10" t="n">
        <v>44623</v>
      </c>
      <c r="B1129" s="11" t="s">
        <v>1261</v>
      </c>
      <c r="C1129" s="11" t="s">
        <v>137</v>
      </c>
      <c r="D1129" s="11" t="s">
        <v>138</v>
      </c>
      <c r="E1129" s="11" t="s">
        <v>139</v>
      </c>
      <c r="F1129" s="12" t="n">
        <v>5171827</v>
      </c>
      <c r="G1129" s="12" t="n">
        <v>4890000</v>
      </c>
      <c r="H1129" s="11" t="n">
        <v>16</v>
      </c>
      <c r="I1129" s="11" t="s">
        <v>69</v>
      </c>
      <c r="J1129" s="11" t="s">
        <v>80</v>
      </c>
      <c r="K1129" s="11" t="s">
        <v>81</v>
      </c>
      <c r="L1129" s="11" t="s">
        <v>82</v>
      </c>
      <c r="M1129" s="11" t="s">
        <v>73</v>
      </c>
      <c r="N1129" s="11" t="s">
        <v>133</v>
      </c>
      <c r="O1129" s="11" t="s">
        <v>60</v>
      </c>
      <c r="P1129" s="11" t="s">
        <v>76</v>
      </c>
      <c r="Q1129" s="13" t="n">
        <f aca="false">F1129*H1129</f>
        <v>82749232</v>
      </c>
      <c r="R1129" s="13" t="n">
        <f aca="false">G1129*H1129</f>
        <v>78240000</v>
      </c>
      <c r="S1129" s="13" t="n">
        <f aca="false">Q1129-R1129</f>
        <v>4509232</v>
      </c>
      <c r="T1129" s="14" t="n">
        <f aca="false">IFERROR(S1129/Q1129,0)</f>
        <v>0.0544927353525166</v>
      </c>
      <c r="U1129" s="15" t="str">
        <f aca="false">TEXT(A1129,"yyyy-mm")</f>
        <v>2022-03</v>
      </c>
    </row>
    <row r="1130" customFormat="false" ht="15" hidden="false" customHeight="false" outlineLevel="0" collapsed="false">
      <c r="A1130" s="10" t="n">
        <v>44624</v>
      </c>
      <c r="B1130" s="11" t="s">
        <v>1262</v>
      </c>
      <c r="C1130" s="11" t="s">
        <v>141</v>
      </c>
      <c r="D1130" s="11" t="s">
        <v>138</v>
      </c>
      <c r="E1130" s="11" t="s">
        <v>142</v>
      </c>
      <c r="F1130" s="12" t="n">
        <v>2805124</v>
      </c>
      <c r="G1130" s="12" t="n">
        <v>2178000</v>
      </c>
      <c r="H1130" s="11" t="n">
        <v>9</v>
      </c>
      <c r="I1130" s="11" t="s">
        <v>86</v>
      </c>
      <c r="J1130" s="11" t="s">
        <v>87</v>
      </c>
      <c r="K1130" s="11" t="s">
        <v>88</v>
      </c>
      <c r="L1130" s="11" t="s">
        <v>89</v>
      </c>
      <c r="M1130" s="11" t="s">
        <v>90</v>
      </c>
      <c r="N1130" s="11" t="s">
        <v>123</v>
      </c>
      <c r="O1130" s="11" t="s">
        <v>60</v>
      </c>
      <c r="P1130" s="11" t="s">
        <v>106</v>
      </c>
      <c r="Q1130" s="13" t="n">
        <f aca="false">F1130*H1130</f>
        <v>25246116</v>
      </c>
      <c r="R1130" s="13" t="n">
        <f aca="false">G1130*H1130</f>
        <v>19602000</v>
      </c>
      <c r="S1130" s="13" t="n">
        <f aca="false">Q1130-R1130</f>
        <v>5644116</v>
      </c>
      <c r="T1130" s="14" t="n">
        <f aca="false">IFERROR(S1130/Q1130,0)</f>
        <v>0.22356373550688</v>
      </c>
      <c r="U1130" s="15" t="str">
        <f aca="false">TEXT(A1130,"yyyy-mm")</f>
        <v>2022-03</v>
      </c>
    </row>
    <row r="1131" customFormat="false" ht="15" hidden="false" customHeight="false" outlineLevel="0" collapsed="false">
      <c r="A1131" s="10" t="n">
        <v>44624</v>
      </c>
      <c r="B1131" s="11" t="s">
        <v>1263</v>
      </c>
      <c r="C1131" s="11" t="s">
        <v>146</v>
      </c>
      <c r="D1131" s="11" t="s">
        <v>138</v>
      </c>
      <c r="E1131" s="11" t="s">
        <v>139</v>
      </c>
      <c r="F1131" s="12" t="n">
        <v>2728100</v>
      </c>
      <c r="G1131" s="12" t="n">
        <v>2321000</v>
      </c>
      <c r="H1131" s="11" t="n">
        <v>21</v>
      </c>
      <c r="I1131" s="11" t="s">
        <v>86</v>
      </c>
      <c r="J1131" s="11" t="s">
        <v>87</v>
      </c>
      <c r="K1131" s="11" t="s">
        <v>88</v>
      </c>
      <c r="L1131" s="11" t="s">
        <v>89</v>
      </c>
      <c r="M1131" s="11" t="s">
        <v>90</v>
      </c>
      <c r="N1131" s="11" t="s">
        <v>109</v>
      </c>
      <c r="O1131" s="11" t="s">
        <v>75</v>
      </c>
      <c r="P1131" s="11" t="s">
        <v>95</v>
      </c>
      <c r="Q1131" s="13" t="n">
        <f aca="false">F1131*H1131</f>
        <v>57290100</v>
      </c>
      <c r="R1131" s="13" t="n">
        <f aca="false">G1131*H1131</f>
        <v>48741000</v>
      </c>
      <c r="S1131" s="13" t="n">
        <f aca="false">Q1131-R1131</f>
        <v>8549100</v>
      </c>
      <c r="T1131" s="14" t="n">
        <f aca="false">IFERROR(S1131/Q1131,0)</f>
        <v>0.149224735163667</v>
      </c>
      <c r="U1131" s="15" t="str">
        <f aca="false">TEXT(A1131,"yyyy-mm")</f>
        <v>2022-03</v>
      </c>
    </row>
    <row r="1132" customFormat="false" ht="15" hidden="false" customHeight="false" outlineLevel="0" collapsed="false">
      <c r="A1132" s="10" t="n">
        <v>44625</v>
      </c>
      <c r="B1132" s="11" t="s">
        <v>1264</v>
      </c>
      <c r="C1132" s="11" t="s">
        <v>148</v>
      </c>
      <c r="D1132" s="11" t="s">
        <v>138</v>
      </c>
      <c r="E1132" s="11" t="s">
        <v>122</v>
      </c>
      <c r="F1132" s="12" t="n">
        <v>4941716</v>
      </c>
      <c r="G1132" s="12" t="n">
        <v>4456000</v>
      </c>
      <c r="H1132" s="11" t="n">
        <v>20</v>
      </c>
      <c r="I1132" s="11" t="s">
        <v>69</v>
      </c>
      <c r="J1132" s="11" t="s">
        <v>70</v>
      </c>
      <c r="K1132" s="11" t="s">
        <v>71</v>
      </c>
      <c r="L1132" s="11" t="s">
        <v>72</v>
      </c>
      <c r="M1132" s="11" t="s">
        <v>73</v>
      </c>
      <c r="N1132" s="11" t="s">
        <v>99</v>
      </c>
      <c r="O1132" s="11" t="s">
        <v>100</v>
      </c>
      <c r="P1132" s="11" t="s">
        <v>101</v>
      </c>
      <c r="Q1132" s="13" t="n">
        <f aca="false">F1132*H1132</f>
        <v>98834320</v>
      </c>
      <c r="R1132" s="13" t="n">
        <f aca="false">G1132*H1132</f>
        <v>89120000</v>
      </c>
      <c r="S1132" s="13" t="n">
        <f aca="false">Q1132-R1132</f>
        <v>9714320</v>
      </c>
      <c r="T1132" s="14" t="n">
        <f aca="false">IFERROR(S1132/Q1132,0)</f>
        <v>0.0982889344511097</v>
      </c>
      <c r="U1132" s="15" t="str">
        <f aca="false">TEXT(A1132,"yyyy-mm")</f>
        <v>2022-03</v>
      </c>
    </row>
    <row r="1133" customFormat="false" ht="15" hidden="false" customHeight="false" outlineLevel="0" collapsed="false">
      <c r="A1133" s="10" t="n">
        <v>44625</v>
      </c>
      <c r="B1133" s="11" t="s">
        <v>1265</v>
      </c>
      <c r="C1133" s="11" t="s">
        <v>66</v>
      </c>
      <c r="D1133" s="11" t="s">
        <v>67</v>
      </c>
      <c r="E1133" s="11" t="s">
        <v>68</v>
      </c>
      <c r="F1133" s="12" t="n">
        <v>3048952</v>
      </c>
      <c r="G1133" s="12" t="n">
        <v>2560000</v>
      </c>
      <c r="H1133" s="11" t="n">
        <v>15</v>
      </c>
      <c r="I1133" s="11" t="s">
        <v>69</v>
      </c>
      <c r="J1133" s="11" t="s">
        <v>70</v>
      </c>
      <c r="K1133" s="11" t="s">
        <v>71</v>
      </c>
      <c r="L1133" s="11" t="s">
        <v>72</v>
      </c>
      <c r="M1133" s="11" t="s">
        <v>73</v>
      </c>
      <c r="N1133" s="11" t="s">
        <v>123</v>
      </c>
      <c r="O1133" s="11" t="s">
        <v>60</v>
      </c>
      <c r="P1133" s="11" t="s">
        <v>106</v>
      </c>
      <c r="Q1133" s="13" t="n">
        <f aca="false">F1133*H1133</f>
        <v>45734280</v>
      </c>
      <c r="R1133" s="13" t="n">
        <f aca="false">G1133*H1133</f>
        <v>38400000</v>
      </c>
      <c r="S1133" s="13" t="n">
        <f aca="false">Q1133-R1133</f>
        <v>7334280</v>
      </c>
      <c r="T1133" s="14" t="n">
        <f aca="false">IFERROR(S1133/Q1133,0)</f>
        <v>0.160367234380863</v>
      </c>
      <c r="U1133" s="15" t="str">
        <f aca="false">TEXT(A1133,"yyyy-mm")</f>
        <v>2022-03</v>
      </c>
    </row>
    <row r="1134" customFormat="false" ht="15" hidden="false" customHeight="false" outlineLevel="0" collapsed="false">
      <c r="A1134" s="10" t="n">
        <v>44626</v>
      </c>
      <c r="B1134" s="11" t="s">
        <v>1266</v>
      </c>
      <c r="C1134" s="11" t="s">
        <v>78</v>
      </c>
      <c r="D1134" s="11" t="s">
        <v>67</v>
      </c>
      <c r="E1134" s="11" t="s">
        <v>79</v>
      </c>
      <c r="F1134" s="12" t="n">
        <v>1870000</v>
      </c>
      <c r="G1134" s="12" t="n">
        <v>1650000</v>
      </c>
      <c r="H1134" s="11" t="n">
        <v>2</v>
      </c>
      <c r="I1134" s="11" t="s">
        <v>69</v>
      </c>
      <c r="J1134" s="11" t="s">
        <v>70</v>
      </c>
      <c r="K1134" s="11" t="s">
        <v>71</v>
      </c>
      <c r="L1134" s="11" t="s">
        <v>72</v>
      </c>
      <c r="M1134" s="11" t="s">
        <v>73</v>
      </c>
      <c r="N1134" s="11" t="s">
        <v>133</v>
      </c>
      <c r="O1134" s="11" t="s">
        <v>60</v>
      </c>
      <c r="P1134" s="11" t="s">
        <v>76</v>
      </c>
      <c r="Q1134" s="13" t="n">
        <f aca="false">F1134*H1134</f>
        <v>3740000</v>
      </c>
      <c r="R1134" s="13" t="n">
        <f aca="false">G1134*H1134</f>
        <v>3300000</v>
      </c>
      <c r="S1134" s="13" t="n">
        <f aca="false">Q1134-R1134</f>
        <v>440000</v>
      </c>
      <c r="T1134" s="14" t="n">
        <f aca="false">IFERROR(S1134/Q1134,0)</f>
        <v>0.117647058823529</v>
      </c>
      <c r="U1134" s="15" t="str">
        <f aca="false">TEXT(A1134,"yyyy-mm")</f>
        <v>2022-03</v>
      </c>
    </row>
    <row r="1135" customFormat="false" ht="15" hidden="false" customHeight="false" outlineLevel="0" collapsed="false">
      <c r="A1135" s="10" t="n">
        <v>44627</v>
      </c>
      <c r="B1135" s="11" t="s">
        <v>1267</v>
      </c>
      <c r="C1135" s="11" t="s">
        <v>84</v>
      </c>
      <c r="D1135" s="11" t="s">
        <v>67</v>
      </c>
      <c r="E1135" s="11" t="s">
        <v>85</v>
      </c>
      <c r="F1135" s="12" t="n">
        <v>2600000</v>
      </c>
      <c r="G1135" s="12" t="n">
        <v>2300000</v>
      </c>
      <c r="H1135" s="11" t="n">
        <v>14</v>
      </c>
      <c r="I1135" s="11" t="s">
        <v>86</v>
      </c>
      <c r="J1135" s="11" t="s">
        <v>87</v>
      </c>
      <c r="K1135" s="11" t="s">
        <v>88</v>
      </c>
      <c r="L1135" s="11" t="s">
        <v>89</v>
      </c>
      <c r="M1135" s="11" t="s">
        <v>90</v>
      </c>
      <c r="N1135" s="11" t="s">
        <v>93</v>
      </c>
      <c r="O1135" s="11" t="s">
        <v>94</v>
      </c>
      <c r="P1135" s="11" t="s">
        <v>95</v>
      </c>
      <c r="Q1135" s="13" t="n">
        <f aca="false">F1135*H1135</f>
        <v>36400000</v>
      </c>
      <c r="R1135" s="13" t="n">
        <f aca="false">G1135*H1135</f>
        <v>32200000</v>
      </c>
      <c r="S1135" s="13" t="n">
        <f aca="false">Q1135-R1135</f>
        <v>4200000</v>
      </c>
      <c r="T1135" s="14" t="n">
        <f aca="false">IFERROR(S1135/Q1135,0)</f>
        <v>0.115384615384615</v>
      </c>
      <c r="U1135" s="15" t="str">
        <f aca="false">TEXT(A1135,"yyyy-mm")</f>
        <v>2022-03</v>
      </c>
    </row>
    <row r="1136" customFormat="false" ht="15" hidden="false" customHeight="false" outlineLevel="0" collapsed="false">
      <c r="A1136" s="10" t="n">
        <v>44627</v>
      </c>
      <c r="B1136" s="11" t="s">
        <v>1268</v>
      </c>
      <c r="C1136" s="11" t="s">
        <v>92</v>
      </c>
      <c r="D1136" s="11" t="s">
        <v>67</v>
      </c>
      <c r="E1136" s="11" t="s">
        <v>79</v>
      </c>
      <c r="F1136" s="12" t="n">
        <v>3577480</v>
      </c>
      <c r="G1136" s="12" t="n">
        <v>3100000</v>
      </c>
      <c r="H1136" s="11" t="n">
        <v>26</v>
      </c>
      <c r="I1136" s="11" t="s">
        <v>69</v>
      </c>
      <c r="J1136" s="11" t="s">
        <v>112</v>
      </c>
      <c r="K1136" s="11" t="s">
        <v>113</v>
      </c>
      <c r="L1136" s="11" t="s">
        <v>82</v>
      </c>
      <c r="M1136" s="11" t="s">
        <v>157</v>
      </c>
      <c r="N1136" s="11" t="s">
        <v>74</v>
      </c>
      <c r="O1136" s="11" t="s">
        <v>75</v>
      </c>
      <c r="P1136" s="11" t="s">
        <v>76</v>
      </c>
      <c r="Q1136" s="13" t="n">
        <f aca="false">F1136*H1136</f>
        <v>93014480</v>
      </c>
      <c r="R1136" s="13" t="n">
        <f aca="false">G1136*H1136</f>
        <v>80600000</v>
      </c>
      <c r="S1136" s="13" t="n">
        <f aca="false">Q1136-R1136</f>
        <v>12414480</v>
      </c>
      <c r="T1136" s="14" t="n">
        <f aca="false">IFERROR(S1136/Q1136,0)</f>
        <v>0.133468251394837</v>
      </c>
      <c r="U1136" s="15" t="str">
        <f aca="false">TEXT(A1136,"yyyy-mm")</f>
        <v>2022-03</v>
      </c>
    </row>
    <row r="1137" customFormat="false" ht="15" hidden="false" customHeight="false" outlineLevel="0" collapsed="false">
      <c r="A1137" s="10" t="n">
        <v>44627</v>
      </c>
      <c r="B1137" s="11" t="s">
        <v>1269</v>
      </c>
      <c r="C1137" s="11" t="s">
        <v>97</v>
      </c>
      <c r="D1137" s="11" t="s">
        <v>67</v>
      </c>
      <c r="E1137" s="11" t="s">
        <v>98</v>
      </c>
      <c r="F1137" s="12" t="n">
        <v>4969724</v>
      </c>
      <c r="G1137" s="12" t="n">
        <v>4121560</v>
      </c>
      <c r="H1137" s="11" t="n">
        <v>7</v>
      </c>
      <c r="I1137" s="11" t="s">
        <v>69</v>
      </c>
      <c r="J1137" s="11" t="s">
        <v>70</v>
      </c>
      <c r="K1137" s="11" t="s">
        <v>71</v>
      </c>
      <c r="L1137" s="11" t="s">
        <v>72</v>
      </c>
      <c r="M1137" s="11" t="s">
        <v>73</v>
      </c>
      <c r="N1137" s="11" t="s">
        <v>143</v>
      </c>
      <c r="O1137" s="11" t="s">
        <v>144</v>
      </c>
      <c r="P1137" s="11" t="s">
        <v>101</v>
      </c>
      <c r="Q1137" s="13" t="n">
        <f aca="false">F1137*H1137</f>
        <v>34788068</v>
      </c>
      <c r="R1137" s="13" t="n">
        <f aca="false">G1137*H1137</f>
        <v>28850920</v>
      </c>
      <c r="S1137" s="13" t="n">
        <f aca="false">Q1137-R1137</f>
        <v>5937148</v>
      </c>
      <c r="T1137" s="14" t="n">
        <f aca="false">IFERROR(S1137/Q1137,0)</f>
        <v>0.170666218083741</v>
      </c>
      <c r="U1137" s="15" t="str">
        <f aca="false">TEXT(A1137,"yyyy-mm")</f>
        <v>2022-03</v>
      </c>
    </row>
    <row r="1138" customFormat="false" ht="15" hidden="false" customHeight="false" outlineLevel="0" collapsed="false">
      <c r="A1138" s="10" t="n">
        <v>44628</v>
      </c>
      <c r="B1138" s="11" t="s">
        <v>1270</v>
      </c>
      <c r="C1138" s="11" t="s">
        <v>103</v>
      </c>
      <c r="D1138" s="11" t="s">
        <v>67</v>
      </c>
      <c r="E1138" s="11" t="s">
        <v>68</v>
      </c>
      <c r="F1138" s="12" t="n">
        <v>3319925</v>
      </c>
      <c r="G1138" s="12" t="n">
        <v>2800000</v>
      </c>
      <c r="H1138" s="11" t="n">
        <v>17</v>
      </c>
      <c r="I1138" s="11" t="s">
        <v>69</v>
      </c>
      <c r="J1138" s="11" t="s">
        <v>112</v>
      </c>
      <c r="K1138" s="11" t="s">
        <v>113</v>
      </c>
      <c r="L1138" s="11" t="s">
        <v>82</v>
      </c>
      <c r="M1138" s="11" t="s">
        <v>157</v>
      </c>
      <c r="N1138" s="11" t="s">
        <v>173</v>
      </c>
      <c r="O1138" s="11" t="s">
        <v>174</v>
      </c>
      <c r="P1138" s="11" t="s">
        <v>95</v>
      </c>
      <c r="Q1138" s="13" t="n">
        <f aca="false">F1138*H1138</f>
        <v>56438725</v>
      </c>
      <c r="R1138" s="13" t="n">
        <f aca="false">G1138*H1138</f>
        <v>47600000</v>
      </c>
      <c r="S1138" s="13" t="n">
        <f aca="false">Q1138-R1138</f>
        <v>8838725</v>
      </c>
      <c r="T1138" s="14" t="n">
        <f aca="false">IFERROR(S1138/Q1138,0)</f>
        <v>0.15660745348163</v>
      </c>
      <c r="U1138" s="15" t="str">
        <f aca="false">TEXT(A1138,"yyyy-mm")</f>
        <v>2022-03</v>
      </c>
    </row>
    <row r="1139" customFormat="false" ht="15" hidden="false" customHeight="false" outlineLevel="0" collapsed="false">
      <c r="A1139" s="10" t="n">
        <v>44628</v>
      </c>
      <c r="B1139" s="11" t="s">
        <v>1271</v>
      </c>
      <c r="C1139" s="11" t="s">
        <v>108</v>
      </c>
      <c r="D1139" s="11" t="s">
        <v>67</v>
      </c>
      <c r="E1139" s="11" t="s">
        <v>68</v>
      </c>
      <c r="F1139" s="12" t="n">
        <v>4757880</v>
      </c>
      <c r="G1139" s="12" t="n">
        <v>3450000</v>
      </c>
      <c r="H1139" s="11" t="n">
        <v>13</v>
      </c>
      <c r="I1139" s="11" t="s">
        <v>69</v>
      </c>
      <c r="J1139" s="11" t="s">
        <v>80</v>
      </c>
      <c r="K1139" s="11" t="s">
        <v>81</v>
      </c>
      <c r="L1139" s="11" t="s">
        <v>82</v>
      </c>
      <c r="M1139" s="11" t="s">
        <v>73</v>
      </c>
      <c r="N1139" s="11" t="s">
        <v>104</v>
      </c>
      <c r="O1139" s="11" t="s">
        <v>105</v>
      </c>
      <c r="P1139" s="11" t="s">
        <v>106</v>
      </c>
      <c r="Q1139" s="13" t="n">
        <f aca="false">F1139*H1139</f>
        <v>61852440</v>
      </c>
      <c r="R1139" s="13" t="n">
        <f aca="false">G1139*H1139</f>
        <v>44850000</v>
      </c>
      <c r="S1139" s="13" t="n">
        <f aca="false">Q1139-R1139</f>
        <v>17002440</v>
      </c>
      <c r="T1139" s="14" t="n">
        <f aca="false">IFERROR(S1139/Q1139,0)</f>
        <v>0.274887134606169</v>
      </c>
      <c r="U1139" s="15" t="str">
        <f aca="false">TEXT(A1139,"yyyy-mm")</f>
        <v>2022-03</v>
      </c>
    </row>
    <row r="1140" customFormat="false" ht="15" hidden="false" customHeight="false" outlineLevel="0" collapsed="false">
      <c r="A1140" s="10" t="n">
        <v>44628</v>
      </c>
      <c r="B1140" s="11" t="s">
        <v>1272</v>
      </c>
      <c r="C1140" s="11" t="s">
        <v>111</v>
      </c>
      <c r="D1140" s="11" t="s">
        <v>67</v>
      </c>
      <c r="E1140" s="11" t="s">
        <v>79</v>
      </c>
      <c r="F1140" s="12" t="n">
        <v>3545808</v>
      </c>
      <c r="G1140" s="12" t="n">
        <v>3350000</v>
      </c>
      <c r="H1140" s="11" t="n">
        <v>18</v>
      </c>
      <c r="I1140" s="11" t="s">
        <v>69</v>
      </c>
      <c r="J1140" s="11" t="s">
        <v>80</v>
      </c>
      <c r="K1140" s="11" t="s">
        <v>81</v>
      </c>
      <c r="L1140" s="11" t="s">
        <v>82</v>
      </c>
      <c r="M1140" s="11" t="s">
        <v>73</v>
      </c>
      <c r="N1140" s="11" t="s">
        <v>74</v>
      </c>
      <c r="O1140" s="11" t="s">
        <v>75</v>
      </c>
      <c r="P1140" s="11" t="s">
        <v>76</v>
      </c>
      <c r="Q1140" s="13" t="n">
        <f aca="false">F1140*H1140</f>
        <v>63824544</v>
      </c>
      <c r="R1140" s="13" t="n">
        <f aca="false">G1140*H1140</f>
        <v>60300000</v>
      </c>
      <c r="S1140" s="13" t="n">
        <f aca="false">Q1140-R1140</f>
        <v>3524544</v>
      </c>
      <c r="T1140" s="14" t="n">
        <f aca="false">IFERROR(S1140/Q1140,0)</f>
        <v>0.0552223921881839</v>
      </c>
      <c r="U1140" s="15" t="str">
        <f aca="false">TEXT(A1140,"yyyy-mm")</f>
        <v>2022-03</v>
      </c>
    </row>
    <row r="1141" customFormat="false" ht="15" hidden="false" customHeight="false" outlineLevel="0" collapsed="false">
      <c r="A1141" s="10" t="n">
        <v>44628</v>
      </c>
      <c r="B1141" s="11" t="s">
        <v>1273</v>
      </c>
      <c r="C1141" s="11" t="s">
        <v>115</v>
      </c>
      <c r="D1141" s="11" t="s">
        <v>67</v>
      </c>
      <c r="E1141" s="11" t="s">
        <v>98</v>
      </c>
      <c r="F1141" s="12" t="n">
        <v>4200743</v>
      </c>
      <c r="G1141" s="12" t="n">
        <v>4101000</v>
      </c>
      <c r="H1141" s="11" t="n">
        <v>15</v>
      </c>
      <c r="I1141" s="11" t="s">
        <v>69</v>
      </c>
      <c r="J1141" s="11" t="s">
        <v>70</v>
      </c>
      <c r="K1141" s="11" t="s">
        <v>71</v>
      </c>
      <c r="L1141" s="11" t="s">
        <v>72</v>
      </c>
      <c r="M1141" s="11" t="s">
        <v>73</v>
      </c>
      <c r="N1141" s="11" t="s">
        <v>104</v>
      </c>
      <c r="O1141" s="11" t="s">
        <v>105</v>
      </c>
      <c r="P1141" s="11" t="s">
        <v>106</v>
      </c>
      <c r="Q1141" s="13" t="n">
        <f aca="false">F1141*H1141</f>
        <v>63011145</v>
      </c>
      <c r="R1141" s="13" t="n">
        <f aca="false">G1141*H1141</f>
        <v>61515000</v>
      </c>
      <c r="S1141" s="13" t="n">
        <f aca="false">Q1141-R1141</f>
        <v>1496145</v>
      </c>
      <c r="T1141" s="14" t="n">
        <f aca="false">IFERROR(S1141/Q1141,0)</f>
        <v>0.023744132883159</v>
      </c>
      <c r="U1141" s="15" t="str">
        <f aca="false">TEXT(A1141,"yyyy-mm")</f>
        <v>2022-03</v>
      </c>
    </row>
    <row r="1142" customFormat="false" ht="15" hidden="false" customHeight="false" outlineLevel="0" collapsed="false">
      <c r="A1142" s="10" t="n">
        <v>44628</v>
      </c>
      <c r="B1142" s="11" t="s">
        <v>1274</v>
      </c>
      <c r="C1142" s="11" t="s">
        <v>117</v>
      </c>
      <c r="D1142" s="11" t="s">
        <v>118</v>
      </c>
      <c r="E1142" s="11" t="s">
        <v>119</v>
      </c>
      <c r="F1142" s="12" t="n">
        <v>8220549</v>
      </c>
      <c r="G1142" s="12" t="n">
        <v>6500000</v>
      </c>
      <c r="H1142" s="11" t="n">
        <v>5</v>
      </c>
      <c r="I1142" s="11" t="s">
        <v>86</v>
      </c>
      <c r="J1142" s="11" t="s">
        <v>87</v>
      </c>
      <c r="K1142" s="11" t="s">
        <v>88</v>
      </c>
      <c r="L1142" s="11" t="s">
        <v>89</v>
      </c>
      <c r="M1142" s="11" t="s">
        <v>90</v>
      </c>
      <c r="N1142" s="11" t="s">
        <v>93</v>
      </c>
      <c r="O1142" s="11" t="s">
        <v>94</v>
      </c>
      <c r="P1142" s="11" t="s">
        <v>95</v>
      </c>
      <c r="Q1142" s="13" t="n">
        <f aca="false">F1142*H1142</f>
        <v>41102745</v>
      </c>
      <c r="R1142" s="13" t="n">
        <f aca="false">G1142*H1142</f>
        <v>32500000</v>
      </c>
      <c r="S1142" s="13" t="n">
        <f aca="false">Q1142-R1142</f>
        <v>8602745</v>
      </c>
      <c r="T1142" s="14" t="n">
        <f aca="false">IFERROR(S1142/Q1142,0)</f>
        <v>0.209298551714733</v>
      </c>
      <c r="U1142" s="15" t="str">
        <f aca="false">TEXT(A1142,"yyyy-mm")</f>
        <v>2022-03</v>
      </c>
    </row>
    <row r="1143" customFormat="false" ht="15" hidden="false" customHeight="false" outlineLevel="0" collapsed="false">
      <c r="A1143" s="10" t="n">
        <v>44629</v>
      </c>
      <c r="B1143" s="11" t="s">
        <v>1275</v>
      </c>
      <c r="C1143" s="11" t="s">
        <v>121</v>
      </c>
      <c r="D1143" s="11" t="s">
        <v>118</v>
      </c>
      <c r="E1143" s="11" t="s">
        <v>122</v>
      </c>
      <c r="F1143" s="12" t="n">
        <v>7687274</v>
      </c>
      <c r="G1143" s="12" t="n">
        <v>6500000</v>
      </c>
      <c r="H1143" s="11" t="n">
        <v>16</v>
      </c>
      <c r="I1143" s="11" t="s">
        <v>69</v>
      </c>
      <c r="J1143" s="11" t="s">
        <v>80</v>
      </c>
      <c r="K1143" s="11" t="s">
        <v>81</v>
      </c>
      <c r="L1143" s="11" t="s">
        <v>82</v>
      </c>
      <c r="M1143" s="11" t="s">
        <v>73</v>
      </c>
      <c r="N1143" s="11" t="s">
        <v>74</v>
      </c>
      <c r="O1143" s="11" t="s">
        <v>75</v>
      </c>
      <c r="P1143" s="11" t="s">
        <v>76</v>
      </c>
      <c r="Q1143" s="13" t="n">
        <f aca="false">F1143*H1143</f>
        <v>122996384</v>
      </c>
      <c r="R1143" s="13" t="n">
        <f aca="false">G1143*H1143</f>
        <v>104000000</v>
      </c>
      <c r="S1143" s="13" t="n">
        <f aca="false">Q1143-R1143</f>
        <v>18996384</v>
      </c>
      <c r="T1143" s="14" t="n">
        <f aca="false">IFERROR(S1143/Q1143,0)</f>
        <v>0.154446686822923</v>
      </c>
      <c r="U1143" s="15" t="str">
        <f aca="false">TEXT(A1143,"yyyy-mm")</f>
        <v>2022-03</v>
      </c>
    </row>
    <row r="1144" customFormat="false" ht="15" hidden="false" customHeight="false" outlineLevel="0" collapsed="false">
      <c r="A1144" s="10" t="n">
        <v>44629</v>
      </c>
      <c r="B1144" s="11" t="s">
        <v>1276</v>
      </c>
      <c r="C1144" s="11" t="s">
        <v>125</v>
      </c>
      <c r="D1144" s="11" t="s">
        <v>118</v>
      </c>
      <c r="E1144" s="11" t="s">
        <v>126</v>
      </c>
      <c r="F1144" s="12" t="n">
        <v>5684211</v>
      </c>
      <c r="G1144" s="12" t="n">
        <v>4300000</v>
      </c>
      <c r="H1144" s="11" t="n">
        <v>1</v>
      </c>
      <c r="I1144" s="11" t="s">
        <v>69</v>
      </c>
      <c r="J1144" s="11" t="s">
        <v>80</v>
      </c>
      <c r="K1144" s="11" t="s">
        <v>81</v>
      </c>
      <c r="L1144" s="11" t="s">
        <v>82</v>
      </c>
      <c r="M1144" s="11" t="s">
        <v>73</v>
      </c>
      <c r="N1144" s="11" t="s">
        <v>149</v>
      </c>
      <c r="O1144" s="11" t="s">
        <v>150</v>
      </c>
      <c r="P1144" s="11" t="s">
        <v>151</v>
      </c>
      <c r="Q1144" s="13" t="n">
        <f aca="false">F1144*H1144</f>
        <v>5684211</v>
      </c>
      <c r="R1144" s="13" t="n">
        <f aca="false">G1144*H1144</f>
        <v>4300000</v>
      </c>
      <c r="S1144" s="13" t="n">
        <f aca="false">Q1144-R1144</f>
        <v>1384211</v>
      </c>
      <c r="T1144" s="14" t="n">
        <f aca="false">IFERROR(S1144/Q1144,0)</f>
        <v>0.243518581558637</v>
      </c>
      <c r="U1144" s="15" t="str">
        <f aca="false">TEXT(A1144,"yyyy-mm")</f>
        <v>2022-03</v>
      </c>
    </row>
    <row r="1145" customFormat="false" ht="15" hidden="false" customHeight="false" outlineLevel="0" collapsed="false">
      <c r="A1145" s="10" t="n">
        <v>44630</v>
      </c>
      <c r="B1145" s="11" t="s">
        <v>1277</v>
      </c>
      <c r="C1145" s="11" t="s">
        <v>128</v>
      </c>
      <c r="D1145" s="11" t="s">
        <v>118</v>
      </c>
      <c r="E1145" s="11" t="s">
        <v>119</v>
      </c>
      <c r="F1145" s="12" t="n">
        <v>3370302</v>
      </c>
      <c r="G1145" s="12" t="n">
        <v>2100000</v>
      </c>
      <c r="H1145" s="11" t="n">
        <v>13</v>
      </c>
      <c r="I1145" s="11" t="s">
        <v>69</v>
      </c>
      <c r="J1145" s="11" t="s">
        <v>80</v>
      </c>
      <c r="K1145" s="11" t="s">
        <v>81</v>
      </c>
      <c r="L1145" s="11" t="s">
        <v>82</v>
      </c>
      <c r="M1145" s="11" t="s">
        <v>73</v>
      </c>
      <c r="N1145" s="11" t="s">
        <v>149</v>
      </c>
      <c r="O1145" s="11" t="s">
        <v>150</v>
      </c>
      <c r="P1145" s="11" t="s">
        <v>151</v>
      </c>
      <c r="Q1145" s="13" t="n">
        <f aca="false">F1145*H1145</f>
        <v>43813926</v>
      </c>
      <c r="R1145" s="13" t="n">
        <f aca="false">G1145*H1145</f>
        <v>27300000</v>
      </c>
      <c r="S1145" s="13" t="n">
        <f aca="false">Q1145-R1145</f>
        <v>16513926</v>
      </c>
      <c r="T1145" s="14" t="n">
        <f aca="false">IFERROR(S1145/Q1145,0)</f>
        <v>0.37691043710623</v>
      </c>
      <c r="U1145" s="15" t="str">
        <f aca="false">TEXT(A1145,"yyyy-mm")</f>
        <v>2022-03</v>
      </c>
    </row>
    <row r="1146" customFormat="false" ht="15" hidden="false" customHeight="false" outlineLevel="0" collapsed="false">
      <c r="A1146" s="10" t="n">
        <v>44631</v>
      </c>
      <c r="B1146" s="11" t="s">
        <v>1278</v>
      </c>
      <c r="C1146" s="11" t="s">
        <v>130</v>
      </c>
      <c r="D1146" s="11" t="s">
        <v>118</v>
      </c>
      <c r="E1146" s="11" t="s">
        <v>68</v>
      </c>
      <c r="F1146" s="12" t="n">
        <v>2852897</v>
      </c>
      <c r="G1146" s="12" t="n">
        <v>2450000</v>
      </c>
      <c r="H1146" s="11" t="n">
        <v>15</v>
      </c>
      <c r="I1146" s="11" t="s">
        <v>69</v>
      </c>
      <c r="J1146" s="11" t="s">
        <v>112</v>
      </c>
      <c r="K1146" s="11" t="s">
        <v>113</v>
      </c>
      <c r="L1146" s="11" t="s">
        <v>82</v>
      </c>
      <c r="M1146" s="11" t="s">
        <v>157</v>
      </c>
      <c r="N1146" s="11" t="s">
        <v>123</v>
      </c>
      <c r="O1146" s="11" t="s">
        <v>60</v>
      </c>
      <c r="P1146" s="11" t="s">
        <v>106</v>
      </c>
      <c r="Q1146" s="13" t="n">
        <f aca="false">F1146*H1146</f>
        <v>42793455</v>
      </c>
      <c r="R1146" s="13" t="n">
        <f aca="false">G1146*H1146</f>
        <v>36750000</v>
      </c>
      <c r="S1146" s="13" t="n">
        <f aca="false">Q1146-R1146</f>
        <v>6043455</v>
      </c>
      <c r="T1146" s="14" t="n">
        <f aca="false">IFERROR(S1146/Q1146,0)</f>
        <v>0.141223815651249</v>
      </c>
      <c r="U1146" s="15" t="str">
        <f aca="false">TEXT(A1146,"yyyy-mm")</f>
        <v>2022-03</v>
      </c>
    </row>
    <row r="1147" customFormat="false" ht="15" hidden="false" customHeight="false" outlineLevel="0" collapsed="false">
      <c r="A1147" s="10" t="n">
        <v>44632</v>
      </c>
      <c r="B1147" s="11" t="s">
        <v>1279</v>
      </c>
      <c r="C1147" s="11" t="s">
        <v>132</v>
      </c>
      <c r="D1147" s="11" t="s">
        <v>118</v>
      </c>
      <c r="E1147" s="11" t="s">
        <v>68</v>
      </c>
      <c r="F1147" s="12" t="n">
        <v>4803603</v>
      </c>
      <c r="G1147" s="12" t="n">
        <v>4121000</v>
      </c>
      <c r="H1147" s="11" t="n">
        <v>2</v>
      </c>
      <c r="I1147" s="11" t="s">
        <v>69</v>
      </c>
      <c r="J1147" s="11" t="s">
        <v>80</v>
      </c>
      <c r="K1147" s="11" t="s">
        <v>81</v>
      </c>
      <c r="L1147" s="11" t="s">
        <v>82</v>
      </c>
      <c r="M1147" s="11" t="s">
        <v>73</v>
      </c>
      <c r="N1147" s="11" t="s">
        <v>173</v>
      </c>
      <c r="O1147" s="11" t="s">
        <v>174</v>
      </c>
      <c r="P1147" s="11" t="s">
        <v>95</v>
      </c>
      <c r="Q1147" s="13" t="n">
        <f aca="false">F1147*H1147</f>
        <v>9607206</v>
      </c>
      <c r="R1147" s="13" t="n">
        <f aca="false">G1147*H1147</f>
        <v>8242000</v>
      </c>
      <c r="S1147" s="13" t="n">
        <f aca="false">Q1147-R1147</f>
        <v>1365206</v>
      </c>
      <c r="T1147" s="14" t="n">
        <f aca="false">IFERROR(S1147/Q1147,0)</f>
        <v>0.142102292799801</v>
      </c>
      <c r="U1147" s="15" t="str">
        <f aca="false">TEXT(A1147,"yyyy-mm")</f>
        <v>2022-03</v>
      </c>
    </row>
    <row r="1148" customFormat="false" ht="15" hidden="false" customHeight="false" outlineLevel="0" collapsed="false">
      <c r="A1148" s="10" t="n">
        <v>44632</v>
      </c>
      <c r="B1148" s="11" t="s">
        <v>1280</v>
      </c>
      <c r="C1148" s="11" t="s">
        <v>135</v>
      </c>
      <c r="D1148" s="11" t="s">
        <v>118</v>
      </c>
      <c r="E1148" s="11" t="s">
        <v>68</v>
      </c>
      <c r="F1148" s="12" t="n">
        <v>5689947</v>
      </c>
      <c r="G1148" s="12" t="n">
        <v>5235000</v>
      </c>
      <c r="H1148" s="11" t="n">
        <v>24</v>
      </c>
      <c r="I1148" s="11" t="s">
        <v>69</v>
      </c>
      <c r="J1148" s="11" t="s">
        <v>80</v>
      </c>
      <c r="K1148" s="11" t="s">
        <v>81</v>
      </c>
      <c r="L1148" s="11" t="s">
        <v>82</v>
      </c>
      <c r="M1148" s="11" t="s">
        <v>73</v>
      </c>
      <c r="N1148" s="11" t="s">
        <v>143</v>
      </c>
      <c r="O1148" s="11" t="s">
        <v>144</v>
      </c>
      <c r="P1148" s="11" t="s">
        <v>101</v>
      </c>
      <c r="Q1148" s="13" t="n">
        <f aca="false">F1148*H1148</f>
        <v>136558728</v>
      </c>
      <c r="R1148" s="13" t="n">
        <f aca="false">G1148*H1148</f>
        <v>125640000</v>
      </c>
      <c r="S1148" s="13" t="n">
        <f aca="false">Q1148-R1148</f>
        <v>10918728</v>
      </c>
      <c r="T1148" s="14" t="n">
        <f aca="false">IFERROR(S1148/Q1148,0)</f>
        <v>0.0799562807878527</v>
      </c>
      <c r="U1148" s="15" t="str">
        <f aca="false">TEXT(A1148,"yyyy-mm")</f>
        <v>2022-03</v>
      </c>
    </row>
    <row r="1149" customFormat="false" ht="15" hidden="false" customHeight="false" outlineLevel="0" collapsed="false">
      <c r="A1149" s="10" t="n">
        <v>44632</v>
      </c>
      <c r="B1149" s="11" t="s">
        <v>1281</v>
      </c>
      <c r="C1149" s="11" t="s">
        <v>137</v>
      </c>
      <c r="D1149" s="11" t="s">
        <v>138</v>
      </c>
      <c r="E1149" s="11" t="s">
        <v>139</v>
      </c>
      <c r="F1149" s="12" t="n">
        <v>5171827</v>
      </c>
      <c r="G1149" s="12" t="n">
        <v>4890000</v>
      </c>
      <c r="H1149" s="11" t="n">
        <v>19</v>
      </c>
      <c r="I1149" s="11" t="s">
        <v>69</v>
      </c>
      <c r="J1149" s="11" t="s">
        <v>112</v>
      </c>
      <c r="K1149" s="11" t="s">
        <v>113</v>
      </c>
      <c r="L1149" s="11" t="s">
        <v>82</v>
      </c>
      <c r="M1149" s="11" t="s">
        <v>157</v>
      </c>
      <c r="N1149" s="11" t="s">
        <v>99</v>
      </c>
      <c r="O1149" s="11" t="s">
        <v>100</v>
      </c>
      <c r="P1149" s="11" t="s">
        <v>101</v>
      </c>
      <c r="Q1149" s="13" t="n">
        <f aca="false">F1149*H1149</f>
        <v>98264713</v>
      </c>
      <c r="R1149" s="13" t="n">
        <f aca="false">G1149*H1149</f>
        <v>92910000</v>
      </c>
      <c r="S1149" s="13" t="n">
        <f aca="false">Q1149-R1149</f>
        <v>5354713</v>
      </c>
      <c r="T1149" s="14" t="n">
        <f aca="false">IFERROR(S1149/Q1149,0)</f>
        <v>0.0544927353525166</v>
      </c>
      <c r="U1149" s="15" t="str">
        <f aca="false">TEXT(A1149,"yyyy-mm")</f>
        <v>2022-03</v>
      </c>
    </row>
    <row r="1150" customFormat="false" ht="15" hidden="false" customHeight="false" outlineLevel="0" collapsed="false">
      <c r="A1150" s="10" t="n">
        <v>44632</v>
      </c>
      <c r="B1150" s="11" t="s">
        <v>1282</v>
      </c>
      <c r="C1150" s="11" t="s">
        <v>141</v>
      </c>
      <c r="D1150" s="11" t="s">
        <v>138</v>
      </c>
      <c r="E1150" s="11" t="s">
        <v>142</v>
      </c>
      <c r="F1150" s="12" t="n">
        <v>2805124</v>
      </c>
      <c r="G1150" s="12" t="n">
        <v>2178000</v>
      </c>
      <c r="H1150" s="11" t="n">
        <v>26</v>
      </c>
      <c r="I1150" s="11" t="s">
        <v>69</v>
      </c>
      <c r="J1150" s="11" t="s">
        <v>70</v>
      </c>
      <c r="K1150" s="11" t="s">
        <v>71</v>
      </c>
      <c r="L1150" s="11" t="s">
        <v>72</v>
      </c>
      <c r="M1150" s="11" t="s">
        <v>73</v>
      </c>
      <c r="N1150" s="11" t="s">
        <v>123</v>
      </c>
      <c r="O1150" s="11" t="s">
        <v>60</v>
      </c>
      <c r="P1150" s="11" t="s">
        <v>106</v>
      </c>
      <c r="Q1150" s="13" t="n">
        <f aca="false">F1150*H1150</f>
        <v>72933224</v>
      </c>
      <c r="R1150" s="13" t="n">
        <f aca="false">G1150*H1150</f>
        <v>56628000</v>
      </c>
      <c r="S1150" s="13" t="n">
        <f aca="false">Q1150-R1150</f>
        <v>16305224</v>
      </c>
      <c r="T1150" s="14" t="n">
        <f aca="false">IFERROR(S1150/Q1150,0)</f>
        <v>0.22356373550688</v>
      </c>
      <c r="U1150" s="15" t="str">
        <f aca="false">TEXT(A1150,"yyyy-mm")</f>
        <v>2022-03</v>
      </c>
    </row>
    <row r="1151" customFormat="false" ht="15" hidden="false" customHeight="false" outlineLevel="0" collapsed="false">
      <c r="A1151" s="10" t="n">
        <v>44633</v>
      </c>
      <c r="B1151" s="11" t="s">
        <v>1283</v>
      </c>
      <c r="C1151" s="11" t="s">
        <v>146</v>
      </c>
      <c r="D1151" s="11" t="s">
        <v>138</v>
      </c>
      <c r="E1151" s="11" t="s">
        <v>139</v>
      </c>
      <c r="F1151" s="12" t="n">
        <v>2728100</v>
      </c>
      <c r="G1151" s="12" t="n">
        <v>2321000</v>
      </c>
      <c r="H1151" s="11" t="n">
        <v>26</v>
      </c>
      <c r="I1151" s="11" t="s">
        <v>86</v>
      </c>
      <c r="J1151" s="11" t="s">
        <v>87</v>
      </c>
      <c r="K1151" s="11" t="s">
        <v>88</v>
      </c>
      <c r="L1151" s="11" t="s">
        <v>89</v>
      </c>
      <c r="M1151" s="11" t="s">
        <v>90</v>
      </c>
      <c r="N1151" s="11" t="s">
        <v>93</v>
      </c>
      <c r="O1151" s="11" t="s">
        <v>94</v>
      </c>
      <c r="P1151" s="11" t="s">
        <v>95</v>
      </c>
      <c r="Q1151" s="13" t="n">
        <f aca="false">F1151*H1151</f>
        <v>70930600</v>
      </c>
      <c r="R1151" s="13" t="n">
        <f aca="false">G1151*H1151</f>
        <v>60346000</v>
      </c>
      <c r="S1151" s="13" t="n">
        <f aca="false">Q1151-R1151</f>
        <v>10584600</v>
      </c>
      <c r="T1151" s="14" t="n">
        <f aca="false">IFERROR(S1151/Q1151,0)</f>
        <v>0.149224735163667</v>
      </c>
      <c r="U1151" s="15" t="str">
        <f aca="false">TEXT(A1151,"yyyy-mm")</f>
        <v>2022-03</v>
      </c>
    </row>
    <row r="1152" customFormat="false" ht="15" hidden="false" customHeight="false" outlineLevel="0" collapsed="false">
      <c r="A1152" s="10" t="n">
        <v>44633</v>
      </c>
      <c r="B1152" s="11" t="s">
        <v>1284</v>
      </c>
      <c r="C1152" s="11" t="s">
        <v>148</v>
      </c>
      <c r="D1152" s="11" t="s">
        <v>138</v>
      </c>
      <c r="E1152" s="11" t="s">
        <v>122</v>
      </c>
      <c r="F1152" s="12" t="n">
        <v>4941716</v>
      </c>
      <c r="G1152" s="12" t="n">
        <v>4456000</v>
      </c>
      <c r="H1152" s="11" t="n">
        <v>20</v>
      </c>
      <c r="I1152" s="11" t="s">
        <v>69</v>
      </c>
      <c r="J1152" s="11" t="s">
        <v>112</v>
      </c>
      <c r="K1152" s="11" t="s">
        <v>113</v>
      </c>
      <c r="L1152" s="11" t="s">
        <v>82</v>
      </c>
      <c r="M1152" s="11" t="s">
        <v>157</v>
      </c>
      <c r="N1152" s="11" t="s">
        <v>74</v>
      </c>
      <c r="O1152" s="11" t="s">
        <v>75</v>
      </c>
      <c r="P1152" s="11" t="s">
        <v>76</v>
      </c>
      <c r="Q1152" s="13" t="n">
        <f aca="false">F1152*H1152</f>
        <v>98834320</v>
      </c>
      <c r="R1152" s="13" t="n">
        <f aca="false">G1152*H1152</f>
        <v>89120000</v>
      </c>
      <c r="S1152" s="13" t="n">
        <f aca="false">Q1152-R1152</f>
        <v>9714320</v>
      </c>
      <c r="T1152" s="14" t="n">
        <f aca="false">IFERROR(S1152/Q1152,0)</f>
        <v>0.0982889344511097</v>
      </c>
      <c r="U1152" s="15" t="str">
        <f aca="false">TEXT(A1152,"yyyy-mm")</f>
        <v>2022-03</v>
      </c>
    </row>
    <row r="1153" customFormat="false" ht="15" hidden="false" customHeight="false" outlineLevel="0" collapsed="false">
      <c r="A1153" s="10" t="n">
        <v>44634</v>
      </c>
      <c r="B1153" s="11" t="s">
        <v>1285</v>
      </c>
      <c r="C1153" s="11" t="s">
        <v>66</v>
      </c>
      <c r="D1153" s="11" t="s">
        <v>67</v>
      </c>
      <c r="E1153" s="11" t="s">
        <v>68</v>
      </c>
      <c r="F1153" s="12" t="n">
        <v>3048952</v>
      </c>
      <c r="G1153" s="12" t="n">
        <v>2560000</v>
      </c>
      <c r="H1153" s="11" t="n">
        <v>6</v>
      </c>
      <c r="I1153" s="11" t="s">
        <v>69</v>
      </c>
      <c r="J1153" s="11" t="s">
        <v>80</v>
      </c>
      <c r="K1153" s="11" t="s">
        <v>81</v>
      </c>
      <c r="L1153" s="11" t="s">
        <v>82</v>
      </c>
      <c r="M1153" s="11" t="s">
        <v>73</v>
      </c>
      <c r="N1153" s="11" t="s">
        <v>99</v>
      </c>
      <c r="O1153" s="11" t="s">
        <v>100</v>
      </c>
      <c r="P1153" s="11" t="s">
        <v>101</v>
      </c>
      <c r="Q1153" s="13" t="n">
        <f aca="false">F1153*H1153</f>
        <v>18293712</v>
      </c>
      <c r="R1153" s="13" t="n">
        <f aca="false">G1153*H1153</f>
        <v>15360000</v>
      </c>
      <c r="S1153" s="13" t="n">
        <f aca="false">Q1153-R1153</f>
        <v>2933712</v>
      </c>
      <c r="T1153" s="14" t="n">
        <f aca="false">IFERROR(S1153/Q1153,0)</f>
        <v>0.160367234380863</v>
      </c>
      <c r="U1153" s="15" t="str">
        <f aca="false">TEXT(A1153,"yyyy-mm")</f>
        <v>2022-03</v>
      </c>
    </row>
    <row r="1154" customFormat="false" ht="15" hidden="false" customHeight="false" outlineLevel="0" collapsed="false">
      <c r="A1154" s="10" t="n">
        <v>44634</v>
      </c>
      <c r="B1154" s="11" t="s">
        <v>1286</v>
      </c>
      <c r="C1154" s="11" t="s">
        <v>78</v>
      </c>
      <c r="D1154" s="11" t="s">
        <v>67</v>
      </c>
      <c r="E1154" s="11" t="s">
        <v>79</v>
      </c>
      <c r="F1154" s="12" t="n">
        <v>1870000</v>
      </c>
      <c r="G1154" s="12" t="n">
        <v>1650000</v>
      </c>
      <c r="H1154" s="11" t="n">
        <v>22</v>
      </c>
      <c r="I1154" s="11" t="s">
        <v>86</v>
      </c>
      <c r="J1154" s="11" t="s">
        <v>87</v>
      </c>
      <c r="K1154" s="11" t="s">
        <v>88</v>
      </c>
      <c r="L1154" s="11" t="s">
        <v>89</v>
      </c>
      <c r="M1154" s="11" t="s">
        <v>90</v>
      </c>
      <c r="N1154" s="11" t="s">
        <v>143</v>
      </c>
      <c r="O1154" s="11" t="s">
        <v>144</v>
      </c>
      <c r="P1154" s="11" t="s">
        <v>101</v>
      </c>
      <c r="Q1154" s="13" t="n">
        <f aca="false">F1154*H1154</f>
        <v>41140000</v>
      </c>
      <c r="R1154" s="13" t="n">
        <f aca="false">G1154*H1154</f>
        <v>36300000</v>
      </c>
      <c r="S1154" s="13" t="n">
        <f aca="false">Q1154-R1154</f>
        <v>4840000</v>
      </c>
      <c r="T1154" s="14" t="n">
        <f aca="false">IFERROR(S1154/Q1154,0)</f>
        <v>0.117647058823529</v>
      </c>
      <c r="U1154" s="15" t="str">
        <f aca="false">TEXT(A1154,"yyyy-mm")</f>
        <v>2022-03</v>
      </c>
    </row>
    <row r="1155" customFormat="false" ht="15" hidden="false" customHeight="false" outlineLevel="0" collapsed="false">
      <c r="A1155" s="10" t="n">
        <v>44635</v>
      </c>
      <c r="B1155" s="11" t="s">
        <v>1287</v>
      </c>
      <c r="C1155" s="11" t="s">
        <v>84</v>
      </c>
      <c r="D1155" s="11" t="s">
        <v>67</v>
      </c>
      <c r="E1155" s="11" t="s">
        <v>85</v>
      </c>
      <c r="F1155" s="12" t="n">
        <v>2600000</v>
      </c>
      <c r="G1155" s="12" t="n">
        <v>2300000</v>
      </c>
      <c r="H1155" s="11" t="n">
        <v>18</v>
      </c>
      <c r="I1155" s="11" t="s">
        <v>69</v>
      </c>
      <c r="J1155" s="11" t="s">
        <v>80</v>
      </c>
      <c r="K1155" s="11" t="s">
        <v>81</v>
      </c>
      <c r="L1155" s="11" t="s">
        <v>82</v>
      </c>
      <c r="M1155" s="11" t="s">
        <v>73</v>
      </c>
      <c r="N1155" s="11" t="s">
        <v>133</v>
      </c>
      <c r="O1155" s="11" t="s">
        <v>60</v>
      </c>
      <c r="P1155" s="11" t="s">
        <v>76</v>
      </c>
      <c r="Q1155" s="13" t="n">
        <f aca="false">F1155*H1155</f>
        <v>46800000</v>
      </c>
      <c r="R1155" s="13" t="n">
        <f aca="false">G1155*H1155</f>
        <v>41400000</v>
      </c>
      <c r="S1155" s="13" t="n">
        <f aca="false">Q1155-R1155</f>
        <v>5400000</v>
      </c>
      <c r="T1155" s="14" t="n">
        <f aca="false">IFERROR(S1155/Q1155,0)</f>
        <v>0.115384615384615</v>
      </c>
      <c r="U1155" s="15" t="str">
        <f aca="false">TEXT(A1155,"yyyy-mm")</f>
        <v>2022-03</v>
      </c>
    </row>
    <row r="1156" customFormat="false" ht="15" hidden="false" customHeight="false" outlineLevel="0" collapsed="false">
      <c r="A1156" s="10" t="n">
        <v>44635</v>
      </c>
      <c r="B1156" s="11" t="s">
        <v>1288</v>
      </c>
      <c r="C1156" s="11" t="s">
        <v>92</v>
      </c>
      <c r="D1156" s="11" t="s">
        <v>67</v>
      </c>
      <c r="E1156" s="11" t="s">
        <v>79</v>
      </c>
      <c r="F1156" s="12" t="n">
        <v>3577480</v>
      </c>
      <c r="G1156" s="12" t="n">
        <v>3100000</v>
      </c>
      <c r="H1156" s="11" t="n">
        <v>29</v>
      </c>
      <c r="I1156" s="11" t="s">
        <v>69</v>
      </c>
      <c r="J1156" s="11" t="s">
        <v>80</v>
      </c>
      <c r="K1156" s="11" t="s">
        <v>81</v>
      </c>
      <c r="L1156" s="11" t="s">
        <v>82</v>
      </c>
      <c r="M1156" s="11" t="s">
        <v>73</v>
      </c>
      <c r="N1156" s="11" t="s">
        <v>99</v>
      </c>
      <c r="O1156" s="11" t="s">
        <v>100</v>
      </c>
      <c r="P1156" s="11" t="s">
        <v>101</v>
      </c>
      <c r="Q1156" s="13" t="n">
        <f aca="false">F1156*H1156</f>
        <v>103746920</v>
      </c>
      <c r="R1156" s="13" t="n">
        <f aca="false">G1156*H1156</f>
        <v>89900000</v>
      </c>
      <c r="S1156" s="13" t="n">
        <f aca="false">Q1156-R1156</f>
        <v>13846920</v>
      </c>
      <c r="T1156" s="14" t="n">
        <f aca="false">IFERROR(S1156/Q1156,0)</f>
        <v>0.133468251394837</v>
      </c>
      <c r="U1156" s="15" t="str">
        <f aca="false">TEXT(A1156,"yyyy-mm")</f>
        <v>2022-03</v>
      </c>
    </row>
    <row r="1157" customFormat="false" ht="15" hidden="false" customHeight="false" outlineLevel="0" collapsed="false">
      <c r="A1157" s="10" t="n">
        <v>44636</v>
      </c>
      <c r="B1157" s="11" t="s">
        <v>1289</v>
      </c>
      <c r="C1157" s="11" t="s">
        <v>97</v>
      </c>
      <c r="D1157" s="11" t="s">
        <v>67</v>
      </c>
      <c r="E1157" s="11" t="s">
        <v>98</v>
      </c>
      <c r="F1157" s="12" t="n">
        <v>4969724</v>
      </c>
      <c r="G1157" s="12" t="n">
        <v>4121560</v>
      </c>
      <c r="H1157" s="11" t="n">
        <v>2</v>
      </c>
      <c r="I1157" s="11" t="s">
        <v>69</v>
      </c>
      <c r="J1157" s="11" t="s">
        <v>80</v>
      </c>
      <c r="K1157" s="11" t="s">
        <v>81</v>
      </c>
      <c r="L1157" s="11" t="s">
        <v>82</v>
      </c>
      <c r="M1157" s="11" t="s">
        <v>73</v>
      </c>
      <c r="N1157" s="11" t="s">
        <v>109</v>
      </c>
      <c r="O1157" s="11" t="s">
        <v>75</v>
      </c>
      <c r="P1157" s="11" t="s">
        <v>95</v>
      </c>
      <c r="Q1157" s="13" t="n">
        <f aca="false">F1157*H1157</f>
        <v>9939448</v>
      </c>
      <c r="R1157" s="13" t="n">
        <f aca="false">G1157*H1157</f>
        <v>8243120</v>
      </c>
      <c r="S1157" s="13" t="n">
        <f aca="false">Q1157-R1157</f>
        <v>1696328</v>
      </c>
      <c r="T1157" s="14" t="n">
        <f aca="false">IFERROR(S1157/Q1157,0)</f>
        <v>0.170666218083741</v>
      </c>
      <c r="U1157" s="15" t="str">
        <f aca="false">TEXT(A1157,"yyyy-mm")</f>
        <v>2022-03</v>
      </c>
    </row>
    <row r="1158" customFormat="false" ht="15" hidden="false" customHeight="false" outlineLevel="0" collapsed="false">
      <c r="A1158" s="10" t="n">
        <v>44636</v>
      </c>
      <c r="B1158" s="11" t="s">
        <v>1290</v>
      </c>
      <c r="C1158" s="11" t="s">
        <v>103</v>
      </c>
      <c r="D1158" s="11" t="s">
        <v>67</v>
      </c>
      <c r="E1158" s="11" t="s">
        <v>68</v>
      </c>
      <c r="F1158" s="12" t="n">
        <v>3319925</v>
      </c>
      <c r="G1158" s="12" t="n">
        <v>2800000</v>
      </c>
      <c r="H1158" s="11" t="n">
        <v>10</v>
      </c>
      <c r="I1158" s="11" t="s">
        <v>69</v>
      </c>
      <c r="J1158" s="11" t="s">
        <v>70</v>
      </c>
      <c r="K1158" s="11" t="s">
        <v>71</v>
      </c>
      <c r="L1158" s="11" t="s">
        <v>72</v>
      </c>
      <c r="M1158" s="11" t="s">
        <v>73</v>
      </c>
      <c r="N1158" s="11" t="s">
        <v>109</v>
      </c>
      <c r="O1158" s="11" t="s">
        <v>75</v>
      </c>
      <c r="P1158" s="11" t="s">
        <v>95</v>
      </c>
      <c r="Q1158" s="13" t="n">
        <f aca="false">F1158*H1158</f>
        <v>33199250</v>
      </c>
      <c r="R1158" s="13" t="n">
        <f aca="false">G1158*H1158</f>
        <v>28000000</v>
      </c>
      <c r="S1158" s="13" t="n">
        <f aca="false">Q1158-R1158</f>
        <v>5199250</v>
      </c>
      <c r="T1158" s="14" t="n">
        <f aca="false">IFERROR(S1158/Q1158,0)</f>
        <v>0.15660745348163</v>
      </c>
      <c r="U1158" s="15" t="str">
        <f aca="false">TEXT(A1158,"yyyy-mm")</f>
        <v>2022-03</v>
      </c>
    </row>
    <row r="1159" customFormat="false" ht="15" hidden="false" customHeight="false" outlineLevel="0" collapsed="false">
      <c r="A1159" s="10" t="n">
        <v>44636</v>
      </c>
      <c r="B1159" s="11" t="s">
        <v>1291</v>
      </c>
      <c r="C1159" s="11" t="s">
        <v>108</v>
      </c>
      <c r="D1159" s="11" t="s">
        <v>67</v>
      </c>
      <c r="E1159" s="11" t="s">
        <v>68</v>
      </c>
      <c r="F1159" s="12" t="n">
        <v>4757880</v>
      </c>
      <c r="G1159" s="12" t="n">
        <v>3450000</v>
      </c>
      <c r="H1159" s="11" t="n">
        <v>12</v>
      </c>
      <c r="I1159" s="11" t="s">
        <v>69</v>
      </c>
      <c r="J1159" s="11" t="s">
        <v>80</v>
      </c>
      <c r="K1159" s="11" t="s">
        <v>81</v>
      </c>
      <c r="L1159" s="11" t="s">
        <v>82</v>
      </c>
      <c r="M1159" s="11" t="s">
        <v>73</v>
      </c>
      <c r="N1159" s="11" t="s">
        <v>173</v>
      </c>
      <c r="O1159" s="11" t="s">
        <v>174</v>
      </c>
      <c r="P1159" s="11" t="s">
        <v>95</v>
      </c>
      <c r="Q1159" s="13" t="n">
        <f aca="false">F1159*H1159</f>
        <v>57094560</v>
      </c>
      <c r="R1159" s="13" t="n">
        <f aca="false">G1159*H1159</f>
        <v>41400000</v>
      </c>
      <c r="S1159" s="13" t="n">
        <f aca="false">Q1159-R1159</f>
        <v>15694560</v>
      </c>
      <c r="T1159" s="14" t="n">
        <f aca="false">IFERROR(S1159/Q1159,0)</f>
        <v>0.274887134606169</v>
      </c>
      <c r="U1159" s="15" t="str">
        <f aca="false">TEXT(A1159,"yyyy-mm")</f>
        <v>2022-03</v>
      </c>
    </row>
    <row r="1160" customFormat="false" ht="15" hidden="false" customHeight="false" outlineLevel="0" collapsed="false">
      <c r="A1160" s="10" t="n">
        <v>44637</v>
      </c>
      <c r="B1160" s="11" t="s">
        <v>1292</v>
      </c>
      <c r="C1160" s="11" t="s">
        <v>111</v>
      </c>
      <c r="D1160" s="11" t="s">
        <v>67</v>
      </c>
      <c r="E1160" s="11" t="s">
        <v>79</v>
      </c>
      <c r="F1160" s="12" t="n">
        <v>3545808</v>
      </c>
      <c r="G1160" s="12" t="n">
        <v>3350000</v>
      </c>
      <c r="H1160" s="11" t="n">
        <v>13</v>
      </c>
      <c r="I1160" s="11" t="s">
        <v>69</v>
      </c>
      <c r="J1160" s="11" t="s">
        <v>80</v>
      </c>
      <c r="K1160" s="11" t="s">
        <v>81</v>
      </c>
      <c r="L1160" s="11" t="s">
        <v>82</v>
      </c>
      <c r="M1160" s="11" t="s">
        <v>73</v>
      </c>
      <c r="N1160" s="11" t="s">
        <v>74</v>
      </c>
      <c r="O1160" s="11" t="s">
        <v>75</v>
      </c>
      <c r="P1160" s="11" t="s">
        <v>76</v>
      </c>
      <c r="Q1160" s="13" t="n">
        <f aca="false">F1160*H1160</f>
        <v>46095504</v>
      </c>
      <c r="R1160" s="13" t="n">
        <f aca="false">G1160*H1160</f>
        <v>43550000</v>
      </c>
      <c r="S1160" s="13" t="n">
        <f aca="false">Q1160-R1160</f>
        <v>2545504</v>
      </c>
      <c r="T1160" s="14" t="n">
        <f aca="false">IFERROR(S1160/Q1160,0)</f>
        <v>0.0552223921881839</v>
      </c>
      <c r="U1160" s="15" t="str">
        <f aca="false">TEXT(A1160,"yyyy-mm")</f>
        <v>2022-03</v>
      </c>
    </row>
    <row r="1161" customFormat="false" ht="15" hidden="false" customHeight="false" outlineLevel="0" collapsed="false">
      <c r="A1161" s="10" t="n">
        <v>44637</v>
      </c>
      <c r="B1161" s="11" t="s">
        <v>1293</v>
      </c>
      <c r="C1161" s="11" t="s">
        <v>115</v>
      </c>
      <c r="D1161" s="11" t="s">
        <v>67</v>
      </c>
      <c r="E1161" s="11" t="s">
        <v>98</v>
      </c>
      <c r="F1161" s="12" t="n">
        <v>4200743</v>
      </c>
      <c r="G1161" s="12" t="n">
        <v>4101000</v>
      </c>
      <c r="H1161" s="11" t="n">
        <v>8</v>
      </c>
      <c r="I1161" s="11" t="s">
        <v>69</v>
      </c>
      <c r="J1161" s="11" t="s">
        <v>80</v>
      </c>
      <c r="K1161" s="11" t="s">
        <v>81</v>
      </c>
      <c r="L1161" s="11" t="s">
        <v>82</v>
      </c>
      <c r="M1161" s="11" t="s">
        <v>73</v>
      </c>
      <c r="N1161" s="11" t="s">
        <v>123</v>
      </c>
      <c r="O1161" s="11" t="s">
        <v>60</v>
      </c>
      <c r="P1161" s="11" t="s">
        <v>106</v>
      </c>
      <c r="Q1161" s="13" t="n">
        <f aca="false">F1161*H1161</f>
        <v>33605944</v>
      </c>
      <c r="R1161" s="13" t="n">
        <f aca="false">G1161*H1161</f>
        <v>32808000</v>
      </c>
      <c r="S1161" s="13" t="n">
        <f aca="false">Q1161-R1161</f>
        <v>797944</v>
      </c>
      <c r="T1161" s="14" t="n">
        <f aca="false">IFERROR(S1161/Q1161,0)</f>
        <v>0.023744132883159</v>
      </c>
      <c r="U1161" s="15" t="str">
        <f aca="false">TEXT(A1161,"yyyy-mm")</f>
        <v>2022-03</v>
      </c>
    </row>
    <row r="1162" customFormat="false" ht="15" hidden="false" customHeight="false" outlineLevel="0" collapsed="false">
      <c r="A1162" s="10" t="n">
        <v>44637</v>
      </c>
      <c r="B1162" s="11" t="s">
        <v>1294</v>
      </c>
      <c r="C1162" s="11" t="s">
        <v>117</v>
      </c>
      <c r="D1162" s="11" t="s">
        <v>118</v>
      </c>
      <c r="E1162" s="11" t="s">
        <v>119</v>
      </c>
      <c r="F1162" s="12" t="n">
        <v>8220549</v>
      </c>
      <c r="G1162" s="12" t="n">
        <v>6500000</v>
      </c>
      <c r="H1162" s="11" t="n">
        <v>8</v>
      </c>
      <c r="I1162" s="11" t="s">
        <v>86</v>
      </c>
      <c r="J1162" s="11" t="s">
        <v>87</v>
      </c>
      <c r="K1162" s="11" t="s">
        <v>88</v>
      </c>
      <c r="L1162" s="11" t="s">
        <v>89</v>
      </c>
      <c r="M1162" s="11" t="s">
        <v>90</v>
      </c>
      <c r="N1162" s="11" t="s">
        <v>93</v>
      </c>
      <c r="O1162" s="11" t="s">
        <v>94</v>
      </c>
      <c r="P1162" s="11" t="s">
        <v>95</v>
      </c>
      <c r="Q1162" s="13" t="n">
        <f aca="false">F1162*H1162</f>
        <v>65764392</v>
      </c>
      <c r="R1162" s="13" t="n">
        <f aca="false">G1162*H1162</f>
        <v>52000000</v>
      </c>
      <c r="S1162" s="13" t="n">
        <f aca="false">Q1162-R1162</f>
        <v>13764392</v>
      </c>
      <c r="T1162" s="14" t="n">
        <f aca="false">IFERROR(S1162/Q1162,0)</f>
        <v>0.209298551714733</v>
      </c>
      <c r="U1162" s="15" t="str">
        <f aca="false">TEXT(A1162,"yyyy-mm")</f>
        <v>2022-03</v>
      </c>
    </row>
    <row r="1163" customFormat="false" ht="15" hidden="false" customHeight="false" outlineLevel="0" collapsed="false">
      <c r="A1163" s="10" t="n">
        <v>44637</v>
      </c>
      <c r="B1163" s="11" t="s">
        <v>1295</v>
      </c>
      <c r="C1163" s="11" t="s">
        <v>121</v>
      </c>
      <c r="D1163" s="11" t="s">
        <v>118</v>
      </c>
      <c r="E1163" s="11" t="s">
        <v>122</v>
      </c>
      <c r="F1163" s="12" t="n">
        <v>7687274</v>
      </c>
      <c r="G1163" s="12" t="n">
        <v>6500000</v>
      </c>
      <c r="H1163" s="11" t="n">
        <v>14</v>
      </c>
      <c r="I1163" s="11" t="s">
        <v>86</v>
      </c>
      <c r="J1163" s="11" t="s">
        <v>87</v>
      </c>
      <c r="K1163" s="11" t="s">
        <v>88</v>
      </c>
      <c r="L1163" s="11" t="s">
        <v>89</v>
      </c>
      <c r="M1163" s="11" t="s">
        <v>90</v>
      </c>
      <c r="N1163" s="11" t="s">
        <v>123</v>
      </c>
      <c r="O1163" s="11" t="s">
        <v>60</v>
      </c>
      <c r="P1163" s="11" t="s">
        <v>106</v>
      </c>
      <c r="Q1163" s="13" t="n">
        <f aca="false">F1163*H1163</f>
        <v>107621836</v>
      </c>
      <c r="R1163" s="13" t="n">
        <f aca="false">G1163*H1163</f>
        <v>91000000</v>
      </c>
      <c r="S1163" s="13" t="n">
        <f aca="false">Q1163-R1163</f>
        <v>16621836</v>
      </c>
      <c r="T1163" s="14" t="n">
        <f aca="false">IFERROR(S1163/Q1163,0)</f>
        <v>0.154446686822923</v>
      </c>
      <c r="U1163" s="15" t="str">
        <f aca="false">TEXT(A1163,"yyyy-mm")</f>
        <v>2022-03</v>
      </c>
    </row>
    <row r="1164" customFormat="false" ht="15" hidden="false" customHeight="false" outlineLevel="0" collapsed="false">
      <c r="A1164" s="10" t="n">
        <v>44638</v>
      </c>
      <c r="B1164" s="11" t="s">
        <v>1296</v>
      </c>
      <c r="C1164" s="11" t="s">
        <v>125</v>
      </c>
      <c r="D1164" s="11" t="s">
        <v>118</v>
      </c>
      <c r="E1164" s="11" t="s">
        <v>126</v>
      </c>
      <c r="F1164" s="12" t="n">
        <v>5684211</v>
      </c>
      <c r="G1164" s="12" t="n">
        <v>4300000</v>
      </c>
      <c r="H1164" s="11" t="n">
        <v>6</v>
      </c>
      <c r="I1164" s="11" t="s">
        <v>69</v>
      </c>
      <c r="J1164" s="11" t="s">
        <v>80</v>
      </c>
      <c r="K1164" s="11" t="s">
        <v>81</v>
      </c>
      <c r="L1164" s="11" t="s">
        <v>82</v>
      </c>
      <c r="M1164" s="11" t="s">
        <v>73</v>
      </c>
      <c r="N1164" s="11" t="s">
        <v>149</v>
      </c>
      <c r="O1164" s="11" t="s">
        <v>150</v>
      </c>
      <c r="P1164" s="11" t="s">
        <v>151</v>
      </c>
      <c r="Q1164" s="13" t="n">
        <f aca="false">F1164*H1164</f>
        <v>34105266</v>
      </c>
      <c r="R1164" s="13" t="n">
        <f aca="false">G1164*H1164</f>
        <v>25800000</v>
      </c>
      <c r="S1164" s="13" t="n">
        <f aca="false">Q1164-R1164</f>
        <v>8305266</v>
      </c>
      <c r="T1164" s="14" t="n">
        <f aca="false">IFERROR(S1164/Q1164,0)</f>
        <v>0.243518581558637</v>
      </c>
      <c r="U1164" s="15" t="str">
        <f aca="false">TEXT(A1164,"yyyy-mm")</f>
        <v>2022-03</v>
      </c>
    </row>
    <row r="1165" customFormat="false" ht="15" hidden="false" customHeight="false" outlineLevel="0" collapsed="false">
      <c r="A1165" s="10" t="n">
        <v>44638</v>
      </c>
      <c r="B1165" s="11" t="s">
        <v>1297</v>
      </c>
      <c r="C1165" s="11" t="s">
        <v>128</v>
      </c>
      <c r="D1165" s="11" t="s">
        <v>118</v>
      </c>
      <c r="E1165" s="11" t="s">
        <v>119</v>
      </c>
      <c r="F1165" s="12" t="n">
        <v>3370302</v>
      </c>
      <c r="G1165" s="12" t="n">
        <v>2100000</v>
      </c>
      <c r="H1165" s="11" t="n">
        <v>5</v>
      </c>
      <c r="I1165" s="11" t="s">
        <v>86</v>
      </c>
      <c r="J1165" s="11" t="s">
        <v>87</v>
      </c>
      <c r="K1165" s="11" t="s">
        <v>88</v>
      </c>
      <c r="L1165" s="11" t="s">
        <v>89</v>
      </c>
      <c r="M1165" s="11" t="s">
        <v>90</v>
      </c>
      <c r="N1165" s="11" t="s">
        <v>123</v>
      </c>
      <c r="O1165" s="11" t="s">
        <v>60</v>
      </c>
      <c r="P1165" s="11" t="s">
        <v>106</v>
      </c>
      <c r="Q1165" s="13" t="n">
        <f aca="false">F1165*H1165</f>
        <v>16851510</v>
      </c>
      <c r="R1165" s="13" t="n">
        <f aca="false">G1165*H1165</f>
        <v>10500000</v>
      </c>
      <c r="S1165" s="13" t="n">
        <f aca="false">Q1165-R1165</f>
        <v>6351510</v>
      </c>
      <c r="T1165" s="14" t="n">
        <f aca="false">IFERROR(S1165/Q1165,0)</f>
        <v>0.37691043710623</v>
      </c>
      <c r="U1165" s="15" t="str">
        <f aca="false">TEXT(A1165,"yyyy-mm")</f>
        <v>2022-03</v>
      </c>
    </row>
    <row r="1166" customFormat="false" ht="15" hidden="false" customHeight="false" outlineLevel="0" collapsed="false">
      <c r="A1166" s="10" t="n">
        <v>44639</v>
      </c>
      <c r="B1166" s="11" t="s">
        <v>1298</v>
      </c>
      <c r="C1166" s="11" t="s">
        <v>130</v>
      </c>
      <c r="D1166" s="11" t="s">
        <v>118</v>
      </c>
      <c r="E1166" s="11" t="s">
        <v>68</v>
      </c>
      <c r="F1166" s="12" t="n">
        <v>2852897</v>
      </c>
      <c r="G1166" s="12" t="n">
        <v>2450000</v>
      </c>
      <c r="H1166" s="11" t="n">
        <v>6</v>
      </c>
      <c r="I1166" s="11" t="s">
        <v>86</v>
      </c>
      <c r="J1166" s="11" t="s">
        <v>87</v>
      </c>
      <c r="K1166" s="11" t="s">
        <v>88</v>
      </c>
      <c r="L1166" s="11" t="s">
        <v>89</v>
      </c>
      <c r="M1166" s="11" t="s">
        <v>90</v>
      </c>
      <c r="N1166" s="11" t="s">
        <v>173</v>
      </c>
      <c r="O1166" s="11" t="s">
        <v>174</v>
      </c>
      <c r="P1166" s="11" t="s">
        <v>95</v>
      </c>
      <c r="Q1166" s="13" t="n">
        <f aca="false">F1166*H1166</f>
        <v>17117382</v>
      </c>
      <c r="R1166" s="13" t="n">
        <f aca="false">G1166*H1166</f>
        <v>14700000</v>
      </c>
      <c r="S1166" s="13" t="n">
        <f aca="false">Q1166-R1166</f>
        <v>2417382</v>
      </c>
      <c r="T1166" s="14" t="n">
        <f aca="false">IFERROR(S1166/Q1166,0)</f>
        <v>0.141223815651249</v>
      </c>
      <c r="U1166" s="15" t="str">
        <f aca="false">TEXT(A1166,"yyyy-mm")</f>
        <v>2022-03</v>
      </c>
    </row>
    <row r="1167" customFormat="false" ht="15" hidden="false" customHeight="false" outlineLevel="0" collapsed="false">
      <c r="A1167" s="10" t="n">
        <v>44639</v>
      </c>
      <c r="B1167" s="11" t="s">
        <v>1299</v>
      </c>
      <c r="C1167" s="11" t="s">
        <v>132</v>
      </c>
      <c r="D1167" s="11" t="s">
        <v>118</v>
      </c>
      <c r="E1167" s="11" t="s">
        <v>68</v>
      </c>
      <c r="F1167" s="12" t="n">
        <v>4803603</v>
      </c>
      <c r="G1167" s="12" t="n">
        <v>4121000</v>
      </c>
      <c r="H1167" s="11" t="n">
        <v>6</v>
      </c>
      <c r="I1167" s="11" t="s">
        <v>69</v>
      </c>
      <c r="J1167" s="11" t="s">
        <v>80</v>
      </c>
      <c r="K1167" s="11" t="s">
        <v>81</v>
      </c>
      <c r="L1167" s="11" t="s">
        <v>82</v>
      </c>
      <c r="M1167" s="11" t="s">
        <v>73</v>
      </c>
      <c r="N1167" s="11" t="s">
        <v>149</v>
      </c>
      <c r="O1167" s="11" t="s">
        <v>150</v>
      </c>
      <c r="P1167" s="11" t="s">
        <v>151</v>
      </c>
      <c r="Q1167" s="13" t="n">
        <f aca="false">F1167*H1167</f>
        <v>28821618</v>
      </c>
      <c r="R1167" s="13" t="n">
        <f aca="false">G1167*H1167</f>
        <v>24726000</v>
      </c>
      <c r="S1167" s="13" t="n">
        <f aca="false">Q1167-R1167</f>
        <v>4095618</v>
      </c>
      <c r="T1167" s="14" t="n">
        <f aca="false">IFERROR(S1167/Q1167,0)</f>
        <v>0.142102292799801</v>
      </c>
      <c r="U1167" s="15" t="str">
        <f aca="false">TEXT(A1167,"yyyy-mm")</f>
        <v>2022-03</v>
      </c>
    </row>
    <row r="1168" customFormat="false" ht="15" hidden="false" customHeight="false" outlineLevel="0" collapsed="false">
      <c r="A1168" s="10" t="n">
        <v>44639</v>
      </c>
      <c r="B1168" s="11" t="s">
        <v>1300</v>
      </c>
      <c r="C1168" s="11" t="s">
        <v>135</v>
      </c>
      <c r="D1168" s="11" t="s">
        <v>118</v>
      </c>
      <c r="E1168" s="11" t="s">
        <v>68</v>
      </c>
      <c r="F1168" s="12" t="n">
        <v>5689947</v>
      </c>
      <c r="G1168" s="12" t="n">
        <v>5235000</v>
      </c>
      <c r="H1168" s="11" t="n">
        <v>27</v>
      </c>
      <c r="I1168" s="11" t="s">
        <v>69</v>
      </c>
      <c r="J1168" s="11" t="s">
        <v>112</v>
      </c>
      <c r="K1168" s="11" t="s">
        <v>113</v>
      </c>
      <c r="L1168" s="11" t="s">
        <v>82</v>
      </c>
      <c r="M1168" s="11" t="s">
        <v>157</v>
      </c>
      <c r="N1168" s="11" t="s">
        <v>133</v>
      </c>
      <c r="O1168" s="11" t="s">
        <v>60</v>
      </c>
      <c r="P1168" s="11" t="s">
        <v>76</v>
      </c>
      <c r="Q1168" s="13" t="n">
        <f aca="false">F1168*H1168</f>
        <v>153628569</v>
      </c>
      <c r="R1168" s="13" t="n">
        <f aca="false">G1168*H1168</f>
        <v>141345000</v>
      </c>
      <c r="S1168" s="13" t="n">
        <f aca="false">Q1168-R1168</f>
        <v>12283569</v>
      </c>
      <c r="T1168" s="14" t="n">
        <f aca="false">IFERROR(S1168/Q1168,0)</f>
        <v>0.0799562807878527</v>
      </c>
      <c r="U1168" s="15" t="str">
        <f aca="false">TEXT(A1168,"yyyy-mm")</f>
        <v>2022-03</v>
      </c>
    </row>
    <row r="1169" customFormat="false" ht="15" hidden="false" customHeight="false" outlineLevel="0" collapsed="false">
      <c r="A1169" s="10" t="n">
        <v>44639</v>
      </c>
      <c r="B1169" s="11" t="s">
        <v>1301</v>
      </c>
      <c r="C1169" s="11" t="s">
        <v>137</v>
      </c>
      <c r="D1169" s="11" t="s">
        <v>138</v>
      </c>
      <c r="E1169" s="11" t="s">
        <v>139</v>
      </c>
      <c r="F1169" s="12" t="n">
        <v>5171827</v>
      </c>
      <c r="G1169" s="12" t="n">
        <v>4890000</v>
      </c>
      <c r="H1169" s="11" t="n">
        <v>16</v>
      </c>
      <c r="I1169" s="11" t="s">
        <v>86</v>
      </c>
      <c r="J1169" s="11" t="s">
        <v>87</v>
      </c>
      <c r="K1169" s="11" t="s">
        <v>88</v>
      </c>
      <c r="L1169" s="11" t="s">
        <v>89</v>
      </c>
      <c r="M1169" s="11" t="s">
        <v>90</v>
      </c>
      <c r="N1169" s="11" t="s">
        <v>143</v>
      </c>
      <c r="O1169" s="11" t="s">
        <v>144</v>
      </c>
      <c r="P1169" s="11" t="s">
        <v>101</v>
      </c>
      <c r="Q1169" s="13" t="n">
        <f aca="false">F1169*H1169</f>
        <v>82749232</v>
      </c>
      <c r="R1169" s="13" t="n">
        <f aca="false">G1169*H1169</f>
        <v>78240000</v>
      </c>
      <c r="S1169" s="13" t="n">
        <f aca="false">Q1169-R1169</f>
        <v>4509232</v>
      </c>
      <c r="T1169" s="14" t="n">
        <f aca="false">IFERROR(S1169/Q1169,0)</f>
        <v>0.0544927353525166</v>
      </c>
      <c r="U1169" s="15" t="str">
        <f aca="false">TEXT(A1169,"yyyy-mm")</f>
        <v>2022-03</v>
      </c>
    </row>
    <row r="1170" customFormat="false" ht="15" hidden="false" customHeight="false" outlineLevel="0" collapsed="false">
      <c r="A1170" s="10" t="n">
        <v>44640</v>
      </c>
      <c r="B1170" s="11" t="s">
        <v>1302</v>
      </c>
      <c r="C1170" s="11" t="s">
        <v>141</v>
      </c>
      <c r="D1170" s="11" t="s">
        <v>138</v>
      </c>
      <c r="E1170" s="11" t="s">
        <v>142</v>
      </c>
      <c r="F1170" s="12" t="n">
        <v>2805124</v>
      </c>
      <c r="G1170" s="12" t="n">
        <v>2178000</v>
      </c>
      <c r="H1170" s="11" t="n">
        <v>29</v>
      </c>
      <c r="I1170" s="11" t="s">
        <v>69</v>
      </c>
      <c r="J1170" s="11" t="s">
        <v>80</v>
      </c>
      <c r="K1170" s="11" t="s">
        <v>81</v>
      </c>
      <c r="L1170" s="11" t="s">
        <v>82</v>
      </c>
      <c r="M1170" s="11" t="s">
        <v>73</v>
      </c>
      <c r="N1170" s="11" t="s">
        <v>173</v>
      </c>
      <c r="O1170" s="11" t="s">
        <v>174</v>
      </c>
      <c r="P1170" s="11" t="s">
        <v>95</v>
      </c>
      <c r="Q1170" s="13" t="n">
        <f aca="false">F1170*H1170</f>
        <v>81348596</v>
      </c>
      <c r="R1170" s="13" t="n">
        <f aca="false">G1170*H1170</f>
        <v>63162000</v>
      </c>
      <c r="S1170" s="13" t="n">
        <f aca="false">Q1170-R1170</f>
        <v>18186596</v>
      </c>
      <c r="T1170" s="14" t="n">
        <f aca="false">IFERROR(S1170/Q1170,0)</f>
        <v>0.22356373550688</v>
      </c>
      <c r="U1170" s="15" t="str">
        <f aca="false">TEXT(A1170,"yyyy-mm")</f>
        <v>2022-03</v>
      </c>
    </row>
    <row r="1171" customFormat="false" ht="15" hidden="false" customHeight="false" outlineLevel="0" collapsed="false">
      <c r="A1171" s="10" t="n">
        <v>44640</v>
      </c>
      <c r="B1171" s="11" t="s">
        <v>1303</v>
      </c>
      <c r="C1171" s="11" t="s">
        <v>146</v>
      </c>
      <c r="D1171" s="11" t="s">
        <v>138</v>
      </c>
      <c r="E1171" s="11" t="s">
        <v>139</v>
      </c>
      <c r="F1171" s="12" t="n">
        <v>2728100</v>
      </c>
      <c r="G1171" s="12" t="n">
        <v>2321000</v>
      </c>
      <c r="H1171" s="11" t="n">
        <v>9</v>
      </c>
      <c r="I1171" s="11" t="s">
        <v>69</v>
      </c>
      <c r="J1171" s="11" t="s">
        <v>112</v>
      </c>
      <c r="K1171" s="11" t="s">
        <v>113</v>
      </c>
      <c r="L1171" s="11" t="s">
        <v>82</v>
      </c>
      <c r="M1171" s="11" t="s">
        <v>157</v>
      </c>
      <c r="N1171" s="11" t="s">
        <v>123</v>
      </c>
      <c r="O1171" s="11" t="s">
        <v>60</v>
      </c>
      <c r="P1171" s="11" t="s">
        <v>106</v>
      </c>
      <c r="Q1171" s="13" t="n">
        <f aca="false">F1171*H1171</f>
        <v>24552900</v>
      </c>
      <c r="R1171" s="13" t="n">
        <f aca="false">G1171*H1171</f>
        <v>20889000</v>
      </c>
      <c r="S1171" s="13" t="n">
        <f aca="false">Q1171-R1171</f>
        <v>3663900</v>
      </c>
      <c r="T1171" s="14" t="n">
        <f aca="false">IFERROR(S1171/Q1171,0)</f>
        <v>0.149224735163667</v>
      </c>
      <c r="U1171" s="15" t="str">
        <f aca="false">TEXT(A1171,"yyyy-mm")</f>
        <v>2022-03</v>
      </c>
    </row>
    <row r="1172" customFormat="false" ht="15" hidden="false" customHeight="false" outlineLevel="0" collapsed="false">
      <c r="A1172" s="10" t="n">
        <v>44640</v>
      </c>
      <c r="B1172" s="11" t="s">
        <v>1304</v>
      </c>
      <c r="C1172" s="11" t="s">
        <v>148</v>
      </c>
      <c r="D1172" s="11" t="s">
        <v>138</v>
      </c>
      <c r="E1172" s="11" t="s">
        <v>122</v>
      </c>
      <c r="F1172" s="12" t="n">
        <v>4941716</v>
      </c>
      <c r="G1172" s="12" t="n">
        <v>4456000</v>
      </c>
      <c r="H1172" s="11" t="n">
        <v>16</v>
      </c>
      <c r="I1172" s="11" t="s">
        <v>69</v>
      </c>
      <c r="J1172" s="11" t="s">
        <v>70</v>
      </c>
      <c r="K1172" s="11" t="s">
        <v>71</v>
      </c>
      <c r="L1172" s="11" t="s">
        <v>72</v>
      </c>
      <c r="M1172" s="11" t="s">
        <v>73</v>
      </c>
      <c r="N1172" s="11" t="s">
        <v>149</v>
      </c>
      <c r="O1172" s="11" t="s">
        <v>150</v>
      </c>
      <c r="P1172" s="11" t="s">
        <v>151</v>
      </c>
      <c r="Q1172" s="13" t="n">
        <f aca="false">F1172*H1172</f>
        <v>79067456</v>
      </c>
      <c r="R1172" s="13" t="n">
        <f aca="false">G1172*H1172</f>
        <v>71296000</v>
      </c>
      <c r="S1172" s="13" t="n">
        <f aca="false">Q1172-R1172</f>
        <v>7771456</v>
      </c>
      <c r="T1172" s="14" t="n">
        <f aca="false">IFERROR(S1172/Q1172,0)</f>
        <v>0.0982889344511097</v>
      </c>
      <c r="U1172" s="15" t="str">
        <f aca="false">TEXT(A1172,"yyyy-mm")</f>
        <v>2022-03</v>
      </c>
    </row>
    <row r="1173" customFormat="false" ht="15" hidden="false" customHeight="false" outlineLevel="0" collapsed="false">
      <c r="A1173" s="10" t="n">
        <v>44640</v>
      </c>
      <c r="B1173" s="11" t="s">
        <v>1305</v>
      </c>
      <c r="C1173" s="11" t="s">
        <v>66</v>
      </c>
      <c r="D1173" s="11" t="s">
        <v>67</v>
      </c>
      <c r="E1173" s="11" t="s">
        <v>68</v>
      </c>
      <c r="F1173" s="12" t="n">
        <v>3048952</v>
      </c>
      <c r="G1173" s="12" t="n">
        <v>2560000</v>
      </c>
      <c r="H1173" s="11" t="n">
        <v>13</v>
      </c>
      <c r="I1173" s="11" t="s">
        <v>69</v>
      </c>
      <c r="J1173" s="11" t="s">
        <v>70</v>
      </c>
      <c r="K1173" s="11" t="s">
        <v>71</v>
      </c>
      <c r="L1173" s="11" t="s">
        <v>72</v>
      </c>
      <c r="M1173" s="11" t="s">
        <v>73</v>
      </c>
      <c r="N1173" s="11" t="s">
        <v>149</v>
      </c>
      <c r="O1173" s="11" t="s">
        <v>150</v>
      </c>
      <c r="P1173" s="11" t="s">
        <v>151</v>
      </c>
      <c r="Q1173" s="13" t="n">
        <f aca="false">F1173*H1173</f>
        <v>39636376</v>
      </c>
      <c r="R1173" s="13" t="n">
        <f aca="false">G1173*H1173</f>
        <v>33280000</v>
      </c>
      <c r="S1173" s="13" t="n">
        <f aca="false">Q1173-R1173</f>
        <v>6356376</v>
      </c>
      <c r="T1173" s="14" t="n">
        <f aca="false">IFERROR(S1173/Q1173,0)</f>
        <v>0.160367234380863</v>
      </c>
      <c r="U1173" s="15" t="str">
        <f aca="false">TEXT(A1173,"yyyy-mm")</f>
        <v>2022-03</v>
      </c>
    </row>
    <row r="1174" customFormat="false" ht="15" hidden="false" customHeight="false" outlineLevel="0" collapsed="false">
      <c r="A1174" s="10" t="n">
        <v>44641</v>
      </c>
      <c r="B1174" s="11" t="s">
        <v>1306</v>
      </c>
      <c r="C1174" s="11" t="s">
        <v>78</v>
      </c>
      <c r="D1174" s="11" t="s">
        <v>67</v>
      </c>
      <c r="E1174" s="11" t="s">
        <v>79</v>
      </c>
      <c r="F1174" s="12" t="n">
        <v>1870000</v>
      </c>
      <c r="G1174" s="12" t="n">
        <v>1650000</v>
      </c>
      <c r="H1174" s="11" t="n">
        <v>16</v>
      </c>
      <c r="I1174" s="11" t="s">
        <v>69</v>
      </c>
      <c r="J1174" s="11" t="s">
        <v>70</v>
      </c>
      <c r="K1174" s="11" t="s">
        <v>71</v>
      </c>
      <c r="L1174" s="11" t="s">
        <v>72</v>
      </c>
      <c r="M1174" s="11" t="s">
        <v>73</v>
      </c>
      <c r="N1174" s="11" t="s">
        <v>99</v>
      </c>
      <c r="O1174" s="11" t="s">
        <v>100</v>
      </c>
      <c r="P1174" s="11" t="s">
        <v>101</v>
      </c>
      <c r="Q1174" s="13" t="n">
        <f aca="false">F1174*H1174</f>
        <v>29920000</v>
      </c>
      <c r="R1174" s="13" t="n">
        <f aca="false">G1174*H1174</f>
        <v>26400000</v>
      </c>
      <c r="S1174" s="13" t="n">
        <f aca="false">Q1174-R1174</f>
        <v>3520000</v>
      </c>
      <c r="T1174" s="14" t="n">
        <f aca="false">IFERROR(S1174/Q1174,0)</f>
        <v>0.117647058823529</v>
      </c>
      <c r="U1174" s="15" t="str">
        <f aca="false">TEXT(A1174,"yyyy-mm")</f>
        <v>2022-03</v>
      </c>
    </row>
    <row r="1175" customFormat="false" ht="15" hidden="false" customHeight="false" outlineLevel="0" collapsed="false">
      <c r="A1175" s="10" t="n">
        <v>44642</v>
      </c>
      <c r="B1175" s="11" t="s">
        <v>1307</v>
      </c>
      <c r="C1175" s="11" t="s">
        <v>84</v>
      </c>
      <c r="D1175" s="11" t="s">
        <v>67</v>
      </c>
      <c r="E1175" s="11" t="s">
        <v>85</v>
      </c>
      <c r="F1175" s="12" t="n">
        <v>2600000</v>
      </c>
      <c r="G1175" s="12" t="n">
        <v>2300000</v>
      </c>
      <c r="H1175" s="11" t="n">
        <v>20</v>
      </c>
      <c r="I1175" s="11" t="s">
        <v>69</v>
      </c>
      <c r="J1175" s="11" t="s">
        <v>80</v>
      </c>
      <c r="K1175" s="11" t="s">
        <v>81</v>
      </c>
      <c r="L1175" s="11" t="s">
        <v>82</v>
      </c>
      <c r="M1175" s="11" t="s">
        <v>73</v>
      </c>
      <c r="N1175" s="11" t="s">
        <v>104</v>
      </c>
      <c r="O1175" s="11" t="s">
        <v>105</v>
      </c>
      <c r="P1175" s="11" t="s">
        <v>106</v>
      </c>
      <c r="Q1175" s="13" t="n">
        <f aca="false">F1175*H1175</f>
        <v>52000000</v>
      </c>
      <c r="R1175" s="13" t="n">
        <f aca="false">G1175*H1175</f>
        <v>46000000</v>
      </c>
      <c r="S1175" s="13" t="n">
        <f aca="false">Q1175-R1175</f>
        <v>6000000</v>
      </c>
      <c r="T1175" s="14" t="n">
        <f aca="false">IFERROR(S1175/Q1175,0)</f>
        <v>0.115384615384615</v>
      </c>
      <c r="U1175" s="15" t="str">
        <f aca="false">TEXT(A1175,"yyyy-mm")</f>
        <v>2022-03</v>
      </c>
    </row>
    <row r="1176" customFormat="false" ht="15" hidden="false" customHeight="false" outlineLevel="0" collapsed="false">
      <c r="A1176" s="10" t="n">
        <v>44642</v>
      </c>
      <c r="B1176" s="11" t="s">
        <v>1308</v>
      </c>
      <c r="C1176" s="11" t="s">
        <v>92</v>
      </c>
      <c r="D1176" s="11" t="s">
        <v>67</v>
      </c>
      <c r="E1176" s="11" t="s">
        <v>79</v>
      </c>
      <c r="F1176" s="12" t="n">
        <v>3577480</v>
      </c>
      <c r="G1176" s="12" t="n">
        <v>3100000</v>
      </c>
      <c r="H1176" s="11" t="n">
        <v>6</v>
      </c>
      <c r="I1176" s="11" t="s">
        <v>69</v>
      </c>
      <c r="J1176" s="11" t="s">
        <v>80</v>
      </c>
      <c r="K1176" s="11" t="s">
        <v>81</v>
      </c>
      <c r="L1176" s="11" t="s">
        <v>82</v>
      </c>
      <c r="M1176" s="11" t="s">
        <v>73</v>
      </c>
      <c r="N1176" s="11" t="s">
        <v>149</v>
      </c>
      <c r="O1176" s="11" t="s">
        <v>150</v>
      </c>
      <c r="P1176" s="11" t="s">
        <v>151</v>
      </c>
      <c r="Q1176" s="13" t="n">
        <f aca="false">F1176*H1176</f>
        <v>21464880</v>
      </c>
      <c r="R1176" s="13" t="n">
        <f aca="false">G1176*H1176</f>
        <v>18600000</v>
      </c>
      <c r="S1176" s="13" t="n">
        <f aca="false">Q1176-R1176</f>
        <v>2864880</v>
      </c>
      <c r="T1176" s="14" t="n">
        <f aca="false">IFERROR(S1176/Q1176,0)</f>
        <v>0.133468251394837</v>
      </c>
      <c r="U1176" s="15" t="str">
        <f aca="false">TEXT(A1176,"yyyy-mm")</f>
        <v>2022-03</v>
      </c>
    </row>
    <row r="1177" customFormat="false" ht="15" hidden="false" customHeight="false" outlineLevel="0" collapsed="false">
      <c r="A1177" s="10" t="n">
        <v>44642</v>
      </c>
      <c r="B1177" s="11" t="s">
        <v>1309</v>
      </c>
      <c r="C1177" s="11" t="s">
        <v>97</v>
      </c>
      <c r="D1177" s="11" t="s">
        <v>67</v>
      </c>
      <c r="E1177" s="11" t="s">
        <v>98</v>
      </c>
      <c r="F1177" s="12" t="n">
        <v>4969724</v>
      </c>
      <c r="G1177" s="12" t="n">
        <v>4121560</v>
      </c>
      <c r="H1177" s="11" t="n">
        <v>15</v>
      </c>
      <c r="I1177" s="11" t="s">
        <v>69</v>
      </c>
      <c r="J1177" s="11" t="s">
        <v>70</v>
      </c>
      <c r="K1177" s="11" t="s">
        <v>71</v>
      </c>
      <c r="L1177" s="11" t="s">
        <v>72</v>
      </c>
      <c r="M1177" s="11" t="s">
        <v>73</v>
      </c>
      <c r="N1177" s="11" t="s">
        <v>109</v>
      </c>
      <c r="O1177" s="11" t="s">
        <v>75</v>
      </c>
      <c r="P1177" s="11" t="s">
        <v>95</v>
      </c>
      <c r="Q1177" s="13" t="n">
        <f aca="false">F1177*H1177</f>
        <v>74545860</v>
      </c>
      <c r="R1177" s="13" t="n">
        <f aca="false">G1177*H1177</f>
        <v>61823400</v>
      </c>
      <c r="S1177" s="13" t="n">
        <f aca="false">Q1177-R1177</f>
        <v>12722460</v>
      </c>
      <c r="T1177" s="14" t="n">
        <f aca="false">IFERROR(S1177/Q1177,0)</f>
        <v>0.170666218083741</v>
      </c>
      <c r="U1177" s="15" t="str">
        <f aca="false">TEXT(A1177,"yyyy-mm")</f>
        <v>2022-03</v>
      </c>
    </row>
    <row r="1178" customFormat="false" ht="15" hidden="false" customHeight="false" outlineLevel="0" collapsed="false">
      <c r="A1178" s="10" t="n">
        <v>44642</v>
      </c>
      <c r="B1178" s="11" t="s">
        <v>1310</v>
      </c>
      <c r="C1178" s="11" t="s">
        <v>103</v>
      </c>
      <c r="D1178" s="11" t="s">
        <v>67</v>
      </c>
      <c r="E1178" s="11" t="s">
        <v>68</v>
      </c>
      <c r="F1178" s="12" t="n">
        <v>3319925</v>
      </c>
      <c r="G1178" s="12" t="n">
        <v>2800000</v>
      </c>
      <c r="H1178" s="11" t="n">
        <v>2</v>
      </c>
      <c r="I1178" s="11" t="s">
        <v>69</v>
      </c>
      <c r="J1178" s="11" t="s">
        <v>112</v>
      </c>
      <c r="K1178" s="11" t="s">
        <v>113</v>
      </c>
      <c r="L1178" s="11" t="s">
        <v>82</v>
      </c>
      <c r="M1178" s="11" t="s">
        <v>157</v>
      </c>
      <c r="N1178" s="11" t="s">
        <v>109</v>
      </c>
      <c r="O1178" s="11" t="s">
        <v>75</v>
      </c>
      <c r="P1178" s="11" t="s">
        <v>95</v>
      </c>
      <c r="Q1178" s="13" t="n">
        <f aca="false">F1178*H1178</f>
        <v>6639850</v>
      </c>
      <c r="R1178" s="13" t="n">
        <f aca="false">G1178*H1178</f>
        <v>5600000</v>
      </c>
      <c r="S1178" s="13" t="n">
        <f aca="false">Q1178-R1178</f>
        <v>1039850</v>
      </c>
      <c r="T1178" s="14" t="n">
        <f aca="false">IFERROR(S1178/Q1178,0)</f>
        <v>0.15660745348163</v>
      </c>
      <c r="U1178" s="15" t="str">
        <f aca="false">TEXT(A1178,"yyyy-mm")</f>
        <v>2022-03</v>
      </c>
    </row>
    <row r="1179" customFormat="false" ht="15" hidden="false" customHeight="false" outlineLevel="0" collapsed="false">
      <c r="A1179" s="10" t="n">
        <v>44643</v>
      </c>
      <c r="B1179" s="11" t="s">
        <v>1311</v>
      </c>
      <c r="C1179" s="11" t="s">
        <v>108</v>
      </c>
      <c r="D1179" s="11" t="s">
        <v>67</v>
      </c>
      <c r="E1179" s="11" t="s">
        <v>68</v>
      </c>
      <c r="F1179" s="12" t="n">
        <v>4757880</v>
      </c>
      <c r="G1179" s="12" t="n">
        <v>3450000</v>
      </c>
      <c r="H1179" s="11" t="n">
        <v>5</v>
      </c>
      <c r="I1179" s="11" t="s">
        <v>86</v>
      </c>
      <c r="J1179" s="11" t="s">
        <v>87</v>
      </c>
      <c r="K1179" s="11" t="s">
        <v>88</v>
      </c>
      <c r="L1179" s="11" t="s">
        <v>89</v>
      </c>
      <c r="M1179" s="11" t="s">
        <v>90</v>
      </c>
      <c r="N1179" s="11" t="s">
        <v>123</v>
      </c>
      <c r="O1179" s="11" t="s">
        <v>60</v>
      </c>
      <c r="P1179" s="11" t="s">
        <v>106</v>
      </c>
      <c r="Q1179" s="13" t="n">
        <f aca="false">F1179*H1179</f>
        <v>23789400</v>
      </c>
      <c r="R1179" s="13" t="n">
        <f aca="false">G1179*H1179</f>
        <v>17250000</v>
      </c>
      <c r="S1179" s="13" t="n">
        <f aca="false">Q1179-R1179</f>
        <v>6539400</v>
      </c>
      <c r="T1179" s="14" t="n">
        <f aca="false">IFERROR(S1179/Q1179,0)</f>
        <v>0.274887134606169</v>
      </c>
      <c r="U1179" s="15" t="str">
        <f aca="false">TEXT(A1179,"yyyy-mm")</f>
        <v>2022-03</v>
      </c>
    </row>
    <row r="1180" customFormat="false" ht="15" hidden="false" customHeight="false" outlineLevel="0" collapsed="false">
      <c r="A1180" s="10" t="n">
        <v>44644</v>
      </c>
      <c r="B1180" s="11" t="s">
        <v>1312</v>
      </c>
      <c r="C1180" s="11" t="s">
        <v>111</v>
      </c>
      <c r="D1180" s="11" t="s">
        <v>67</v>
      </c>
      <c r="E1180" s="11" t="s">
        <v>79</v>
      </c>
      <c r="F1180" s="12" t="n">
        <v>3545808</v>
      </c>
      <c r="G1180" s="12" t="n">
        <v>3350000</v>
      </c>
      <c r="H1180" s="11" t="n">
        <v>18</v>
      </c>
      <c r="I1180" s="11" t="s">
        <v>69</v>
      </c>
      <c r="J1180" s="11" t="s">
        <v>80</v>
      </c>
      <c r="K1180" s="11" t="s">
        <v>81</v>
      </c>
      <c r="L1180" s="11" t="s">
        <v>82</v>
      </c>
      <c r="M1180" s="11" t="s">
        <v>73</v>
      </c>
      <c r="N1180" s="11" t="s">
        <v>93</v>
      </c>
      <c r="O1180" s="11" t="s">
        <v>94</v>
      </c>
      <c r="P1180" s="11" t="s">
        <v>95</v>
      </c>
      <c r="Q1180" s="13" t="n">
        <f aca="false">F1180*H1180</f>
        <v>63824544</v>
      </c>
      <c r="R1180" s="13" t="n">
        <f aca="false">G1180*H1180</f>
        <v>60300000</v>
      </c>
      <c r="S1180" s="13" t="n">
        <f aca="false">Q1180-R1180</f>
        <v>3524544</v>
      </c>
      <c r="T1180" s="14" t="n">
        <f aca="false">IFERROR(S1180/Q1180,0)</f>
        <v>0.0552223921881839</v>
      </c>
      <c r="U1180" s="15" t="str">
        <f aca="false">TEXT(A1180,"yyyy-mm")</f>
        <v>2022-03</v>
      </c>
    </row>
    <row r="1181" customFormat="false" ht="15" hidden="false" customHeight="false" outlineLevel="0" collapsed="false">
      <c r="A1181" s="10" t="n">
        <v>44644</v>
      </c>
      <c r="B1181" s="11" t="s">
        <v>1313</v>
      </c>
      <c r="C1181" s="11" t="s">
        <v>115</v>
      </c>
      <c r="D1181" s="11" t="s">
        <v>67</v>
      </c>
      <c r="E1181" s="11" t="s">
        <v>98</v>
      </c>
      <c r="F1181" s="12" t="n">
        <v>4200743</v>
      </c>
      <c r="G1181" s="12" t="n">
        <v>4101000</v>
      </c>
      <c r="H1181" s="11" t="n">
        <v>4</v>
      </c>
      <c r="I1181" s="11" t="s">
        <v>69</v>
      </c>
      <c r="J1181" s="11" t="s">
        <v>70</v>
      </c>
      <c r="K1181" s="11" t="s">
        <v>71</v>
      </c>
      <c r="L1181" s="11" t="s">
        <v>72</v>
      </c>
      <c r="M1181" s="11" t="s">
        <v>73</v>
      </c>
      <c r="N1181" s="11" t="s">
        <v>74</v>
      </c>
      <c r="O1181" s="11" t="s">
        <v>75</v>
      </c>
      <c r="P1181" s="11" t="s">
        <v>76</v>
      </c>
      <c r="Q1181" s="13" t="n">
        <f aca="false">F1181*H1181</f>
        <v>16802972</v>
      </c>
      <c r="R1181" s="13" t="n">
        <f aca="false">G1181*H1181</f>
        <v>16404000</v>
      </c>
      <c r="S1181" s="13" t="n">
        <f aca="false">Q1181-R1181</f>
        <v>398972</v>
      </c>
      <c r="T1181" s="14" t="n">
        <f aca="false">IFERROR(S1181/Q1181,0)</f>
        <v>0.023744132883159</v>
      </c>
      <c r="U1181" s="15" t="str">
        <f aca="false">TEXT(A1181,"yyyy-mm")</f>
        <v>2022-03</v>
      </c>
    </row>
    <row r="1182" customFormat="false" ht="15" hidden="false" customHeight="false" outlineLevel="0" collapsed="false">
      <c r="A1182" s="10" t="n">
        <v>44644</v>
      </c>
      <c r="B1182" s="11" t="s">
        <v>1314</v>
      </c>
      <c r="C1182" s="11" t="s">
        <v>117</v>
      </c>
      <c r="D1182" s="11" t="s">
        <v>118</v>
      </c>
      <c r="E1182" s="11" t="s">
        <v>119</v>
      </c>
      <c r="F1182" s="12" t="n">
        <v>8220549</v>
      </c>
      <c r="G1182" s="12" t="n">
        <v>6500000</v>
      </c>
      <c r="H1182" s="11" t="n">
        <v>16</v>
      </c>
      <c r="I1182" s="11" t="s">
        <v>86</v>
      </c>
      <c r="J1182" s="11" t="s">
        <v>87</v>
      </c>
      <c r="K1182" s="11" t="s">
        <v>88</v>
      </c>
      <c r="L1182" s="11" t="s">
        <v>89</v>
      </c>
      <c r="M1182" s="11" t="s">
        <v>90</v>
      </c>
      <c r="N1182" s="11" t="s">
        <v>149</v>
      </c>
      <c r="O1182" s="11" t="s">
        <v>150</v>
      </c>
      <c r="P1182" s="11" t="s">
        <v>151</v>
      </c>
      <c r="Q1182" s="13" t="n">
        <f aca="false">F1182*H1182</f>
        <v>131528784</v>
      </c>
      <c r="R1182" s="13" t="n">
        <f aca="false">G1182*H1182</f>
        <v>104000000</v>
      </c>
      <c r="S1182" s="13" t="n">
        <f aca="false">Q1182-R1182</f>
        <v>27528784</v>
      </c>
      <c r="T1182" s="14" t="n">
        <f aca="false">IFERROR(S1182/Q1182,0)</f>
        <v>0.209298551714733</v>
      </c>
      <c r="U1182" s="15" t="str">
        <f aca="false">TEXT(A1182,"yyyy-mm")</f>
        <v>2022-03</v>
      </c>
    </row>
    <row r="1183" customFormat="false" ht="15" hidden="false" customHeight="false" outlineLevel="0" collapsed="false">
      <c r="A1183" s="10" t="n">
        <v>44645</v>
      </c>
      <c r="B1183" s="11" t="s">
        <v>1315</v>
      </c>
      <c r="C1183" s="11" t="s">
        <v>121</v>
      </c>
      <c r="D1183" s="11" t="s">
        <v>118</v>
      </c>
      <c r="E1183" s="11" t="s">
        <v>122</v>
      </c>
      <c r="F1183" s="12" t="n">
        <v>7687274</v>
      </c>
      <c r="G1183" s="12" t="n">
        <v>6500000</v>
      </c>
      <c r="H1183" s="11" t="n">
        <v>5</v>
      </c>
      <c r="I1183" s="11" t="s">
        <v>69</v>
      </c>
      <c r="J1183" s="11" t="s">
        <v>112</v>
      </c>
      <c r="K1183" s="11" t="s">
        <v>113</v>
      </c>
      <c r="L1183" s="11" t="s">
        <v>82</v>
      </c>
      <c r="M1183" s="11" t="s">
        <v>157</v>
      </c>
      <c r="N1183" s="11" t="s">
        <v>149</v>
      </c>
      <c r="O1183" s="11" t="s">
        <v>150</v>
      </c>
      <c r="P1183" s="11" t="s">
        <v>151</v>
      </c>
      <c r="Q1183" s="13" t="n">
        <f aca="false">F1183*H1183</f>
        <v>38436370</v>
      </c>
      <c r="R1183" s="13" t="n">
        <f aca="false">G1183*H1183</f>
        <v>32500000</v>
      </c>
      <c r="S1183" s="13" t="n">
        <f aca="false">Q1183-R1183</f>
        <v>5936370</v>
      </c>
      <c r="T1183" s="14" t="n">
        <f aca="false">IFERROR(S1183/Q1183,0)</f>
        <v>0.154446686822923</v>
      </c>
      <c r="U1183" s="15" t="str">
        <f aca="false">TEXT(A1183,"yyyy-mm")</f>
        <v>2022-03</v>
      </c>
    </row>
    <row r="1184" customFormat="false" ht="15" hidden="false" customHeight="false" outlineLevel="0" collapsed="false">
      <c r="A1184" s="10" t="n">
        <v>44645</v>
      </c>
      <c r="B1184" s="11" t="s">
        <v>1316</v>
      </c>
      <c r="C1184" s="11" t="s">
        <v>125</v>
      </c>
      <c r="D1184" s="11" t="s">
        <v>118</v>
      </c>
      <c r="E1184" s="11" t="s">
        <v>126</v>
      </c>
      <c r="F1184" s="12" t="n">
        <v>5684211</v>
      </c>
      <c r="G1184" s="12" t="n">
        <v>4300000</v>
      </c>
      <c r="H1184" s="11" t="n">
        <v>4</v>
      </c>
      <c r="I1184" s="11" t="s">
        <v>69</v>
      </c>
      <c r="J1184" s="11" t="s">
        <v>112</v>
      </c>
      <c r="K1184" s="11" t="s">
        <v>113</v>
      </c>
      <c r="L1184" s="11" t="s">
        <v>82</v>
      </c>
      <c r="M1184" s="11" t="s">
        <v>157</v>
      </c>
      <c r="N1184" s="11" t="s">
        <v>93</v>
      </c>
      <c r="O1184" s="11" t="s">
        <v>94</v>
      </c>
      <c r="P1184" s="11" t="s">
        <v>95</v>
      </c>
      <c r="Q1184" s="13" t="n">
        <f aca="false">F1184*H1184</f>
        <v>22736844</v>
      </c>
      <c r="R1184" s="13" t="n">
        <f aca="false">G1184*H1184</f>
        <v>17200000</v>
      </c>
      <c r="S1184" s="13" t="n">
        <f aca="false">Q1184-R1184</f>
        <v>5536844</v>
      </c>
      <c r="T1184" s="14" t="n">
        <f aca="false">IFERROR(S1184/Q1184,0)</f>
        <v>0.243518581558637</v>
      </c>
      <c r="U1184" s="15" t="str">
        <f aca="false">TEXT(A1184,"yyyy-mm")</f>
        <v>2022-03</v>
      </c>
    </row>
    <row r="1185" customFormat="false" ht="15" hidden="false" customHeight="false" outlineLevel="0" collapsed="false">
      <c r="A1185" s="10" t="n">
        <v>44646</v>
      </c>
      <c r="B1185" s="11" t="s">
        <v>1317</v>
      </c>
      <c r="C1185" s="11" t="s">
        <v>128</v>
      </c>
      <c r="D1185" s="11" t="s">
        <v>118</v>
      </c>
      <c r="E1185" s="11" t="s">
        <v>119</v>
      </c>
      <c r="F1185" s="12" t="n">
        <v>3370302</v>
      </c>
      <c r="G1185" s="12" t="n">
        <v>2100000</v>
      </c>
      <c r="H1185" s="11" t="n">
        <v>15</v>
      </c>
      <c r="I1185" s="11" t="s">
        <v>69</v>
      </c>
      <c r="J1185" s="11" t="s">
        <v>80</v>
      </c>
      <c r="K1185" s="11" t="s">
        <v>81</v>
      </c>
      <c r="L1185" s="11" t="s">
        <v>82</v>
      </c>
      <c r="M1185" s="11" t="s">
        <v>73</v>
      </c>
      <c r="N1185" s="11" t="s">
        <v>173</v>
      </c>
      <c r="O1185" s="11" t="s">
        <v>174</v>
      </c>
      <c r="P1185" s="11" t="s">
        <v>95</v>
      </c>
      <c r="Q1185" s="13" t="n">
        <f aca="false">F1185*H1185</f>
        <v>50554530</v>
      </c>
      <c r="R1185" s="13" t="n">
        <f aca="false">G1185*H1185</f>
        <v>31500000</v>
      </c>
      <c r="S1185" s="13" t="n">
        <f aca="false">Q1185-R1185</f>
        <v>19054530</v>
      </c>
      <c r="T1185" s="14" t="n">
        <f aca="false">IFERROR(S1185/Q1185,0)</f>
        <v>0.37691043710623</v>
      </c>
      <c r="U1185" s="15" t="str">
        <f aca="false">TEXT(A1185,"yyyy-mm")</f>
        <v>2022-03</v>
      </c>
    </row>
    <row r="1186" customFormat="false" ht="15" hidden="false" customHeight="false" outlineLevel="0" collapsed="false">
      <c r="A1186" s="10" t="n">
        <v>44646</v>
      </c>
      <c r="B1186" s="11" t="s">
        <v>1318</v>
      </c>
      <c r="C1186" s="11" t="s">
        <v>130</v>
      </c>
      <c r="D1186" s="11" t="s">
        <v>118</v>
      </c>
      <c r="E1186" s="11" t="s">
        <v>68</v>
      </c>
      <c r="F1186" s="12" t="n">
        <v>2852897</v>
      </c>
      <c r="G1186" s="12" t="n">
        <v>2450000</v>
      </c>
      <c r="H1186" s="11" t="n">
        <v>4</v>
      </c>
      <c r="I1186" s="11" t="s">
        <v>69</v>
      </c>
      <c r="J1186" s="11" t="s">
        <v>80</v>
      </c>
      <c r="K1186" s="11" t="s">
        <v>81</v>
      </c>
      <c r="L1186" s="11" t="s">
        <v>82</v>
      </c>
      <c r="M1186" s="11" t="s">
        <v>73</v>
      </c>
      <c r="N1186" s="11" t="s">
        <v>99</v>
      </c>
      <c r="O1186" s="11" t="s">
        <v>100</v>
      </c>
      <c r="P1186" s="11" t="s">
        <v>101</v>
      </c>
      <c r="Q1186" s="13" t="n">
        <f aca="false">F1186*H1186</f>
        <v>11411588</v>
      </c>
      <c r="R1186" s="13" t="n">
        <f aca="false">G1186*H1186</f>
        <v>9800000</v>
      </c>
      <c r="S1186" s="13" t="n">
        <f aca="false">Q1186-R1186</f>
        <v>1611588</v>
      </c>
      <c r="T1186" s="14" t="n">
        <f aca="false">IFERROR(S1186/Q1186,0)</f>
        <v>0.141223815651249</v>
      </c>
      <c r="U1186" s="15" t="str">
        <f aca="false">TEXT(A1186,"yyyy-mm")</f>
        <v>2022-03</v>
      </c>
    </row>
    <row r="1187" customFormat="false" ht="15" hidden="false" customHeight="false" outlineLevel="0" collapsed="false">
      <c r="A1187" s="10" t="n">
        <v>44646</v>
      </c>
      <c r="B1187" s="11" t="s">
        <v>1319</v>
      </c>
      <c r="C1187" s="11" t="s">
        <v>132</v>
      </c>
      <c r="D1187" s="11" t="s">
        <v>118</v>
      </c>
      <c r="E1187" s="11" t="s">
        <v>68</v>
      </c>
      <c r="F1187" s="12" t="n">
        <v>4803603</v>
      </c>
      <c r="G1187" s="12" t="n">
        <v>4121000</v>
      </c>
      <c r="H1187" s="11" t="n">
        <v>1</v>
      </c>
      <c r="I1187" s="11" t="s">
        <v>69</v>
      </c>
      <c r="J1187" s="11" t="s">
        <v>80</v>
      </c>
      <c r="K1187" s="11" t="s">
        <v>81</v>
      </c>
      <c r="L1187" s="11" t="s">
        <v>82</v>
      </c>
      <c r="M1187" s="11" t="s">
        <v>73</v>
      </c>
      <c r="N1187" s="11" t="s">
        <v>93</v>
      </c>
      <c r="O1187" s="11" t="s">
        <v>94</v>
      </c>
      <c r="P1187" s="11" t="s">
        <v>95</v>
      </c>
      <c r="Q1187" s="13" t="n">
        <f aca="false">F1187*H1187</f>
        <v>4803603</v>
      </c>
      <c r="R1187" s="13" t="n">
        <f aca="false">G1187*H1187</f>
        <v>4121000</v>
      </c>
      <c r="S1187" s="13" t="n">
        <f aca="false">Q1187-R1187</f>
        <v>682603</v>
      </c>
      <c r="T1187" s="14" t="n">
        <f aca="false">IFERROR(S1187/Q1187,0)</f>
        <v>0.142102292799801</v>
      </c>
      <c r="U1187" s="15" t="str">
        <f aca="false">TEXT(A1187,"yyyy-mm")</f>
        <v>2022-03</v>
      </c>
    </row>
    <row r="1188" customFormat="false" ht="15" hidden="false" customHeight="false" outlineLevel="0" collapsed="false">
      <c r="A1188" s="10" t="n">
        <v>44646</v>
      </c>
      <c r="B1188" s="11" t="s">
        <v>1320</v>
      </c>
      <c r="C1188" s="11" t="s">
        <v>135</v>
      </c>
      <c r="D1188" s="11" t="s">
        <v>118</v>
      </c>
      <c r="E1188" s="11" t="s">
        <v>68</v>
      </c>
      <c r="F1188" s="12" t="n">
        <v>5689947</v>
      </c>
      <c r="G1188" s="12" t="n">
        <v>5235000</v>
      </c>
      <c r="H1188" s="11" t="n">
        <v>20</v>
      </c>
      <c r="I1188" s="11" t="s">
        <v>69</v>
      </c>
      <c r="J1188" s="11" t="s">
        <v>80</v>
      </c>
      <c r="K1188" s="11" t="s">
        <v>81</v>
      </c>
      <c r="L1188" s="11" t="s">
        <v>82</v>
      </c>
      <c r="M1188" s="11" t="s">
        <v>73</v>
      </c>
      <c r="N1188" s="11" t="s">
        <v>149</v>
      </c>
      <c r="O1188" s="11" t="s">
        <v>150</v>
      </c>
      <c r="P1188" s="11" t="s">
        <v>151</v>
      </c>
      <c r="Q1188" s="13" t="n">
        <f aca="false">F1188*H1188</f>
        <v>113798940</v>
      </c>
      <c r="R1188" s="13" t="n">
        <f aca="false">G1188*H1188</f>
        <v>104700000</v>
      </c>
      <c r="S1188" s="13" t="n">
        <f aca="false">Q1188-R1188</f>
        <v>9098940</v>
      </c>
      <c r="T1188" s="14" t="n">
        <f aca="false">IFERROR(S1188/Q1188,0)</f>
        <v>0.0799562807878527</v>
      </c>
      <c r="U1188" s="15" t="str">
        <f aca="false">TEXT(A1188,"yyyy-mm")</f>
        <v>2022-03</v>
      </c>
    </row>
    <row r="1189" customFormat="false" ht="15" hidden="false" customHeight="false" outlineLevel="0" collapsed="false">
      <c r="A1189" s="10" t="n">
        <v>44648</v>
      </c>
      <c r="B1189" s="11" t="s">
        <v>1321</v>
      </c>
      <c r="C1189" s="11" t="s">
        <v>137</v>
      </c>
      <c r="D1189" s="11" t="s">
        <v>138</v>
      </c>
      <c r="E1189" s="11" t="s">
        <v>139</v>
      </c>
      <c r="F1189" s="12" t="n">
        <v>5171827</v>
      </c>
      <c r="G1189" s="12" t="n">
        <v>4890000</v>
      </c>
      <c r="H1189" s="11" t="n">
        <v>4</v>
      </c>
      <c r="I1189" s="11" t="s">
        <v>69</v>
      </c>
      <c r="J1189" s="11" t="s">
        <v>112</v>
      </c>
      <c r="K1189" s="11" t="s">
        <v>113</v>
      </c>
      <c r="L1189" s="11" t="s">
        <v>82</v>
      </c>
      <c r="M1189" s="11" t="s">
        <v>157</v>
      </c>
      <c r="N1189" s="11" t="s">
        <v>173</v>
      </c>
      <c r="O1189" s="11" t="s">
        <v>174</v>
      </c>
      <c r="P1189" s="11" t="s">
        <v>95</v>
      </c>
      <c r="Q1189" s="13" t="n">
        <f aca="false">F1189*H1189</f>
        <v>20687308</v>
      </c>
      <c r="R1189" s="13" t="n">
        <f aca="false">G1189*H1189</f>
        <v>19560000</v>
      </c>
      <c r="S1189" s="13" t="n">
        <f aca="false">Q1189-R1189</f>
        <v>1127308</v>
      </c>
      <c r="T1189" s="14" t="n">
        <f aca="false">IFERROR(S1189/Q1189,0)</f>
        <v>0.0544927353525166</v>
      </c>
      <c r="U1189" s="15" t="str">
        <f aca="false">TEXT(A1189,"yyyy-mm")</f>
        <v>2022-03</v>
      </c>
    </row>
    <row r="1190" customFormat="false" ht="15" hidden="false" customHeight="false" outlineLevel="0" collapsed="false">
      <c r="A1190" s="10" t="n">
        <v>44648</v>
      </c>
      <c r="B1190" s="11" t="s">
        <v>1322</v>
      </c>
      <c r="C1190" s="11" t="s">
        <v>141</v>
      </c>
      <c r="D1190" s="11" t="s">
        <v>138</v>
      </c>
      <c r="E1190" s="11" t="s">
        <v>142</v>
      </c>
      <c r="F1190" s="12" t="n">
        <v>2805124</v>
      </c>
      <c r="G1190" s="12" t="n">
        <v>2178000</v>
      </c>
      <c r="H1190" s="11" t="n">
        <v>16</v>
      </c>
      <c r="I1190" s="11" t="s">
        <v>86</v>
      </c>
      <c r="J1190" s="11" t="s">
        <v>87</v>
      </c>
      <c r="K1190" s="11" t="s">
        <v>88</v>
      </c>
      <c r="L1190" s="11" t="s">
        <v>89</v>
      </c>
      <c r="M1190" s="11" t="s">
        <v>90</v>
      </c>
      <c r="N1190" s="11" t="s">
        <v>93</v>
      </c>
      <c r="O1190" s="11" t="s">
        <v>94</v>
      </c>
      <c r="P1190" s="11" t="s">
        <v>95</v>
      </c>
      <c r="Q1190" s="13" t="n">
        <f aca="false">F1190*H1190</f>
        <v>44881984</v>
      </c>
      <c r="R1190" s="13" t="n">
        <f aca="false">G1190*H1190</f>
        <v>34848000</v>
      </c>
      <c r="S1190" s="13" t="n">
        <f aca="false">Q1190-R1190</f>
        <v>10033984</v>
      </c>
      <c r="T1190" s="14" t="n">
        <f aca="false">IFERROR(S1190/Q1190,0)</f>
        <v>0.22356373550688</v>
      </c>
      <c r="U1190" s="15" t="str">
        <f aca="false">TEXT(A1190,"yyyy-mm")</f>
        <v>2022-03</v>
      </c>
    </row>
    <row r="1191" customFormat="false" ht="15" hidden="false" customHeight="false" outlineLevel="0" collapsed="false">
      <c r="A1191" s="10" t="n">
        <v>44648</v>
      </c>
      <c r="B1191" s="11" t="s">
        <v>1323</v>
      </c>
      <c r="C1191" s="11" t="s">
        <v>146</v>
      </c>
      <c r="D1191" s="11" t="s">
        <v>138</v>
      </c>
      <c r="E1191" s="11" t="s">
        <v>139</v>
      </c>
      <c r="F1191" s="12" t="n">
        <v>2728100</v>
      </c>
      <c r="G1191" s="12" t="n">
        <v>2321000</v>
      </c>
      <c r="H1191" s="11" t="n">
        <v>25</v>
      </c>
      <c r="I1191" s="11" t="s">
        <v>86</v>
      </c>
      <c r="J1191" s="11" t="s">
        <v>87</v>
      </c>
      <c r="K1191" s="11" t="s">
        <v>88</v>
      </c>
      <c r="L1191" s="11" t="s">
        <v>89</v>
      </c>
      <c r="M1191" s="11" t="s">
        <v>90</v>
      </c>
      <c r="N1191" s="11" t="s">
        <v>173</v>
      </c>
      <c r="O1191" s="11" t="s">
        <v>174</v>
      </c>
      <c r="P1191" s="11" t="s">
        <v>95</v>
      </c>
      <c r="Q1191" s="13" t="n">
        <f aca="false">F1191*H1191</f>
        <v>68202500</v>
      </c>
      <c r="R1191" s="13" t="n">
        <f aca="false">G1191*H1191</f>
        <v>58025000</v>
      </c>
      <c r="S1191" s="13" t="n">
        <f aca="false">Q1191-R1191</f>
        <v>10177500</v>
      </c>
      <c r="T1191" s="14" t="n">
        <f aca="false">IFERROR(S1191/Q1191,0)</f>
        <v>0.149224735163667</v>
      </c>
      <c r="U1191" s="15" t="str">
        <f aca="false">TEXT(A1191,"yyyy-mm")</f>
        <v>2022-03</v>
      </c>
    </row>
    <row r="1192" customFormat="false" ht="15" hidden="false" customHeight="false" outlineLevel="0" collapsed="false">
      <c r="A1192" s="10" t="n">
        <v>44648</v>
      </c>
      <c r="B1192" s="11" t="s">
        <v>1324</v>
      </c>
      <c r="C1192" s="11" t="s">
        <v>148</v>
      </c>
      <c r="D1192" s="11" t="s">
        <v>138</v>
      </c>
      <c r="E1192" s="11" t="s">
        <v>122</v>
      </c>
      <c r="F1192" s="12" t="n">
        <v>4941716</v>
      </c>
      <c r="G1192" s="12" t="n">
        <v>4456000</v>
      </c>
      <c r="H1192" s="11" t="n">
        <v>29</v>
      </c>
      <c r="I1192" s="11" t="s">
        <v>69</v>
      </c>
      <c r="J1192" s="11" t="s">
        <v>80</v>
      </c>
      <c r="K1192" s="11" t="s">
        <v>81</v>
      </c>
      <c r="L1192" s="11" t="s">
        <v>82</v>
      </c>
      <c r="M1192" s="11" t="s">
        <v>73</v>
      </c>
      <c r="N1192" s="11" t="s">
        <v>173</v>
      </c>
      <c r="O1192" s="11" t="s">
        <v>174</v>
      </c>
      <c r="P1192" s="11" t="s">
        <v>95</v>
      </c>
      <c r="Q1192" s="13" t="n">
        <f aca="false">F1192*H1192</f>
        <v>143309764</v>
      </c>
      <c r="R1192" s="13" t="n">
        <f aca="false">G1192*H1192</f>
        <v>129224000</v>
      </c>
      <c r="S1192" s="13" t="n">
        <f aca="false">Q1192-R1192</f>
        <v>14085764</v>
      </c>
      <c r="T1192" s="14" t="n">
        <f aca="false">IFERROR(S1192/Q1192,0)</f>
        <v>0.0982889344511097</v>
      </c>
      <c r="U1192" s="15" t="str">
        <f aca="false">TEXT(A1192,"yyyy-mm")</f>
        <v>2022-03</v>
      </c>
    </row>
    <row r="1193" customFormat="false" ht="15" hidden="false" customHeight="false" outlineLevel="0" collapsed="false">
      <c r="A1193" s="10" t="n">
        <v>44648</v>
      </c>
      <c r="B1193" s="11" t="s">
        <v>1325</v>
      </c>
      <c r="C1193" s="11" t="s">
        <v>66</v>
      </c>
      <c r="D1193" s="11" t="s">
        <v>67</v>
      </c>
      <c r="E1193" s="11" t="s">
        <v>68</v>
      </c>
      <c r="F1193" s="12" t="n">
        <v>3048952</v>
      </c>
      <c r="G1193" s="12" t="n">
        <v>2560000</v>
      </c>
      <c r="H1193" s="11" t="n">
        <v>11</v>
      </c>
      <c r="I1193" s="11" t="s">
        <v>69</v>
      </c>
      <c r="J1193" s="11" t="s">
        <v>112</v>
      </c>
      <c r="K1193" s="11" t="s">
        <v>113</v>
      </c>
      <c r="L1193" s="11" t="s">
        <v>82</v>
      </c>
      <c r="M1193" s="11" t="s">
        <v>157</v>
      </c>
      <c r="N1193" s="11" t="s">
        <v>93</v>
      </c>
      <c r="O1193" s="11" t="s">
        <v>94</v>
      </c>
      <c r="P1193" s="11" t="s">
        <v>95</v>
      </c>
      <c r="Q1193" s="13" t="n">
        <f aca="false">F1193*H1193</f>
        <v>33538472</v>
      </c>
      <c r="R1193" s="13" t="n">
        <f aca="false">G1193*H1193</f>
        <v>28160000</v>
      </c>
      <c r="S1193" s="13" t="n">
        <f aca="false">Q1193-R1193</f>
        <v>5378472</v>
      </c>
      <c r="T1193" s="14" t="n">
        <f aca="false">IFERROR(S1193/Q1193,0)</f>
        <v>0.160367234380863</v>
      </c>
      <c r="U1193" s="15" t="str">
        <f aca="false">TEXT(A1193,"yyyy-mm")</f>
        <v>2022-03</v>
      </c>
    </row>
    <row r="1194" customFormat="false" ht="15" hidden="false" customHeight="false" outlineLevel="0" collapsed="false">
      <c r="A1194" s="10" t="n">
        <v>44648</v>
      </c>
      <c r="B1194" s="11" t="s">
        <v>1326</v>
      </c>
      <c r="C1194" s="11" t="s">
        <v>78</v>
      </c>
      <c r="D1194" s="11" t="s">
        <v>67</v>
      </c>
      <c r="E1194" s="11" t="s">
        <v>79</v>
      </c>
      <c r="F1194" s="12" t="n">
        <v>1870000</v>
      </c>
      <c r="G1194" s="12" t="n">
        <v>1650000</v>
      </c>
      <c r="H1194" s="11" t="n">
        <v>22</v>
      </c>
      <c r="I1194" s="11" t="s">
        <v>69</v>
      </c>
      <c r="J1194" s="11" t="s">
        <v>80</v>
      </c>
      <c r="K1194" s="11" t="s">
        <v>81</v>
      </c>
      <c r="L1194" s="11" t="s">
        <v>82</v>
      </c>
      <c r="M1194" s="11" t="s">
        <v>73</v>
      </c>
      <c r="N1194" s="11" t="s">
        <v>93</v>
      </c>
      <c r="O1194" s="11" t="s">
        <v>94</v>
      </c>
      <c r="P1194" s="11" t="s">
        <v>95</v>
      </c>
      <c r="Q1194" s="13" t="n">
        <f aca="false">F1194*H1194</f>
        <v>41140000</v>
      </c>
      <c r="R1194" s="13" t="n">
        <f aca="false">G1194*H1194</f>
        <v>36300000</v>
      </c>
      <c r="S1194" s="13" t="n">
        <f aca="false">Q1194-R1194</f>
        <v>4840000</v>
      </c>
      <c r="T1194" s="14" t="n">
        <f aca="false">IFERROR(S1194/Q1194,0)</f>
        <v>0.117647058823529</v>
      </c>
      <c r="U1194" s="15" t="str">
        <f aca="false">TEXT(A1194,"yyyy-mm")</f>
        <v>2022-03</v>
      </c>
    </row>
    <row r="1195" customFormat="false" ht="15" hidden="false" customHeight="false" outlineLevel="0" collapsed="false">
      <c r="A1195" s="10" t="n">
        <v>44648</v>
      </c>
      <c r="B1195" s="11" t="s">
        <v>1327</v>
      </c>
      <c r="C1195" s="11" t="s">
        <v>84</v>
      </c>
      <c r="D1195" s="11" t="s">
        <v>67</v>
      </c>
      <c r="E1195" s="11" t="s">
        <v>85</v>
      </c>
      <c r="F1195" s="12" t="n">
        <v>2600000</v>
      </c>
      <c r="G1195" s="12" t="n">
        <v>2300000</v>
      </c>
      <c r="H1195" s="11" t="n">
        <v>1</v>
      </c>
      <c r="I1195" s="11" t="s">
        <v>69</v>
      </c>
      <c r="J1195" s="11" t="s">
        <v>80</v>
      </c>
      <c r="K1195" s="11" t="s">
        <v>81</v>
      </c>
      <c r="L1195" s="11" t="s">
        <v>82</v>
      </c>
      <c r="M1195" s="11" t="s">
        <v>73</v>
      </c>
      <c r="N1195" s="11" t="s">
        <v>99</v>
      </c>
      <c r="O1195" s="11" t="s">
        <v>100</v>
      </c>
      <c r="P1195" s="11" t="s">
        <v>101</v>
      </c>
      <c r="Q1195" s="13" t="n">
        <f aca="false">F1195*H1195</f>
        <v>2600000</v>
      </c>
      <c r="R1195" s="13" t="n">
        <f aca="false">G1195*H1195</f>
        <v>2300000</v>
      </c>
      <c r="S1195" s="13" t="n">
        <f aca="false">Q1195-R1195</f>
        <v>300000</v>
      </c>
      <c r="T1195" s="14" t="n">
        <f aca="false">IFERROR(S1195/Q1195,0)</f>
        <v>0.115384615384615</v>
      </c>
      <c r="U1195" s="15" t="str">
        <f aca="false">TEXT(A1195,"yyyy-mm")</f>
        <v>2022-03</v>
      </c>
    </row>
    <row r="1196" customFormat="false" ht="15" hidden="false" customHeight="false" outlineLevel="0" collapsed="false">
      <c r="A1196" s="10" t="n">
        <v>44648</v>
      </c>
      <c r="B1196" s="11" t="s">
        <v>1328</v>
      </c>
      <c r="C1196" s="11" t="s">
        <v>92</v>
      </c>
      <c r="D1196" s="11" t="s">
        <v>67</v>
      </c>
      <c r="E1196" s="11" t="s">
        <v>79</v>
      </c>
      <c r="F1196" s="12" t="n">
        <v>3577480</v>
      </c>
      <c r="G1196" s="12" t="n">
        <v>3100000</v>
      </c>
      <c r="H1196" s="11" t="n">
        <v>26</v>
      </c>
      <c r="I1196" s="11" t="s">
        <v>69</v>
      </c>
      <c r="J1196" s="11" t="s">
        <v>70</v>
      </c>
      <c r="K1196" s="11" t="s">
        <v>71</v>
      </c>
      <c r="L1196" s="11" t="s">
        <v>72</v>
      </c>
      <c r="M1196" s="11" t="s">
        <v>73</v>
      </c>
      <c r="N1196" s="11" t="s">
        <v>123</v>
      </c>
      <c r="O1196" s="11" t="s">
        <v>60</v>
      </c>
      <c r="P1196" s="11" t="s">
        <v>106</v>
      </c>
      <c r="Q1196" s="13" t="n">
        <f aca="false">F1196*H1196</f>
        <v>93014480</v>
      </c>
      <c r="R1196" s="13" t="n">
        <f aca="false">G1196*H1196</f>
        <v>80600000</v>
      </c>
      <c r="S1196" s="13" t="n">
        <f aca="false">Q1196-R1196</f>
        <v>12414480</v>
      </c>
      <c r="T1196" s="14" t="n">
        <f aca="false">IFERROR(S1196/Q1196,0)</f>
        <v>0.133468251394837</v>
      </c>
      <c r="U1196" s="15" t="str">
        <f aca="false">TEXT(A1196,"yyyy-mm")</f>
        <v>2022-03</v>
      </c>
    </row>
    <row r="1197" customFormat="false" ht="15" hidden="false" customHeight="false" outlineLevel="0" collapsed="false">
      <c r="A1197" s="10" t="n">
        <v>44650</v>
      </c>
      <c r="B1197" s="11" t="s">
        <v>1329</v>
      </c>
      <c r="C1197" s="11" t="s">
        <v>97</v>
      </c>
      <c r="D1197" s="11" t="s">
        <v>67</v>
      </c>
      <c r="E1197" s="11" t="s">
        <v>98</v>
      </c>
      <c r="F1197" s="12" t="n">
        <v>4969724</v>
      </c>
      <c r="G1197" s="12" t="n">
        <v>4121560</v>
      </c>
      <c r="H1197" s="11" t="n">
        <v>10</v>
      </c>
      <c r="I1197" s="11" t="s">
        <v>69</v>
      </c>
      <c r="J1197" s="11" t="s">
        <v>80</v>
      </c>
      <c r="K1197" s="11" t="s">
        <v>81</v>
      </c>
      <c r="L1197" s="11" t="s">
        <v>82</v>
      </c>
      <c r="M1197" s="11" t="s">
        <v>73</v>
      </c>
      <c r="N1197" s="11" t="s">
        <v>149</v>
      </c>
      <c r="O1197" s="11" t="s">
        <v>150</v>
      </c>
      <c r="P1197" s="11" t="s">
        <v>151</v>
      </c>
      <c r="Q1197" s="13" t="n">
        <f aca="false">F1197*H1197</f>
        <v>49697240</v>
      </c>
      <c r="R1197" s="13" t="n">
        <f aca="false">G1197*H1197</f>
        <v>41215600</v>
      </c>
      <c r="S1197" s="13" t="n">
        <f aca="false">Q1197-R1197</f>
        <v>8481640</v>
      </c>
      <c r="T1197" s="14" t="n">
        <f aca="false">IFERROR(S1197/Q1197,0)</f>
        <v>0.170666218083741</v>
      </c>
      <c r="U1197" s="15" t="str">
        <f aca="false">TEXT(A1197,"yyyy-mm")</f>
        <v>2022-03</v>
      </c>
    </row>
    <row r="1198" customFormat="false" ht="15" hidden="false" customHeight="false" outlineLevel="0" collapsed="false">
      <c r="A1198" s="10" t="n">
        <v>44650</v>
      </c>
      <c r="B1198" s="11" t="s">
        <v>1330</v>
      </c>
      <c r="C1198" s="11" t="s">
        <v>103</v>
      </c>
      <c r="D1198" s="11" t="s">
        <v>67</v>
      </c>
      <c r="E1198" s="11" t="s">
        <v>68</v>
      </c>
      <c r="F1198" s="12" t="n">
        <v>3319925</v>
      </c>
      <c r="G1198" s="12" t="n">
        <v>2800000</v>
      </c>
      <c r="H1198" s="11" t="n">
        <v>5</v>
      </c>
      <c r="I1198" s="11" t="s">
        <v>69</v>
      </c>
      <c r="J1198" s="11" t="s">
        <v>112</v>
      </c>
      <c r="K1198" s="11" t="s">
        <v>113</v>
      </c>
      <c r="L1198" s="11" t="s">
        <v>82</v>
      </c>
      <c r="M1198" s="11" t="s">
        <v>157</v>
      </c>
      <c r="N1198" s="11" t="s">
        <v>99</v>
      </c>
      <c r="O1198" s="11" t="s">
        <v>100</v>
      </c>
      <c r="P1198" s="11" t="s">
        <v>101</v>
      </c>
      <c r="Q1198" s="13" t="n">
        <f aca="false">F1198*H1198</f>
        <v>16599625</v>
      </c>
      <c r="R1198" s="13" t="n">
        <f aca="false">G1198*H1198</f>
        <v>14000000</v>
      </c>
      <c r="S1198" s="13" t="n">
        <f aca="false">Q1198-R1198</f>
        <v>2599625</v>
      </c>
      <c r="T1198" s="14" t="n">
        <f aca="false">IFERROR(S1198/Q1198,0)</f>
        <v>0.15660745348163</v>
      </c>
      <c r="U1198" s="15" t="str">
        <f aca="false">TEXT(A1198,"yyyy-mm")</f>
        <v>2022-03</v>
      </c>
    </row>
    <row r="1199" customFormat="false" ht="15" hidden="false" customHeight="false" outlineLevel="0" collapsed="false">
      <c r="A1199" s="10" t="n">
        <v>44650</v>
      </c>
      <c r="B1199" s="11" t="s">
        <v>1331</v>
      </c>
      <c r="C1199" s="11" t="s">
        <v>108</v>
      </c>
      <c r="D1199" s="11" t="s">
        <v>67</v>
      </c>
      <c r="E1199" s="11" t="s">
        <v>68</v>
      </c>
      <c r="F1199" s="12" t="n">
        <v>4757880</v>
      </c>
      <c r="G1199" s="12" t="n">
        <v>3450000</v>
      </c>
      <c r="H1199" s="11" t="n">
        <v>9</v>
      </c>
      <c r="I1199" s="11" t="s">
        <v>86</v>
      </c>
      <c r="J1199" s="11" t="s">
        <v>87</v>
      </c>
      <c r="K1199" s="11" t="s">
        <v>88</v>
      </c>
      <c r="L1199" s="11" t="s">
        <v>89</v>
      </c>
      <c r="M1199" s="11" t="s">
        <v>90</v>
      </c>
      <c r="N1199" s="11" t="s">
        <v>149</v>
      </c>
      <c r="O1199" s="11" t="s">
        <v>150</v>
      </c>
      <c r="P1199" s="11" t="s">
        <v>151</v>
      </c>
      <c r="Q1199" s="13" t="n">
        <f aca="false">F1199*H1199</f>
        <v>42820920</v>
      </c>
      <c r="R1199" s="13" t="n">
        <f aca="false">G1199*H1199</f>
        <v>31050000</v>
      </c>
      <c r="S1199" s="13" t="n">
        <f aca="false">Q1199-R1199</f>
        <v>11770920</v>
      </c>
      <c r="T1199" s="14" t="n">
        <f aca="false">IFERROR(S1199/Q1199,0)</f>
        <v>0.274887134606169</v>
      </c>
      <c r="U1199" s="15" t="str">
        <f aca="false">TEXT(A1199,"yyyy-mm")</f>
        <v>2022-03</v>
      </c>
    </row>
    <row r="1200" customFormat="false" ht="15" hidden="false" customHeight="false" outlineLevel="0" collapsed="false">
      <c r="A1200" s="10" t="n">
        <v>44650</v>
      </c>
      <c r="B1200" s="11" t="s">
        <v>1332</v>
      </c>
      <c r="C1200" s="11" t="s">
        <v>111</v>
      </c>
      <c r="D1200" s="11" t="s">
        <v>67</v>
      </c>
      <c r="E1200" s="11" t="s">
        <v>79</v>
      </c>
      <c r="F1200" s="12" t="n">
        <v>3545808</v>
      </c>
      <c r="G1200" s="12" t="n">
        <v>3350000</v>
      </c>
      <c r="H1200" s="11" t="n">
        <v>18</v>
      </c>
      <c r="I1200" s="11" t="s">
        <v>69</v>
      </c>
      <c r="J1200" s="11" t="s">
        <v>70</v>
      </c>
      <c r="K1200" s="11" t="s">
        <v>71</v>
      </c>
      <c r="L1200" s="11" t="s">
        <v>72</v>
      </c>
      <c r="M1200" s="11" t="s">
        <v>73</v>
      </c>
      <c r="N1200" s="11" t="s">
        <v>109</v>
      </c>
      <c r="O1200" s="11" t="s">
        <v>75</v>
      </c>
      <c r="P1200" s="11" t="s">
        <v>95</v>
      </c>
      <c r="Q1200" s="13" t="n">
        <f aca="false">F1200*H1200</f>
        <v>63824544</v>
      </c>
      <c r="R1200" s="13" t="n">
        <f aca="false">G1200*H1200</f>
        <v>60300000</v>
      </c>
      <c r="S1200" s="13" t="n">
        <f aca="false">Q1200-R1200</f>
        <v>3524544</v>
      </c>
      <c r="T1200" s="14" t="n">
        <f aca="false">IFERROR(S1200/Q1200,0)</f>
        <v>0.0552223921881839</v>
      </c>
      <c r="U1200" s="15" t="str">
        <f aca="false">TEXT(A1200,"yyyy-mm")</f>
        <v>2022-03</v>
      </c>
    </row>
    <row r="1201" customFormat="false" ht="15" hidden="false" customHeight="false" outlineLevel="0" collapsed="false">
      <c r="A1201" s="10" t="n">
        <v>44652</v>
      </c>
      <c r="B1201" s="11" t="s">
        <v>1333</v>
      </c>
      <c r="C1201" s="11" t="s">
        <v>115</v>
      </c>
      <c r="D1201" s="11" t="s">
        <v>67</v>
      </c>
      <c r="E1201" s="11" t="s">
        <v>98</v>
      </c>
      <c r="F1201" s="12" t="n">
        <v>4200743</v>
      </c>
      <c r="G1201" s="12" t="n">
        <v>4101000</v>
      </c>
      <c r="H1201" s="11" t="n">
        <v>14</v>
      </c>
      <c r="I1201" s="11" t="s">
        <v>69</v>
      </c>
      <c r="J1201" s="11" t="s">
        <v>80</v>
      </c>
      <c r="K1201" s="11" t="s">
        <v>81</v>
      </c>
      <c r="L1201" s="11" t="s">
        <v>82</v>
      </c>
      <c r="M1201" s="11" t="s">
        <v>73</v>
      </c>
      <c r="N1201" s="11" t="s">
        <v>93</v>
      </c>
      <c r="O1201" s="11" t="s">
        <v>94</v>
      </c>
      <c r="P1201" s="11" t="s">
        <v>95</v>
      </c>
      <c r="Q1201" s="13" t="n">
        <f aca="false">F1201*H1201</f>
        <v>58810402</v>
      </c>
      <c r="R1201" s="13" t="n">
        <f aca="false">G1201*H1201</f>
        <v>57414000</v>
      </c>
      <c r="S1201" s="13" t="n">
        <f aca="false">Q1201-R1201</f>
        <v>1396402</v>
      </c>
      <c r="T1201" s="14" t="n">
        <f aca="false">IFERROR(S1201/Q1201,0)</f>
        <v>0.023744132883159</v>
      </c>
      <c r="U1201" s="15" t="str">
        <f aca="false">TEXT(A1201,"yyyy-mm")</f>
        <v>2022-04</v>
      </c>
    </row>
    <row r="1202" customFormat="false" ht="15" hidden="false" customHeight="false" outlineLevel="0" collapsed="false">
      <c r="A1202" s="10" t="n">
        <v>44652</v>
      </c>
      <c r="B1202" s="11" t="s">
        <v>1334</v>
      </c>
      <c r="C1202" s="11" t="s">
        <v>117</v>
      </c>
      <c r="D1202" s="11" t="s">
        <v>118</v>
      </c>
      <c r="E1202" s="11" t="s">
        <v>119</v>
      </c>
      <c r="F1202" s="12" t="n">
        <v>8220549</v>
      </c>
      <c r="G1202" s="12" t="n">
        <v>6500000</v>
      </c>
      <c r="H1202" s="11" t="n">
        <v>8</v>
      </c>
      <c r="I1202" s="11" t="s">
        <v>86</v>
      </c>
      <c r="J1202" s="11" t="s">
        <v>87</v>
      </c>
      <c r="K1202" s="11" t="s">
        <v>88</v>
      </c>
      <c r="L1202" s="11" t="s">
        <v>89</v>
      </c>
      <c r="M1202" s="11" t="s">
        <v>90</v>
      </c>
      <c r="N1202" s="11" t="s">
        <v>173</v>
      </c>
      <c r="O1202" s="11" t="s">
        <v>174</v>
      </c>
      <c r="P1202" s="11" t="s">
        <v>95</v>
      </c>
      <c r="Q1202" s="13" t="n">
        <f aca="false">F1202*H1202</f>
        <v>65764392</v>
      </c>
      <c r="R1202" s="13" t="n">
        <f aca="false">G1202*H1202</f>
        <v>52000000</v>
      </c>
      <c r="S1202" s="13" t="n">
        <f aca="false">Q1202-R1202</f>
        <v>13764392</v>
      </c>
      <c r="T1202" s="14" t="n">
        <f aca="false">IFERROR(S1202/Q1202,0)</f>
        <v>0.209298551714733</v>
      </c>
      <c r="U1202" s="15" t="str">
        <f aca="false">TEXT(A1202,"yyyy-mm")</f>
        <v>2022-04</v>
      </c>
    </row>
    <row r="1203" customFormat="false" ht="15" hidden="false" customHeight="false" outlineLevel="0" collapsed="false">
      <c r="A1203" s="10" t="n">
        <v>44652</v>
      </c>
      <c r="B1203" s="11" t="s">
        <v>1335</v>
      </c>
      <c r="C1203" s="11" t="s">
        <v>121</v>
      </c>
      <c r="D1203" s="11" t="s">
        <v>118</v>
      </c>
      <c r="E1203" s="11" t="s">
        <v>122</v>
      </c>
      <c r="F1203" s="12" t="n">
        <v>7687274</v>
      </c>
      <c r="G1203" s="12" t="n">
        <v>6500000</v>
      </c>
      <c r="H1203" s="11" t="n">
        <v>11</v>
      </c>
      <c r="I1203" s="11" t="s">
        <v>69</v>
      </c>
      <c r="J1203" s="11" t="s">
        <v>70</v>
      </c>
      <c r="K1203" s="11" t="s">
        <v>71</v>
      </c>
      <c r="L1203" s="11" t="s">
        <v>72</v>
      </c>
      <c r="M1203" s="11" t="s">
        <v>73</v>
      </c>
      <c r="N1203" s="11" t="s">
        <v>93</v>
      </c>
      <c r="O1203" s="11" t="s">
        <v>94</v>
      </c>
      <c r="P1203" s="11" t="s">
        <v>95</v>
      </c>
      <c r="Q1203" s="13" t="n">
        <f aca="false">F1203*H1203</f>
        <v>84560014</v>
      </c>
      <c r="R1203" s="13" t="n">
        <f aca="false">G1203*H1203</f>
        <v>71500000</v>
      </c>
      <c r="S1203" s="13" t="n">
        <f aca="false">Q1203-R1203</f>
        <v>13060014</v>
      </c>
      <c r="T1203" s="14" t="n">
        <f aca="false">IFERROR(S1203/Q1203,0)</f>
        <v>0.154446686822923</v>
      </c>
      <c r="U1203" s="15" t="str">
        <f aca="false">TEXT(A1203,"yyyy-mm")</f>
        <v>2022-04</v>
      </c>
    </row>
    <row r="1204" customFormat="false" ht="15" hidden="false" customHeight="false" outlineLevel="0" collapsed="false">
      <c r="A1204" s="10" t="n">
        <v>44653</v>
      </c>
      <c r="B1204" s="11" t="s">
        <v>1336</v>
      </c>
      <c r="C1204" s="11" t="s">
        <v>125</v>
      </c>
      <c r="D1204" s="11" t="s">
        <v>118</v>
      </c>
      <c r="E1204" s="11" t="s">
        <v>126</v>
      </c>
      <c r="F1204" s="12" t="n">
        <v>5684211</v>
      </c>
      <c r="G1204" s="12" t="n">
        <v>4300000</v>
      </c>
      <c r="H1204" s="11" t="n">
        <v>15</v>
      </c>
      <c r="I1204" s="11" t="s">
        <v>69</v>
      </c>
      <c r="J1204" s="11" t="s">
        <v>112</v>
      </c>
      <c r="K1204" s="11" t="s">
        <v>113</v>
      </c>
      <c r="L1204" s="11" t="s">
        <v>82</v>
      </c>
      <c r="M1204" s="11" t="s">
        <v>157</v>
      </c>
      <c r="N1204" s="11" t="s">
        <v>143</v>
      </c>
      <c r="O1204" s="11" t="s">
        <v>144</v>
      </c>
      <c r="P1204" s="11" t="s">
        <v>101</v>
      </c>
      <c r="Q1204" s="13" t="n">
        <f aca="false">F1204*H1204</f>
        <v>85263165</v>
      </c>
      <c r="R1204" s="13" t="n">
        <f aca="false">G1204*H1204</f>
        <v>64500000</v>
      </c>
      <c r="S1204" s="13" t="n">
        <f aca="false">Q1204-R1204</f>
        <v>20763165</v>
      </c>
      <c r="T1204" s="14" t="n">
        <f aca="false">IFERROR(S1204/Q1204,0)</f>
        <v>0.243518581558637</v>
      </c>
      <c r="U1204" s="15" t="str">
        <f aca="false">TEXT(A1204,"yyyy-mm")</f>
        <v>2022-04</v>
      </c>
    </row>
    <row r="1205" customFormat="false" ht="15" hidden="false" customHeight="false" outlineLevel="0" collapsed="false">
      <c r="A1205" s="10" t="n">
        <v>44653</v>
      </c>
      <c r="B1205" s="11" t="s">
        <v>1337</v>
      </c>
      <c r="C1205" s="11" t="s">
        <v>128</v>
      </c>
      <c r="D1205" s="11" t="s">
        <v>118</v>
      </c>
      <c r="E1205" s="11" t="s">
        <v>119</v>
      </c>
      <c r="F1205" s="12" t="n">
        <v>3370302</v>
      </c>
      <c r="G1205" s="12" t="n">
        <v>2100000</v>
      </c>
      <c r="H1205" s="11" t="n">
        <v>32</v>
      </c>
      <c r="I1205" s="11" t="s">
        <v>69</v>
      </c>
      <c r="J1205" s="11" t="s">
        <v>112</v>
      </c>
      <c r="K1205" s="11" t="s">
        <v>113</v>
      </c>
      <c r="L1205" s="11" t="s">
        <v>82</v>
      </c>
      <c r="M1205" s="11" t="s">
        <v>157</v>
      </c>
      <c r="N1205" s="11" t="s">
        <v>99</v>
      </c>
      <c r="O1205" s="11" t="s">
        <v>100</v>
      </c>
      <c r="P1205" s="11" t="s">
        <v>101</v>
      </c>
      <c r="Q1205" s="13" t="n">
        <f aca="false">F1205*H1205</f>
        <v>107849664</v>
      </c>
      <c r="R1205" s="13" t="n">
        <f aca="false">G1205*H1205</f>
        <v>67200000</v>
      </c>
      <c r="S1205" s="13" t="n">
        <f aca="false">Q1205-R1205</f>
        <v>40649664</v>
      </c>
      <c r="T1205" s="14" t="n">
        <f aca="false">IFERROR(S1205/Q1205,0)</f>
        <v>0.37691043710623</v>
      </c>
      <c r="U1205" s="15" t="str">
        <f aca="false">TEXT(A1205,"yyyy-mm")</f>
        <v>2022-04</v>
      </c>
    </row>
    <row r="1206" customFormat="false" ht="15" hidden="false" customHeight="false" outlineLevel="0" collapsed="false">
      <c r="A1206" s="10" t="n">
        <v>44653</v>
      </c>
      <c r="B1206" s="11" t="s">
        <v>1338</v>
      </c>
      <c r="C1206" s="11" t="s">
        <v>130</v>
      </c>
      <c r="D1206" s="11" t="s">
        <v>118</v>
      </c>
      <c r="E1206" s="11" t="s">
        <v>68</v>
      </c>
      <c r="F1206" s="12" t="n">
        <v>2852897</v>
      </c>
      <c r="G1206" s="12" t="n">
        <v>2450000</v>
      </c>
      <c r="H1206" s="11" t="n">
        <v>13</v>
      </c>
      <c r="I1206" s="11" t="s">
        <v>69</v>
      </c>
      <c r="J1206" s="11" t="s">
        <v>80</v>
      </c>
      <c r="K1206" s="11" t="s">
        <v>81</v>
      </c>
      <c r="L1206" s="11" t="s">
        <v>82</v>
      </c>
      <c r="M1206" s="11" t="s">
        <v>73</v>
      </c>
      <c r="N1206" s="11" t="s">
        <v>74</v>
      </c>
      <c r="O1206" s="11" t="s">
        <v>75</v>
      </c>
      <c r="P1206" s="11" t="s">
        <v>76</v>
      </c>
      <c r="Q1206" s="13" t="n">
        <f aca="false">F1206*H1206</f>
        <v>37087661</v>
      </c>
      <c r="R1206" s="13" t="n">
        <f aca="false">G1206*H1206</f>
        <v>31850000</v>
      </c>
      <c r="S1206" s="13" t="n">
        <f aca="false">Q1206-R1206</f>
        <v>5237661</v>
      </c>
      <c r="T1206" s="14" t="n">
        <f aca="false">IFERROR(S1206/Q1206,0)</f>
        <v>0.141223815651249</v>
      </c>
      <c r="U1206" s="15" t="str">
        <f aca="false">TEXT(A1206,"yyyy-mm")</f>
        <v>2022-04</v>
      </c>
    </row>
    <row r="1207" customFormat="false" ht="15" hidden="false" customHeight="false" outlineLevel="0" collapsed="false">
      <c r="A1207" s="10" t="n">
        <v>44654</v>
      </c>
      <c r="B1207" s="11" t="s">
        <v>1339</v>
      </c>
      <c r="C1207" s="11" t="s">
        <v>132</v>
      </c>
      <c r="D1207" s="11" t="s">
        <v>118</v>
      </c>
      <c r="E1207" s="11" t="s">
        <v>68</v>
      </c>
      <c r="F1207" s="12" t="n">
        <v>4803603</v>
      </c>
      <c r="G1207" s="12" t="n">
        <v>4121000</v>
      </c>
      <c r="H1207" s="11" t="n">
        <v>12</v>
      </c>
      <c r="I1207" s="11" t="s">
        <v>69</v>
      </c>
      <c r="J1207" s="11" t="s">
        <v>80</v>
      </c>
      <c r="K1207" s="11" t="s">
        <v>81</v>
      </c>
      <c r="L1207" s="11" t="s">
        <v>82</v>
      </c>
      <c r="M1207" s="11" t="s">
        <v>73</v>
      </c>
      <c r="N1207" s="11" t="s">
        <v>109</v>
      </c>
      <c r="O1207" s="11" t="s">
        <v>75</v>
      </c>
      <c r="P1207" s="11" t="s">
        <v>95</v>
      </c>
      <c r="Q1207" s="13" t="n">
        <f aca="false">F1207*H1207</f>
        <v>57643236</v>
      </c>
      <c r="R1207" s="13" t="n">
        <f aca="false">G1207*H1207</f>
        <v>49452000</v>
      </c>
      <c r="S1207" s="13" t="n">
        <f aca="false">Q1207-R1207</f>
        <v>8191236</v>
      </c>
      <c r="T1207" s="14" t="n">
        <f aca="false">IFERROR(S1207/Q1207,0)</f>
        <v>0.142102292799801</v>
      </c>
      <c r="U1207" s="15" t="str">
        <f aca="false">TEXT(A1207,"yyyy-mm")</f>
        <v>2022-04</v>
      </c>
    </row>
    <row r="1208" customFormat="false" ht="15" hidden="false" customHeight="false" outlineLevel="0" collapsed="false">
      <c r="A1208" s="10" t="n">
        <v>44654</v>
      </c>
      <c r="B1208" s="11" t="s">
        <v>1340</v>
      </c>
      <c r="C1208" s="11" t="s">
        <v>135</v>
      </c>
      <c r="D1208" s="11" t="s">
        <v>118</v>
      </c>
      <c r="E1208" s="11" t="s">
        <v>68</v>
      </c>
      <c r="F1208" s="12" t="n">
        <v>5689947</v>
      </c>
      <c r="G1208" s="12" t="n">
        <v>5235000</v>
      </c>
      <c r="H1208" s="11" t="n">
        <v>27</v>
      </c>
      <c r="I1208" s="11" t="s">
        <v>69</v>
      </c>
      <c r="J1208" s="11" t="s">
        <v>80</v>
      </c>
      <c r="K1208" s="11" t="s">
        <v>81</v>
      </c>
      <c r="L1208" s="11" t="s">
        <v>82</v>
      </c>
      <c r="M1208" s="11" t="s">
        <v>73</v>
      </c>
      <c r="N1208" s="11" t="s">
        <v>93</v>
      </c>
      <c r="O1208" s="11" t="s">
        <v>94</v>
      </c>
      <c r="P1208" s="11" t="s">
        <v>95</v>
      </c>
      <c r="Q1208" s="13" t="n">
        <f aca="false">F1208*H1208</f>
        <v>153628569</v>
      </c>
      <c r="R1208" s="13" t="n">
        <f aca="false">G1208*H1208</f>
        <v>141345000</v>
      </c>
      <c r="S1208" s="13" t="n">
        <f aca="false">Q1208-R1208</f>
        <v>12283569</v>
      </c>
      <c r="T1208" s="14" t="n">
        <f aca="false">IFERROR(S1208/Q1208,0)</f>
        <v>0.0799562807878527</v>
      </c>
      <c r="U1208" s="15" t="str">
        <f aca="false">TEXT(A1208,"yyyy-mm")</f>
        <v>2022-04</v>
      </c>
    </row>
    <row r="1209" customFormat="false" ht="15" hidden="false" customHeight="false" outlineLevel="0" collapsed="false">
      <c r="A1209" s="10" t="n">
        <v>44654</v>
      </c>
      <c r="B1209" s="11" t="s">
        <v>1341</v>
      </c>
      <c r="C1209" s="11" t="s">
        <v>137</v>
      </c>
      <c r="D1209" s="11" t="s">
        <v>138</v>
      </c>
      <c r="E1209" s="11" t="s">
        <v>139</v>
      </c>
      <c r="F1209" s="12" t="n">
        <v>5171827</v>
      </c>
      <c r="G1209" s="12" t="n">
        <v>4890000</v>
      </c>
      <c r="H1209" s="11" t="n">
        <v>18</v>
      </c>
      <c r="I1209" s="11" t="s">
        <v>69</v>
      </c>
      <c r="J1209" s="11" t="s">
        <v>80</v>
      </c>
      <c r="K1209" s="11" t="s">
        <v>81</v>
      </c>
      <c r="L1209" s="11" t="s">
        <v>82</v>
      </c>
      <c r="M1209" s="11" t="s">
        <v>73</v>
      </c>
      <c r="N1209" s="11" t="s">
        <v>74</v>
      </c>
      <c r="O1209" s="11" t="s">
        <v>75</v>
      </c>
      <c r="P1209" s="11" t="s">
        <v>76</v>
      </c>
      <c r="Q1209" s="13" t="n">
        <f aca="false">F1209*H1209</f>
        <v>93092886</v>
      </c>
      <c r="R1209" s="13" t="n">
        <f aca="false">G1209*H1209</f>
        <v>88020000</v>
      </c>
      <c r="S1209" s="13" t="n">
        <f aca="false">Q1209-R1209</f>
        <v>5072886</v>
      </c>
      <c r="T1209" s="14" t="n">
        <f aca="false">IFERROR(S1209/Q1209,0)</f>
        <v>0.0544927353525166</v>
      </c>
      <c r="U1209" s="15" t="str">
        <f aca="false">TEXT(A1209,"yyyy-mm")</f>
        <v>2022-04</v>
      </c>
    </row>
    <row r="1210" customFormat="false" ht="15" hidden="false" customHeight="false" outlineLevel="0" collapsed="false">
      <c r="A1210" s="10" t="n">
        <v>44655</v>
      </c>
      <c r="B1210" s="11" t="s">
        <v>1342</v>
      </c>
      <c r="C1210" s="11" t="s">
        <v>141</v>
      </c>
      <c r="D1210" s="11" t="s">
        <v>138</v>
      </c>
      <c r="E1210" s="11" t="s">
        <v>142</v>
      </c>
      <c r="F1210" s="12" t="n">
        <v>2805124</v>
      </c>
      <c r="G1210" s="12" t="n">
        <v>2178000</v>
      </c>
      <c r="H1210" s="11" t="n">
        <v>14</v>
      </c>
      <c r="I1210" s="11" t="s">
        <v>69</v>
      </c>
      <c r="J1210" s="11" t="s">
        <v>80</v>
      </c>
      <c r="K1210" s="11" t="s">
        <v>81</v>
      </c>
      <c r="L1210" s="11" t="s">
        <v>82</v>
      </c>
      <c r="M1210" s="11" t="s">
        <v>73</v>
      </c>
      <c r="N1210" s="11" t="s">
        <v>123</v>
      </c>
      <c r="O1210" s="11" t="s">
        <v>60</v>
      </c>
      <c r="P1210" s="11" t="s">
        <v>106</v>
      </c>
      <c r="Q1210" s="13" t="n">
        <f aca="false">F1210*H1210</f>
        <v>39271736</v>
      </c>
      <c r="R1210" s="13" t="n">
        <f aca="false">G1210*H1210</f>
        <v>30492000</v>
      </c>
      <c r="S1210" s="13" t="n">
        <f aca="false">Q1210-R1210</f>
        <v>8779736</v>
      </c>
      <c r="T1210" s="14" t="n">
        <f aca="false">IFERROR(S1210/Q1210,0)</f>
        <v>0.22356373550688</v>
      </c>
      <c r="U1210" s="15" t="str">
        <f aca="false">TEXT(A1210,"yyyy-mm")</f>
        <v>2022-04</v>
      </c>
    </row>
    <row r="1211" customFormat="false" ht="15" hidden="false" customHeight="false" outlineLevel="0" collapsed="false">
      <c r="A1211" s="10" t="n">
        <v>44655</v>
      </c>
      <c r="B1211" s="11" t="s">
        <v>1343</v>
      </c>
      <c r="C1211" s="11" t="s">
        <v>146</v>
      </c>
      <c r="D1211" s="11" t="s">
        <v>138</v>
      </c>
      <c r="E1211" s="11" t="s">
        <v>139</v>
      </c>
      <c r="F1211" s="12" t="n">
        <v>2728100</v>
      </c>
      <c r="G1211" s="12" t="n">
        <v>2321000</v>
      </c>
      <c r="H1211" s="11" t="n">
        <v>17</v>
      </c>
      <c r="I1211" s="11" t="s">
        <v>86</v>
      </c>
      <c r="J1211" s="11" t="s">
        <v>87</v>
      </c>
      <c r="K1211" s="11" t="s">
        <v>88</v>
      </c>
      <c r="L1211" s="11" t="s">
        <v>89</v>
      </c>
      <c r="M1211" s="11" t="s">
        <v>90</v>
      </c>
      <c r="N1211" s="11" t="s">
        <v>93</v>
      </c>
      <c r="O1211" s="11" t="s">
        <v>94</v>
      </c>
      <c r="P1211" s="11" t="s">
        <v>95</v>
      </c>
      <c r="Q1211" s="13" t="n">
        <f aca="false">F1211*H1211</f>
        <v>46377700</v>
      </c>
      <c r="R1211" s="13" t="n">
        <f aca="false">G1211*H1211</f>
        <v>39457000</v>
      </c>
      <c r="S1211" s="13" t="n">
        <f aca="false">Q1211-R1211</f>
        <v>6920700</v>
      </c>
      <c r="T1211" s="14" t="n">
        <f aca="false">IFERROR(S1211/Q1211,0)</f>
        <v>0.149224735163667</v>
      </c>
      <c r="U1211" s="15" t="str">
        <f aca="false">TEXT(A1211,"yyyy-mm")</f>
        <v>2022-04</v>
      </c>
    </row>
    <row r="1212" customFormat="false" ht="15" hidden="false" customHeight="false" outlineLevel="0" collapsed="false">
      <c r="A1212" s="10" t="n">
        <v>44655</v>
      </c>
      <c r="B1212" s="11" t="s">
        <v>1344</v>
      </c>
      <c r="C1212" s="11" t="s">
        <v>148</v>
      </c>
      <c r="D1212" s="11" t="s">
        <v>138</v>
      </c>
      <c r="E1212" s="11" t="s">
        <v>122</v>
      </c>
      <c r="F1212" s="12" t="n">
        <v>4941716</v>
      </c>
      <c r="G1212" s="12" t="n">
        <v>4456000</v>
      </c>
      <c r="H1212" s="11" t="n">
        <v>18</v>
      </c>
      <c r="I1212" s="11" t="s">
        <v>69</v>
      </c>
      <c r="J1212" s="11" t="s">
        <v>70</v>
      </c>
      <c r="K1212" s="11" t="s">
        <v>71</v>
      </c>
      <c r="L1212" s="11" t="s">
        <v>72</v>
      </c>
      <c r="M1212" s="11" t="s">
        <v>73</v>
      </c>
      <c r="N1212" s="11" t="s">
        <v>149</v>
      </c>
      <c r="O1212" s="11" t="s">
        <v>150</v>
      </c>
      <c r="P1212" s="11" t="s">
        <v>151</v>
      </c>
      <c r="Q1212" s="13" t="n">
        <f aca="false">F1212*H1212</f>
        <v>88950888</v>
      </c>
      <c r="R1212" s="13" t="n">
        <f aca="false">G1212*H1212</f>
        <v>80208000</v>
      </c>
      <c r="S1212" s="13" t="n">
        <f aca="false">Q1212-R1212</f>
        <v>8742888</v>
      </c>
      <c r="T1212" s="14" t="n">
        <f aca="false">IFERROR(S1212/Q1212,0)</f>
        <v>0.0982889344511097</v>
      </c>
      <c r="U1212" s="15" t="str">
        <f aca="false">TEXT(A1212,"yyyy-mm")</f>
        <v>2022-04</v>
      </c>
    </row>
    <row r="1213" customFormat="false" ht="15" hidden="false" customHeight="false" outlineLevel="0" collapsed="false">
      <c r="A1213" s="10" t="n">
        <v>44655</v>
      </c>
      <c r="B1213" s="11" t="s">
        <v>1345</v>
      </c>
      <c r="C1213" s="11" t="s">
        <v>66</v>
      </c>
      <c r="D1213" s="11" t="s">
        <v>67</v>
      </c>
      <c r="E1213" s="11" t="s">
        <v>68</v>
      </c>
      <c r="F1213" s="12" t="n">
        <v>3048952</v>
      </c>
      <c r="G1213" s="12" t="n">
        <v>2560000</v>
      </c>
      <c r="H1213" s="11" t="n">
        <v>13</v>
      </c>
      <c r="I1213" s="11" t="s">
        <v>69</v>
      </c>
      <c r="J1213" s="11" t="s">
        <v>70</v>
      </c>
      <c r="K1213" s="11" t="s">
        <v>71</v>
      </c>
      <c r="L1213" s="11" t="s">
        <v>72</v>
      </c>
      <c r="M1213" s="11" t="s">
        <v>73</v>
      </c>
      <c r="N1213" s="11" t="s">
        <v>74</v>
      </c>
      <c r="O1213" s="11" t="s">
        <v>75</v>
      </c>
      <c r="P1213" s="11" t="s">
        <v>76</v>
      </c>
      <c r="Q1213" s="13" t="n">
        <f aca="false">F1213*H1213</f>
        <v>39636376</v>
      </c>
      <c r="R1213" s="13" t="n">
        <f aca="false">G1213*H1213</f>
        <v>33280000</v>
      </c>
      <c r="S1213" s="13" t="n">
        <f aca="false">Q1213-R1213</f>
        <v>6356376</v>
      </c>
      <c r="T1213" s="14" t="n">
        <f aca="false">IFERROR(S1213/Q1213,0)</f>
        <v>0.160367234380863</v>
      </c>
      <c r="U1213" s="15" t="str">
        <f aca="false">TEXT(A1213,"yyyy-mm")</f>
        <v>2022-04</v>
      </c>
    </row>
    <row r="1214" customFormat="false" ht="15" hidden="false" customHeight="false" outlineLevel="0" collapsed="false">
      <c r="A1214" s="10" t="n">
        <v>44656</v>
      </c>
      <c r="B1214" s="11" t="s">
        <v>1346</v>
      </c>
      <c r="C1214" s="11" t="s">
        <v>78</v>
      </c>
      <c r="D1214" s="11" t="s">
        <v>67</v>
      </c>
      <c r="E1214" s="11" t="s">
        <v>79</v>
      </c>
      <c r="F1214" s="12" t="n">
        <v>1870000</v>
      </c>
      <c r="G1214" s="12" t="n">
        <v>1650000</v>
      </c>
      <c r="H1214" s="11" t="n">
        <v>1</v>
      </c>
      <c r="I1214" s="11" t="s">
        <v>69</v>
      </c>
      <c r="J1214" s="11" t="s">
        <v>112</v>
      </c>
      <c r="K1214" s="11" t="s">
        <v>113</v>
      </c>
      <c r="L1214" s="11" t="s">
        <v>82</v>
      </c>
      <c r="M1214" s="11" t="s">
        <v>157</v>
      </c>
      <c r="N1214" s="11" t="s">
        <v>99</v>
      </c>
      <c r="O1214" s="11" t="s">
        <v>100</v>
      </c>
      <c r="P1214" s="11" t="s">
        <v>101</v>
      </c>
      <c r="Q1214" s="13" t="n">
        <f aca="false">F1214*H1214</f>
        <v>1870000</v>
      </c>
      <c r="R1214" s="13" t="n">
        <f aca="false">G1214*H1214</f>
        <v>1650000</v>
      </c>
      <c r="S1214" s="13" t="n">
        <f aca="false">Q1214-R1214</f>
        <v>220000</v>
      </c>
      <c r="T1214" s="14" t="n">
        <f aca="false">IFERROR(S1214/Q1214,0)</f>
        <v>0.117647058823529</v>
      </c>
      <c r="U1214" s="15" t="str">
        <f aca="false">TEXT(A1214,"yyyy-mm")</f>
        <v>2022-04</v>
      </c>
    </row>
    <row r="1215" customFormat="false" ht="15" hidden="false" customHeight="false" outlineLevel="0" collapsed="false">
      <c r="A1215" s="10" t="n">
        <v>44656</v>
      </c>
      <c r="B1215" s="11" t="s">
        <v>1347</v>
      </c>
      <c r="C1215" s="11" t="s">
        <v>84</v>
      </c>
      <c r="D1215" s="11" t="s">
        <v>67</v>
      </c>
      <c r="E1215" s="11" t="s">
        <v>85</v>
      </c>
      <c r="F1215" s="12" t="n">
        <v>2600000</v>
      </c>
      <c r="G1215" s="12" t="n">
        <v>2300000</v>
      </c>
      <c r="H1215" s="11" t="n">
        <v>7</v>
      </c>
      <c r="I1215" s="11" t="s">
        <v>69</v>
      </c>
      <c r="J1215" s="11" t="s">
        <v>112</v>
      </c>
      <c r="K1215" s="11" t="s">
        <v>113</v>
      </c>
      <c r="L1215" s="11" t="s">
        <v>82</v>
      </c>
      <c r="M1215" s="11" t="s">
        <v>157</v>
      </c>
      <c r="N1215" s="11" t="s">
        <v>143</v>
      </c>
      <c r="O1215" s="11" t="s">
        <v>144</v>
      </c>
      <c r="P1215" s="11" t="s">
        <v>101</v>
      </c>
      <c r="Q1215" s="13" t="n">
        <f aca="false">F1215*H1215</f>
        <v>18200000</v>
      </c>
      <c r="R1215" s="13" t="n">
        <f aca="false">G1215*H1215</f>
        <v>16100000</v>
      </c>
      <c r="S1215" s="13" t="n">
        <f aca="false">Q1215-R1215</f>
        <v>2100000</v>
      </c>
      <c r="T1215" s="14" t="n">
        <f aca="false">IFERROR(S1215/Q1215,0)</f>
        <v>0.115384615384615</v>
      </c>
      <c r="U1215" s="15" t="str">
        <f aca="false">TEXT(A1215,"yyyy-mm")</f>
        <v>2022-04</v>
      </c>
    </row>
    <row r="1216" customFormat="false" ht="15" hidden="false" customHeight="false" outlineLevel="0" collapsed="false">
      <c r="A1216" s="10" t="n">
        <v>44656</v>
      </c>
      <c r="B1216" s="11" t="s">
        <v>1348</v>
      </c>
      <c r="C1216" s="11" t="s">
        <v>92</v>
      </c>
      <c r="D1216" s="11" t="s">
        <v>67</v>
      </c>
      <c r="E1216" s="11" t="s">
        <v>79</v>
      </c>
      <c r="F1216" s="12" t="n">
        <v>3577480</v>
      </c>
      <c r="G1216" s="12" t="n">
        <v>3100000</v>
      </c>
      <c r="H1216" s="11" t="n">
        <v>17</v>
      </c>
      <c r="I1216" s="11" t="s">
        <v>69</v>
      </c>
      <c r="J1216" s="11" t="s">
        <v>70</v>
      </c>
      <c r="K1216" s="11" t="s">
        <v>71</v>
      </c>
      <c r="L1216" s="11" t="s">
        <v>72</v>
      </c>
      <c r="M1216" s="11" t="s">
        <v>73</v>
      </c>
      <c r="N1216" s="11" t="s">
        <v>104</v>
      </c>
      <c r="O1216" s="11" t="s">
        <v>105</v>
      </c>
      <c r="P1216" s="11" t="s">
        <v>106</v>
      </c>
      <c r="Q1216" s="13" t="n">
        <f aca="false">F1216*H1216</f>
        <v>60817160</v>
      </c>
      <c r="R1216" s="13" t="n">
        <f aca="false">G1216*H1216</f>
        <v>52700000</v>
      </c>
      <c r="S1216" s="13" t="n">
        <f aca="false">Q1216-R1216</f>
        <v>8117160</v>
      </c>
      <c r="T1216" s="14" t="n">
        <f aca="false">IFERROR(S1216/Q1216,0)</f>
        <v>0.133468251394837</v>
      </c>
      <c r="U1216" s="15" t="str">
        <f aca="false">TEXT(A1216,"yyyy-mm")</f>
        <v>2022-04</v>
      </c>
    </row>
    <row r="1217" customFormat="false" ht="15" hidden="false" customHeight="false" outlineLevel="0" collapsed="false">
      <c r="A1217" s="10" t="n">
        <v>44657</v>
      </c>
      <c r="B1217" s="11" t="s">
        <v>1349</v>
      </c>
      <c r="C1217" s="11" t="s">
        <v>97</v>
      </c>
      <c r="D1217" s="11" t="s">
        <v>67</v>
      </c>
      <c r="E1217" s="11" t="s">
        <v>98</v>
      </c>
      <c r="F1217" s="12" t="n">
        <v>4969724</v>
      </c>
      <c r="G1217" s="12" t="n">
        <v>4121560</v>
      </c>
      <c r="H1217" s="11" t="n">
        <v>13</v>
      </c>
      <c r="I1217" s="11" t="s">
        <v>69</v>
      </c>
      <c r="J1217" s="11" t="s">
        <v>80</v>
      </c>
      <c r="K1217" s="11" t="s">
        <v>81</v>
      </c>
      <c r="L1217" s="11" t="s">
        <v>82</v>
      </c>
      <c r="M1217" s="11" t="s">
        <v>73</v>
      </c>
      <c r="N1217" s="11" t="s">
        <v>93</v>
      </c>
      <c r="O1217" s="11" t="s">
        <v>94</v>
      </c>
      <c r="P1217" s="11" t="s">
        <v>95</v>
      </c>
      <c r="Q1217" s="13" t="n">
        <f aca="false">F1217*H1217</f>
        <v>64606412</v>
      </c>
      <c r="R1217" s="13" t="n">
        <f aca="false">G1217*H1217</f>
        <v>53580280</v>
      </c>
      <c r="S1217" s="13" t="n">
        <f aca="false">Q1217-R1217</f>
        <v>11026132</v>
      </c>
      <c r="T1217" s="14" t="n">
        <f aca="false">IFERROR(S1217/Q1217,0)</f>
        <v>0.170666218083741</v>
      </c>
      <c r="U1217" s="15" t="str">
        <f aca="false">TEXT(A1217,"yyyy-mm")</f>
        <v>2022-04</v>
      </c>
    </row>
    <row r="1218" customFormat="false" ht="15" hidden="false" customHeight="false" outlineLevel="0" collapsed="false">
      <c r="A1218" s="10" t="n">
        <v>44657</v>
      </c>
      <c r="B1218" s="11" t="s">
        <v>1350</v>
      </c>
      <c r="C1218" s="11" t="s">
        <v>103</v>
      </c>
      <c r="D1218" s="11" t="s">
        <v>67</v>
      </c>
      <c r="E1218" s="11" t="s">
        <v>68</v>
      </c>
      <c r="F1218" s="12" t="n">
        <v>3319925</v>
      </c>
      <c r="G1218" s="12" t="n">
        <v>2800000</v>
      </c>
      <c r="H1218" s="11" t="n">
        <v>20</v>
      </c>
      <c r="I1218" s="11" t="s">
        <v>86</v>
      </c>
      <c r="J1218" s="11" t="s">
        <v>87</v>
      </c>
      <c r="K1218" s="11" t="s">
        <v>88</v>
      </c>
      <c r="L1218" s="11" t="s">
        <v>89</v>
      </c>
      <c r="M1218" s="11" t="s">
        <v>90</v>
      </c>
      <c r="N1218" s="11" t="s">
        <v>109</v>
      </c>
      <c r="O1218" s="11" t="s">
        <v>75</v>
      </c>
      <c r="P1218" s="11" t="s">
        <v>95</v>
      </c>
      <c r="Q1218" s="13" t="n">
        <f aca="false">F1218*H1218</f>
        <v>66398500</v>
      </c>
      <c r="R1218" s="13" t="n">
        <f aca="false">G1218*H1218</f>
        <v>56000000</v>
      </c>
      <c r="S1218" s="13" t="n">
        <f aca="false">Q1218-R1218</f>
        <v>10398500</v>
      </c>
      <c r="T1218" s="14" t="n">
        <f aca="false">IFERROR(S1218/Q1218,0)</f>
        <v>0.15660745348163</v>
      </c>
      <c r="U1218" s="15" t="str">
        <f aca="false">TEXT(A1218,"yyyy-mm")</f>
        <v>2022-04</v>
      </c>
    </row>
    <row r="1219" customFormat="false" ht="15" hidden="false" customHeight="false" outlineLevel="0" collapsed="false">
      <c r="A1219" s="10" t="n">
        <v>44657</v>
      </c>
      <c r="B1219" s="11" t="s">
        <v>1351</v>
      </c>
      <c r="C1219" s="11" t="s">
        <v>108</v>
      </c>
      <c r="D1219" s="11" t="s">
        <v>67</v>
      </c>
      <c r="E1219" s="11" t="s">
        <v>68</v>
      </c>
      <c r="F1219" s="12" t="n">
        <v>4757880</v>
      </c>
      <c r="G1219" s="12" t="n">
        <v>3450000</v>
      </c>
      <c r="H1219" s="11" t="n">
        <v>11</v>
      </c>
      <c r="I1219" s="11" t="s">
        <v>69</v>
      </c>
      <c r="J1219" s="11" t="s">
        <v>112</v>
      </c>
      <c r="K1219" s="11" t="s">
        <v>113</v>
      </c>
      <c r="L1219" s="11" t="s">
        <v>82</v>
      </c>
      <c r="M1219" s="11" t="s">
        <v>157</v>
      </c>
      <c r="N1219" s="11" t="s">
        <v>123</v>
      </c>
      <c r="O1219" s="11" t="s">
        <v>60</v>
      </c>
      <c r="P1219" s="11" t="s">
        <v>106</v>
      </c>
      <c r="Q1219" s="13" t="n">
        <f aca="false">F1219*H1219</f>
        <v>52336680</v>
      </c>
      <c r="R1219" s="13" t="n">
        <f aca="false">G1219*H1219</f>
        <v>37950000</v>
      </c>
      <c r="S1219" s="13" t="n">
        <f aca="false">Q1219-R1219</f>
        <v>14386680</v>
      </c>
      <c r="T1219" s="14" t="n">
        <f aca="false">IFERROR(S1219/Q1219,0)</f>
        <v>0.274887134606169</v>
      </c>
      <c r="U1219" s="15" t="str">
        <f aca="false">TEXT(A1219,"yyyy-mm")</f>
        <v>2022-04</v>
      </c>
    </row>
    <row r="1220" customFormat="false" ht="15" hidden="false" customHeight="false" outlineLevel="0" collapsed="false">
      <c r="A1220" s="10" t="n">
        <v>44657</v>
      </c>
      <c r="B1220" s="11" t="s">
        <v>1352</v>
      </c>
      <c r="C1220" s="11" t="s">
        <v>111</v>
      </c>
      <c r="D1220" s="11" t="s">
        <v>67</v>
      </c>
      <c r="E1220" s="11" t="s">
        <v>79</v>
      </c>
      <c r="F1220" s="12" t="n">
        <v>3545808</v>
      </c>
      <c r="G1220" s="12" t="n">
        <v>3350000</v>
      </c>
      <c r="H1220" s="11" t="n">
        <v>6</v>
      </c>
      <c r="I1220" s="11" t="s">
        <v>86</v>
      </c>
      <c r="J1220" s="11" t="s">
        <v>87</v>
      </c>
      <c r="K1220" s="11" t="s">
        <v>88</v>
      </c>
      <c r="L1220" s="11" t="s">
        <v>89</v>
      </c>
      <c r="M1220" s="11" t="s">
        <v>90</v>
      </c>
      <c r="N1220" s="11" t="s">
        <v>143</v>
      </c>
      <c r="O1220" s="11" t="s">
        <v>144</v>
      </c>
      <c r="P1220" s="11" t="s">
        <v>101</v>
      </c>
      <c r="Q1220" s="13" t="n">
        <f aca="false">F1220*H1220</f>
        <v>21274848</v>
      </c>
      <c r="R1220" s="13" t="n">
        <f aca="false">G1220*H1220</f>
        <v>20100000</v>
      </c>
      <c r="S1220" s="13" t="n">
        <f aca="false">Q1220-R1220</f>
        <v>1174848</v>
      </c>
      <c r="T1220" s="14" t="n">
        <f aca="false">IFERROR(S1220/Q1220,0)</f>
        <v>0.0552223921881839</v>
      </c>
      <c r="U1220" s="15" t="str">
        <f aca="false">TEXT(A1220,"yyyy-mm")</f>
        <v>2022-04</v>
      </c>
    </row>
    <row r="1221" customFormat="false" ht="15" hidden="false" customHeight="false" outlineLevel="0" collapsed="false">
      <c r="A1221" s="10" t="n">
        <v>44658</v>
      </c>
      <c r="B1221" s="11" t="s">
        <v>1353</v>
      </c>
      <c r="C1221" s="11" t="s">
        <v>115</v>
      </c>
      <c r="D1221" s="11" t="s">
        <v>67</v>
      </c>
      <c r="E1221" s="11" t="s">
        <v>98</v>
      </c>
      <c r="F1221" s="12" t="n">
        <v>4200743</v>
      </c>
      <c r="G1221" s="12" t="n">
        <v>4101000</v>
      </c>
      <c r="H1221" s="11" t="n">
        <v>13</v>
      </c>
      <c r="I1221" s="11" t="s">
        <v>69</v>
      </c>
      <c r="J1221" s="11" t="s">
        <v>112</v>
      </c>
      <c r="K1221" s="11" t="s">
        <v>113</v>
      </c>
      <c r="L1221" s="11" t="s">
        <v>82</v>
      </c>
      <c r="M1221" s="11" t="s">
        <v>157</v>
      </c>
      <c r="N1221" s="11" t="s">
        <v>99</v>
      </c>
      <c r="O1221" s="11" t="s">
        <v>100</v>
      </c>
      <c r="P1221" s="11" t="s">
        <v>101</v>
      </c>
      <c r="Q1221" s="13" t="n">
        <f aca="false">F1221*H1221</f>
        <v>54609659</v>
      </c>
      <c r="R1221" s="13" t="n">
        <f aca="false">G1221*H1221</f>
        <v>53313000</v>
      </c>
      <c r="S1221" s="13" t="n">
        <f aca="false">Q1221-R1221</f>
        <v>1296659</v>
      </c>
      <c r="T1221" s="14" t="n">
        <f aca="false">IFERROR(S1221/Q1221,0)</f>
        <v>0.023744132883159</v>
      </c>
      <c r="U1221" s="15" t="str">
        <f aca="false">TEXT(A1221,"yyyy-mm")</f>
        <v>2022-04</v>
      </c>
    </row>
    <row r="1222" customFormat="false" ht="15" hidden="false" customHeight="false" outlineLevel="0" collapsed="false">
      <c r="A1222" s="10" t="n">
        <v>44658</v>
      </c>
      <c r="B1222" s="11" t="s">
        <v>1354</v>
      </c>
      <c r="C1222" s="11" t="s">
        <v>117</v>
      </c>
      <c r="D1222" s="11" t="s">
        <v>118</v>
      </c>
      <c r="E1222" s="11" t="s">
        <v>119</v>
      </c>
      <c r="F1222" s="12" t="n">
        <v>8220549</v>
      </c>
      <c r="G1222" s="12" t="n">
        <v>6500000</v>
      </c>
      <c r="H1222" s="11" t="n">
        <v>14</v>
      </c>
      <c r="I1222" s="11" t="s">
        <v>69</v>
      </c>
      <c r="J1222" s="11" t="s">
        <v>112</v>
      </c>
      <c r="K1222" s="11" t="s">
        <v>113</v>
      </c>
      <c r="L1222" s="11" t="s">
        <v>82</v>
      </c>
      <c r="M1222" s="11" t="s">
        <v>157</v>
      </c>
      <c r="N1222" s="11" t="s">
        <v>143</v>
      </c>
      <c r="O1222" s="11" t="s">
        <v>144</v>
      </c>
      <c r="P1222" s="11" t="s">
        <v>101</v>
      </c>
      <c r="Q1222" s="13" t="n">
        <f aca="false">F1222*H1222</f>
        <v>115087686</v>
      </c>
      <c r="R1222" s="13" t="n">
        <f aca="false">G1222*H1222</f>
        <v>91000000</v>
      </c>
      <c r="S1222" s="13" t="n">
        <f aca="false">Q1222-R1222</f>
        <v>24087686</v>
      </c>
      <c r="T1222" s="14" t="n">
        <f aca="false">IFERROR(S1222/Q1222,0)</f>
        <v>0.209298551714733</v>
      </c>
      <c r="U1222" s="15" t="str">
        <f aca="false">TEXT(A1222,"yyyy-mm")</f>
        <v>2022-04</v>
      </c>
    </row>
    <row r="1223" customFormat="false" ht="15" hidden="false" customHeight="false" outlineLevel="0" collapsed="false">
      <c r="A1223" s="10" t="n">
        <v>44658</v>
      </c>
      <c r="B1223" s="11" t="s">
        <v>1355</v>
      </c>
      <c r="C1223" s="11" t="s">
        <v>121</v>
      </c>
      <c r="D1223" s="11" t="s">
        <v>118</v>
      </c>
      <c r="E1223" s="11" t="s">
        <v>122</v>
      </c>
      <c r="F1223" s="12" t="n">
        <v>7687274</v>
      </c>
      <c r="G1223" s="12" t="n">
        <v>6500000</v>
      </c>
      <c r="H1223" s="11" t="n">
        <v>19</v>
      </c>
      <c r="I1223" s="11" t="s">
        <v>69</v>
      </c>
      <c r="J1223" s="11" t="s">
        <v>80</v>
      </c>
      <c r="K1223" s="11" t="s">
        <v>81</v>
      </c>
      <c r="L1223" s="11" t="s">
        <v>82</v>
      </c>
      <c r="M1223" s="11" t="s">
        <v>73</v>
      </c>
      <c r="N1223" s="11" t="s">
        <v>93</v>
      </c>
      <c r="O1223" s="11" t="s">
        <v>94</v>
      </c>
      <c r="P1223" s="11" t="s">
        <v>95</v>
      </c>
      <c r="Q1223" s="13" t="n">
        <f aca="false">F1223*H1223</f>
        <v>146058206</v>
      </c>
      <c r="R1223" s="13" t="n">
        <f aca="false">G1223*H1223</f>
        <v>123500000</v>
      </c>
      <c r="S1223" s="13" t="n">
        <f aca="false">Q1223-R1223</f>
        <v>22558206</v>
      </c>
      <c r="T1223" s="14" t="n">
        <f aca="false">IFERROR(S1223/Q1223,0)</f>
        <v>0.154446686822923</v>
      </c>
      <c r="U1223" s="15" t="str">
        <f aca="false">TEXT(A1223,"yyyy-mm")</f>
        <v>2022-04</v>
      </c>
    </row>
    <row r="1224" customFormat="false" ht="15" hidden="false" customHeight="false" outlineLevel="0" collapsed="false">
      <c r="A1224" s="10" t="n">
        <v>44659</v>
      </c>
      <c r="B1224" s="11" t="s">
        <v>1356</v>
      </c>
      <c r="C1224" s="11" t="s">
        <v>125</v>
      </c>
      <c r="D1224" s="11" t="s">
        <v>118</v>
      </c>
      <c r="E1224" s="11" t="s">
        <v>126</v>
      </c>
      <c r="F1224" s="12" t="n">
        <v>5684211</v>
      </c>
      <c r="G1224" s="12" t="n">
        <v>4300000</v>
      </c>
      <c r="H1224" s="11" t="n">
        <v>5</v>
      </c>
      <c r="I1224" s="11" t="s">
        <v>69</v>
      </c>
      <c r="J1224" s="11" t="s">
        <v>80</v>
      </c>
      <c r="K1224" s="11" t="s">
        <v>81</v>
      </c>
      <c r="L1224" s="11" t="s">
        <v>82</v>
      </c>
      <c r="M1224" s="11" t="s">
        <v>73</v>
      </c>
      <c r="N1224" s="11" t="s">
        <v>99</v>
      </c>
      <c r="O1224" s="11" t="s">
        <v>100</v>
      </c>
      <c r="P1224" s="11" t="s">
        <v>101</v>
      </c>
      <c r="Q1224" s="13" t="n">
        <f aca="false">F1224*H1224</f>
        <v>28421055</v>
      </c>
      <c r="R1224" s="13" t="n">
        <f aca="false">G1224*H1224</f>
        <v>21500000</v>
      </c>
      <c r="S1224" s="13" t="n">
        <f aca="false">Q1224-R1224</f>
        <v>6921055</v>
      </c>
      <c r="T1224" s="14" t="n">
        <f aca="false">IFERROR(S1224/Q1224,0)</f>
        <v>0.243518581558637</v>
      </c>
      <c r="U1224" s="15" t="str">
        <f aca="false">TEXT(A1224,"yyyy-mm")</f>
        <v>2022-04</v>
      </c>
    </row>
    <row r="1225" customFormat="false" ht="15" hidden="false" customHeight="false" outlineLevel="0" collapsed="false">
      <c r="A1225" s="10" t="n">
        <v>44659</v>
      </c>
      <c r="B1225" s="11" t="s">
        <v>1357</v>
      </c>
      <c r="C1225" s="11" t="s">
        <v>128</v>
      </c>
      <c r="D1225" s="11" t="s">
        <v>118</v>
      </c>
      <c r="E1225" s="11" t="s">
        <v>119</v>
      </c>
      <c r="F1225" s="12" t="n">
        <v>3370302</v>
      </c>
      <c r="G1225" s="12" t="n">
        <v>2100000</v>
      </c>
      <c r="H1225" s="11" t="n">
        <v>23</v>
      </c>
      <c r="I1225" s="11" t="s">
        <v>69</v>
      </c>
      <c r="J1225" s="11" t="s">
        <v>80</v>
      </c>
      <c r="K1225" s="11" t="s">
        <v>81</v>
      </c>
      <c r="L1225" s="11" t="s">
        <v>82</v>
      </c>
      <c r="M1225" s="11" t="s">
        <v>73</v>
      </c>
      <c r="N1225" s="11" t="s">
        <v>173</v>
      </c>
      <c r="O1225" s="11" t="s">
        <v>174</v>
      </c>
      <c r="P1225" s="11" t="s">
        <v>95</v>
      </c>
      <c r="Q1225" s="13" t="n">
        <f aca="false">F1225*H1225</f>
        <v>77516946</v>
      </c>
      <c r="R1225" s="13" t="n">
        <f aca="false">G1225*H1225</f>
        <v>48300000</v>
      </c>
      <c r="S1225" s="13" t="n">
        <f aca="false">Q1225-R1225</f>
        <v>29216946</v>
      </c>
      <c r="T1225" s="14" t="n">
        <f aca="false">IFERROR(S1225/Q1225,0)</f>
        <v>0.37691043710623</v>
      </c>
      <c r="U1225" s="15" t="str">
        <f aca="false">TEXT(A1225,"yyyy-mm")</f>
        <v>2022-04</v>
      </c>
    </row>
    <row r="1226" customFormat="false" ht="15" hidden="false" customHeight="false" outlineLevel="0" collapsed="false">
      <c r="A1226" s="10" t="n">
        <v>44659</v>
      </c>
      <c r="B1226" s="11" t="s">
        <v>1358</v>
      </c>
      <c r="C1226" s="11" t="s">
        <v>130</v>
      </c>
      <c r="D1226" s="11" t="s">
        <v>118</v>
      </c>
      <c r="E1226" s="11" t="s">
        <v>68</v>
      </c>
      <c r="F1226" s="12" t="n">
        <v>2852897</v>
      </c>
      <c r="G1226" s="12" t="n">
        <v>2450000</v>
      </c>
      <c r="H1226" s="11" t="n">
        <v>3</v>
      </c>
      <c r="I1226" s="11" t="s">
        <v>69</v>
      </c>
      <c r="J1226" s="11" t="s">
        <v>80</v>
      </c>
      <c r="K1226" s="11" t="s">
        <v>81</v>
      </c>
      <c r="L1226" s="11" t="s">
        <v>82</v>
      </c>
      <c r="M1226" s="11" t="s">
        <v>73</v>
      </c>
      <c r="N1226" s="11" t="s">
        <v>99</v>
      </c>
      <c r="O1226" s="11" t="s">
        <v>100</v>
      </c>
      <c r="P1226" s="11" t="s">
        <v>101</v>
      </c>
      <c r="Q1226" s="13" t="n">
        <f aca="false">F1226*H1226</f>
        <v>8558691</v>
      </c>
      <c r="R1226" s="13" t="n">
        <f aca="false">G1226*H1226</f>
        <v>7350000</v>
      </c>
      <c r="S1226" s="13" t="n">
        <f aca="false">Q1226-R1226</f>
        <v>1208691</v>
      </c>
      <c r="T1226" s="14" t="n">
        <f aca="false">IFERROR(S1226/Q1226,0)</f>
        <v>0.141223815651249</v>
      </c>
      <c r="U1226" s="15" t="str">
        <f aca="false">TEXT(A1226,"yyyy-mm")</f>
        <v>2022-04</v>
      </c>
    </row>
    <row r="1227" customFormat="false" ht="15" hidden="false" customHeight="false" outlineLevel="0" collapsed="false">
      <c r="A1227" s="10" t="n">
        <v>44660</v>
      </c>
      <c r="B1227" s="11" t="s">
        <v>1359</v>
      </c>
      <c r="C1227" s="11" t="s">
        <v>132</v>
      </c>
      <c r="D1227" s="11" t="s">
        <v>118</v>
      </c>
      <c r="E1227" s="11" t="s">
        <v>68</v>
      </c>
      <c r="F1227" s="12" t="n">
        <v>4803603</v>
      </c>
      <c r="G1227" s="12" t="n">
        <v>4121000</v>
      </c>
      <c r="H1227" s="11" t="n">
        <v>19</v>
      </c>
      <c r="I1227" s="11" t="s">
        <v>69</v>
      </c>
      <c r="J1227" s="11" t="s">
        <v>70</v>
      </c>
      <c r="K1227" s="11" t="s">
        <v>71</v>
      </c>
      <c r="L1227" s="11" t="s">
        <v>72</v>
      </c>
      <c r="M1227" s="11" t="s">
        <v>73</v>
      </c>
      <c r="N1227" s="11" t="s">
        <v>99</v>
      </c>
      <c r="O1227" s="11" t="s">
        <v>100</v>
      </c>
      <c r="P1227" s="11" t="s">
        <v>101</v>
      </c>
      <c r="Q1227" s="13" t="n">
        <f aca="false">F1227*H1227</f>
        <v>91268457</v>
      </c>
      <c r="R1227" s="13" t="n">
        <f aca="false">G1227*H1227</f>
        <v>78299000</v>
      </c>
      <c r="S1227" s="13" t="n">
        <f aca="false">Q1227-R1227</f>
        <v>12969457</v>
      </c>
      <c r="T1227" s="14" t="n">
        <f aca="false">IFERROR(S1227/Q1227,0)</f>
        <v>0.142102292799801</v>
      </c>
      <c r="U1227" s="15" t="str">
        <f aca="false">TEXT(A1227,"yyyy-mm")</f>
        <v>2022-04</v>
      </c>
    </row>
    <row r="1228" customFormat="false" ht="15" hidden="false" customHeight="false" outlineLevel="0" collapsed="false">
      <c r="A1228" s="10" t="n">
        <v>44660</v>
      </c>
      <c r="B1228" s="11" t="s">
        <v>1360</v>
      </c>
      <c r="C1228" s="11" t="s">
        <v>135</v>
      </c>
      <c r="D1228" s="11" t="s">
        <v>118</v>
      </c>
      <c r="E1228" s="11" t="s">
        <v>68</v>
      </c>
      <c r="F1228" s="12" t="n">
        <v>5689947</v>
      </c>
      <c r="G1228" s="12" t="n">
        <v>5235000</v>
      </c>
      <c r="H1228" s="11" t="n">
        <v>9</v>
      </c>
      <c r="I1228" s="11" t="s">
        <v>86</v>
      </c>
      <c r="J1228" s="11" t="s">
        <v>87</v>
      </c>
      <c r="K1228" s="11" t="s">
        <v>88</v>
      </c>
      <c r="L1228" s="11" t="s">
        <v>89</v>
      </c>
      <c r="M1228" s="11" t="s">
        <v>90</v>
      </c>
      <c r="N1228" s="11" t="s">
        <v>149</v>
      </c>
      <c r="O1228" s="11" t="s">
        <v>150</v>
      </c>
      <c r="P1228" s="11" t="s">
        <v>151</v>
      </c>
      <c r="Q1228" s="13" t="n">
        <f aca="false">F1228*H1228</f>
        <v>51209523</v>
      </c>
      <c r="R1228" s="13" t="n">
        <f aca="false">G1228*H1228</f>
        <v>47115000</v>
      </c>
      <c r="S1228" s="13" t="n">
        <f aca="false">Q1228-R1228</f>
        <v>4094523</v>
      </c>
      <c r="T1228" s="14" t="n">
        <f aca="false">IFERROR(S1228/Q1228,0)</f>
        <v>0.0799562807878527</v>
      </c>
      <c r="U1228" s="15" t="str">
        <f aca="false">TEXT(A1228,"yyyy-mm")</f>
        <v>2022-04</v>
      </c>
    </row>
    <row r="1229" customFormat="false" ht="15" hidden="false" customHeight="false" outlineLevel="0" collapsed="false">
      <c r="A1229" s="10" t="n">
        <v>44661</v>
      </c>
      <c r="B1229" s="11" t="s">
        <v>1361</v>
      </c>
      <c r="C1229" s="11" t="s">
        <v>137</v>
      </c>
      <c r="D1229" s="11" t="s">
        <v>138</v>
      </c>
      <c r="E1229" s="11" t="s">
        <v>139</v>
      </c>
      <c r="F1229" s="12" t="n">
        <v>5171827</v>
      </c>
      <c r="G1229" s="12" t="n">
        <v>4890000</v>
      </c>
      <c r="H1229" s="11" t="n">
        <v>15</v>
      </c>
      <c r="I1229" s="11" t="s">
        <v>86</v>
      </c>
      <c r="J1229" s="11" t="s">
        <v>87</v>
      </c>
      <c r="K1229" s="11" t="s">
        <v>88</v>
      </c>
      <c r="L1229" s="11" t="s">
        <v>89</v>
      </c>
      <c r="M1229" s="11" t="s">
        <v>90</v>
      </c>
      <c r="N1229" s="11" t="s">
        <v>143</v>
      </c>
      <c r="O1229" s="11" t="s">
        <v>144</v>
      </c>
      <c r="P1229" s="11" t="s">
        <v>101</v>
      </c>
      <c r="Q1229" s="13" t="n">
        <f aca="false">F1229*H1229</f>
        <v>77577405</v>
      </c>
      <c r="R1229" s="13" t="n">
        <f aca="false">G1229*H1229</f>
        <v>73350000</v>
      </c>
      <c r="S1229" s="13" t="n">
        <f aca="false">Q1229-R1229</f>
        <v>4227405</v>
      </c>
      <c r="T1229" s="14" t="n">
        <f aca="false">IFERROR(S1229/Q1229,0)</f>
        <v>0.0544927353525166</v>
      </c>
      <c r="U1229" s="15" t="str">
        <f aca="false">TEXT(A1229,"yyyy-mm")</f>
        <v>2022-04</v>
      </c>
    </row>
    <row r="1230" customFormat="false" ht="15" hidden="false" customHeight="false" outlineLevel="0" collapsed="false">
      <c r="A1230" s="10" t="n">
        <v>44661</v>
      </c>
      <c r="B1230" s="11" t="s">
        <v>1362</v>
      </c>
      <c r="C1230" s="11" t="s">
        <v>141</v>
      </c>
      <c r="D1230" s="11" t="s">
        <v>138</v>
      </c>
      <c r="E1230" s="11" t="s">
        <v>142</v>
      </c>
      <c r="F1230" s="12" t="n">
        <v>2805124</v>
      </c>
      <c r="G1230" s="12" t="n">
        <v>2178000</v>
      </c>
      <c r="H1230" s="11" t="n">
        <v>7</v>
      </c>
      <c r="I1230" s="11" t="s">
        <v>69</v>
      </c>
      <c r="J1230" s="11" t="s">
        <v>80</v>
      </c>
      <c r="K1230" s="11" t="s">
        <v>81</v>
      </c>
      <c r="L1230" s="11" t="s">
        <v>82</v>
      </c>
      <c r="M1230" s="11" t="s">
        <v>73</v>
      </c>
      <c r="N1230" s="11" t="s">
        <v>123</v>
      </c>
      <c r="O1230" s="11" t="s">
        <v>60</v>
      </c>
      <c r="P1230" s="11" t="s">
        <v>106</v>
      </c>
      <c r="Q1230" s="13" t="n">
        <f aca="false">F1230*H1230</f>
        <v>19635868</v>
      </c>
      <c r="R1230" s="13" t="n">
        <f aca="false">G1230*H1230</f>
        <v>15246000</v>
      </c>
      <c r="S1230" s="13" t="n">
        <f aca="false">Q1230-R1230</f>
        <v>4389868</v>
      </c>
      <c r="T1230" s="14" t="n">
        <f aca="false">IFERROR(S1230/Q1230,0)</f>
        <v>0.22356373550688</v>
      </c>
      <c r="U1230" s="15" t="str">
        <f aca="false">TEXT(A1230,"yyyy-mm")</f>
        <v>2022-04</v>
      </c>
    </row>
    <row r="1231" customFormat="false" ht="15" hidden="false" customHeight="false" outlineLevel="0" collapsed="false">
      <c r="A1231" s="10" t="n">
        <v>44661</v>
      </c>
      <c r="B1231" s="11" t="s">
        <v>1363</v>
      </c>
      <c r="C1231" s="11" t="s">
        <v>146</v>
      </c>
      <c r="D1231" s="11" t="s">
        <v>138</v>
      </c>
      <c r="E1231" s="11" t="s">
        <v>139</v>
      </c>
      <c r="F1231" s="12" t="n">
        <v>2728100</v>
      </c>
      <c r="G1231" s="12" t="n">
        <v>2321000</v>
      </c>
      <c r="H1231" s="11" t="n">
        <v>29</v>
      </c>
      <c r="I1231" s="11" t="s">
        <v>69</v>
      </c>
      <c r="J1231" s="11" t="s">
        <v>112</v>
      </c>
      <c r="K1231" s="11" t="s">
        <v>113</v>
      </c>
      <c r="L1231" s="11" t="s">
        <v>82</v>
      </c>
      <c r="M1231" s="11" t="s">
        <v>157</v>
      </c>
      <c r="N1231" s="11" t="s">
        <v>143</v>
      </c>
      <c r="O1231" s="11" t="s">
        <v>144</v>
      </c>
      <c r="P1231" s="11" t="s">
        <v>101</v>
      </c>
      <c r="Q1231" s="13" t="n">
        <f aca="false">F1231*H1231</f>
        <v>79114900</v>
      </c>
      <c r="R1231" s="13" t="n">
        <f aca="false">G1231*H1231</f>
        <v>67309000</v>
      </c>
      <c r="S1231" s="13" t="n">
        <f aca="false">Q1231-R1231</f>
        <v>11805900</v>
      </c>
      <c r="T1231" s="14" t="n">
        <f aca="false">IFERROR(S1231/Q1231,0)</f>
        <v>0.149224735163667</v>
      </c>
      <c r="U1231" s="15" t="str">
        <f aca="false">TEXT(A1231,"yyyy-mm")</f>
        <v>2022-04</v>
      </c>
    </row>
    <row r="1232" customFormat="false" ht="15" hidden="false" customHeight="false" outlineLevel="0" collapsed="false">
      <c r="A1232" s="10" t="n">
        <v>44661</v>
      </c>
      <c r="B1232" s="11" t="s">
        <v>1364</v>
      </c>
      <c r="C1232" s="11" t="s">
        <v>148</v>
      </c>
      <c r="D1232" s="11" t="s">
        <v>138</v>
      </c>
      <c r="E1232" s="11" t="s">
        <v>122</v>
      </c>
      <c r="F1232" s="12" t="n">
        <v>4941716</v>
      </c>
      <c r="G1232" s="12" t="n">
        <v>4456000</v>
      </c>
      <c r="H1232" s="11" t="n">
        <v>22</v>
      </c>
      <c r="I1232" s="11" t="s">
        <v>69</v>
      </c>
      <c r="J1232" s="11" t="s">
        <v>70</v>
      </c>
      <c r="K1232" s="11" t="s">
        <v>71</v>
      </c>
      <c r="L1232" s="11" t="s">
        <v>72</v>
      </c>
      <c r="M1232" s="11" t="s">
        <v>73</v>
      </c>
      <c r="N1232" s="11" t="s">
        <v>93</v>
      </c>
      <c r="O1232" s="11" t="s">
        <v>94</v>
      </c>
      <c r="P1232" s="11" t="s">
        <v>95</v>
      </c>
      <c r="Q1232" s="13" t="n">
        <f aca="false">F1232*H1232</f>
        <v>108717752</v>
      </c>
      <c r="R1232" s="13" t="n">
        <f aca="false">G1232*H1232</f>
        <v>98032000</v>
      </c>
      <c r="S1232" s="13" t="n">
        <f aca="false">Q1232-R1232</f>
        <v>10685752</v>
      </c>
      <c r="T1232" s="14" t="n">
        <f aca="false">IFERROR(S1232/Q1232,0)</f>
        <v>0.0982889344511097</v>
      </c>
      <c r="U1232" s="15" t="str">
        <f aca="false">TEXT(A1232,"yyyy-mm")</f>
        <v>2022-04</v>
      </c>
    </row>
    <row r="1233" customFormat="false" ht="15" hidden="false" customHeight="false" outlineLevel="0" collapsed="false">
      <c r="A1233" s="10" t="n">
        <v>44661</v>
      </c>
      <c r="B1233" s="11" t="s">
        <v>1365</v>
      </c>
      <c r="C1233" s="11" t="s">
        <v>66</v>
      </c>
      <c r="D1233" s="11" t="s">
        <v>67</v>
      </c>
      <c r="E1233" s="11" t="s">
        <v>68</v>
      </c>
      <c r="F1233" s="12" t="n">
        <v>3048952</v>
      </c>
      <c r="G1233" s="12" t="n">
        <v>2560000</v>
      </c>
      <c r="H1233" s="11" t="n">
        <v>20</v>
      </c>
      <c r="I1233" s="11" t="s">
        <v>69</v>
      </c>
      <c r="J1233" s="11" t="s">
        <v>70</v>
      </c>
      <c r="K1233" s="11" t="s">
        <v>71</v>
      </c>
      <c r="L1233" s="11" t="s">
        <v>72</v>
      </c>
      <c r="M1233" s="11" t="s">
        <v>73</v>
      </c>
      <c r="N1233" s="11" t="s">
        <v>74</v>
      </c>
      <c r="O1233" s="11" t="s">
        <v>75</v>
      </c>
      <c r="P1233" s="11" t="s">
        <v>76</v>
      </c>
      <c r="Q1233" s="13" t="n">
        <f aca="false">F1233*H1233</f>
        <v>60979040</v>
      </c>
      <c r="R1233" s="13" t="n">
        <f aca="false">G1233*H1233</f>
        <v>51200000</v>
      </c>
      <c r="S1233" s="13" t="n">
        <f aca="false">Q1233-R1233</f>
        <v>9779040</v>
      </c>
      <c r="T1233" s="14" t="n">
        <f aca="false">IFERROR(S1233/Q1233,0)</f>
        <v>0.160367234380863</v>
      </c>
      <c r="U1233" s="15" t="str">
        <f aca="false">TEXT(A1233,"yyyy-mm")</f>
        <v>2022-04</v>
      </c>
    </row>
    <row r="1234" customFormat="false" ht="15" hidden="false" customHeight="false" outlineLevel="0" collapsed="false">
      <c r="A1234" s="10" t="n">
        <v>44661</v>
      </c>
      <c r="B1234" s="11" t="s">
        <v>1366</v>
      </c>
      <c r="C1234" s="11" t="s">
        <v>78</v>
      </c>
      <c r="D1234" s="11" t="s">
        <v>67</v>
      </c>
      <c r="E1234" s="11" t="s">
        <v>79</v>
      </c>
      <c r="F1234" s="12" t="n">
        <v>1870000</v>
      </c>
      <c r="G1234" s="12" t="n">
        <v>1650000</v>
      </c>
      <c r="H1234" s="11" t="n">
        <v>16</v>
      </c>
      <c r="I1234" s="11" t="s">
        <v>69</v>
      </c>
      <c r="J1234" s="11" t="s">
        <v>80</v>
      </c>
      <c r="K1234" s="11" t="s">
        <v>81</v>
      </c>
      <c r="L1234" s="11" t="s">
        <v>82</v>
      </c>
      <c r="M1234" s="11" t="s">
        <v>73</v>
      </c>
      <c r="N1234" s="11" t="s">
        <v>123</v>
      </c>
      <c r="O1234" s="11" t="s">
        <v>60</v>
      </c>
      <c r="P1234" s="11" t="s">
        <v>106</v>
      </c>
      <c r="Q1234" s="13" t="n">
        <f aca="false">F1234*H1234</f>
        <v>29920000</v>
      </c>
      <c r="R1234" s="13" t="n">
        <f aca="false">G1234*H1234</f>
        <v>26400000</v>
      </c>
      <c r="S1234" s="13" t="n">
        <f aca="false">Q1234-R1234</f>
        <v>3520000</v>
      </c>
      <c r="T1234" s="14" t="n">
        <f aca="false">IFERROR(S1234/Q1234,0)</f>
        <v>0.117647058823529</v>
      </c>
      <c r="U1234" s="15" t="str">
        <f aca="false">TEXT(A1234,"yyyy-mm")</f>
        <v>2022-04</v>
      </c>
    </row>
    <row r="1235" customFormat="false" ht="15" hidden="false" customHeight="false" outlineLevel="0" collapsed="false">
      <c r="A1235" s="10" t="n">
        <v>44661</v>
      </c>
      <c r="B1235" s="11" t="s">
        <v>1367</v>
      </c>
      <c r="C1235" s="11" t="s">
        <v>84</v>
      </c>
      <c r="D1235" s="11" t="s">
        <v>67</v>
      </c>
      <c r="E1235" s="11" t="s">
        <v>85</v>
      </c>
      <c r="F1235" s="12" t="n">
        <v>2600000</v>
      </c>
      <c r="G1235" s="12" t="n">
        <v>2300000</v>
      </c>
      <c r="H1235" s="11" t="n">
        <v>18</v>
      </c>
      <c r="I1235" s="11" t="s">
        <v>69</v>
      </c>
      <c r="J1235" s="11" t="s">
        <v>70</v>
      </c>
      <c r="K1235" s="11" t="s">
        <v>71</v>
      </c>
      <c r="L1235" s="11" t="s">
        <v>72</v>
      </c>
      <c r="M1235" s="11" t="s">
        <v>73</v>
      </c>
      <c r="N1235" s="11" t="s">
        <v>173</v>
      </c>
      <c r="O1235" s="11" t="s">
        <v>174</v>
      </c>
      <c r="P1235" s="11" t="s">
        <v>95</v>
      </c>
      <c r="Q1235" s="13" t="n">
        <f aca="false">F1235*H1235</f>
        <v>46800000</v>
      </c>
      <c r="R1235" s="13" t="n">
        <f aca="false">G1235*H1235</f>
        <v>41400000</v>
      </c>
      <c r="S1235" s="13" t="n">
        <f aca="false">Q1235-R1235</f>
        <v>5400000</v>
      </c>
      <c r="T1235" s="14" t="n">
        <f aca="false">IFERROR(S1235/Q1235,0)</f>
        <v>0.115384615384615</v>
      </c>
      <c r="U1235" s="15" t="str">
        <f aca="false">TEXT(A1235,"yyyy-mm")</f>
        <v>2022-04</v>
      </c>
    </row>
    <row r="1236" customFormat="false" ht="15" hidden="false" customHeight="false" outlineLevel="0" collapsed="false">
      <c r="A1236" s="10" t="n">
        <v>44661</v>
      </c>
      <c r="B1236" s="11" t="s">
        <v>1368</v>
      </c>
      <c r="C1236" s="11" t="s">
        <v>92</v>
      </c>
      <c r="D1236" s="11" t="s">
        <v>67</v>
      </c>
      <c r="E1236" s="11" t="s">
        <v>79</v>
      </c>
      <c r="F1236" s="12" t="n">
        <v>3577480</v>
      </c>
      <c r="G1236" s="12" t="n">
        <v>3100000</v>
      </c>
      <c r="H1236" s="11" t="n">
        <v>29</v>
      </c>
      <c r="I1236" s="11" t="s">
        <v>86</v>
      </c>
      <c r="J1236" s="11" t="s">
        <v>87</v>
      </c>
      <c r="K1236" s="11" t="s">
        <v>88</v>
      </c>
      <c r="L1236" s="11" t="s">
        <v>89</v>
      </c>
      <c r="M1236" s="11" t="s">
        <v>90</v>
      </c>
      <c r="N1236" s="11" t="s">
        <v>173</v>
      </c>
      <c r="O1236" s="11" t="s">
        <v>174</v>
      </c>
      <c r="P1236" s="11" t="s">
        <v>95</v>
      </c>
      <c r="Q1236" s="13" t="n">
        <f aca="false">F1236*H1236</f>
        <v>103746920</v>
      </c>
      <c r="R1236" s="13" t="n">
        <f aca="false">G1236*H1236</f>
        <v>89900000</v>
      </c>
      <c r="S1236" s="13" t="n">
        <f aca="false">Q1236-R1236</f>
        <v>13846920</v>
      </c>
      <c r="T1236" s="14" t="n">
        <f aca="false">IFERROR(S1236/Q1236,0)</f>
        <v>0.133468251394837</v>
      </c>
      <c r="U1236" s="15" t="str">
        <f aca="false">TEXT(A1236,"yyyy-mm")</f>
        <v>2022-04</v>
      </c>
    </row>
    <row r="1237" customFormat="false" ht="15" hidden="false" customHeight="false" outlineLevel="0" collapsed="false">
      <c r="A1237" s="10" t="n">
        <v>44661</v>
      </c>
      <c r="B1237" s="11" t="s">
        <v>1369</v>
      </c>
      <c r="C1237" s="11" t="s">
        <v>97</v>
      </c>
      <c r="D1237" s="11" t="s">
        <v>67</v>
      </c>
      <c r="E1237" s="11" t="s">
        <v>98</v>
      </c>
      <c r="F1237" s="12" t="n">
        <v>4969724</v>
      </c>
      <c r="G1237" s="12" t="n">
        <v>4121560</v>
      </c>
      <c r="H1237" s="11" t="n">
        <v>14</v>
      </c>
      <c r="I1237" s="11" t="s">
        <v>69</v>
      </c>
      <c r="J1237" s="11" t="s">
        <v>80</v>
      </c>
      <c r="K1237" s="11" t="s">
        <v>81</v>
      </c>
      <c r="L1237" s="11" t="s">
        <v>82</v>
      </c>
      <c r="M1237" s="11" t="s">
        <v>73</v>
      </c>
      <c r="N1237" s="11" t="s">
        <v>149</v>
      </c>
      <c r="O1237" s="11" t="s">
        <v>150</v>
      </c>
      <c r="P1237" s="11" t="s">
        <v>151</v>
      </c>
      <c r="Q1237" s="13" t="n">
        <f aca="false">F1237*H1237</f>
        <v>69576136</v>
      </c>
      <c r="R1237" s="13" t="n">
        <f aca="false">G1237*H1237</f>
        <v>57701840</v>
      </c>
      <c r="S1237" s="13" t="n">
        <f aca="false">Q1237-R1237</f>
        <v>11874296</v>
      </c>
      <c r="T1237" s="14" t="n">
        <f aca="false">IFERROR(S1237/Q1237,0)</f>
        <v>0.170666218083741</v>
      </c>
      <c r="U1237" s="15" t="str">
        <f aca="false">TEXT(A1237,"yyyy-mm")</f>
        <v>2022-04</v>
      </c>
    </row>
    <row r="1238" customFormat="false" ht="15" hidden="false" customHeight="false" outlineLevel="0" collapsed="false">
      <c r="A1238" s="10" t="n">
        <v>44661</v>
      </c>
      <c r="B1238" s="11" t="s">
        <v>1370</v>
      </c>
      <c r="C1238" s="11" t="s">
        <v>103</v>
      </c>
      <c r="D1238" s="11" t="s">
        <v>67</v>
      </c>
      <c r="E1238" s="11" t="s">
        <v>68</v>
      </c>
      <c r="F1238" s="12" t="n">
        <v>3319925</v>
      </c>
      <c r="G1238" s="12" t="n">
        <v>2800000</v>
      </c>
      <c r="H1238" s="11" t="n">
        <v>15</v>
      </c>
      <c r="I1238" s="11" t="s">
        <v>69</v>
      </c>
      <c r="J1238" s="11" t="s">
        <v>112</v>
      </c>
      <c r="K1238" s="11" t="s">
        <v>113</v>
      </c>
      <c r="L1238" s="11" t="s">
        <v>82</v>
      </c>
      <c r="M1238" s="11" t="s">
        <v>157</v>
      </c>
      <c r="N1238" s="11" t="s">
        <v>143</v>
      </c>
      <c r="O1238" s="11" t="s">
        <v>144</v>
      </c>
      <c r="P1238" s="11" t="s">
        <v>101</v>
      </c>
      <c r="Q1238" s="13" t="n">
        <f aca="false">F1238*H1238</f>
        <v>49798875</v>
      </c>
      <c r="R1238" s="13" t="n">
        <f aca="false">G1238*H1238</f>
        <v>42000000</v>
      </c>
      <c r="S1238" s="13" t="n">
        <f aca="false">Q1238-R1238</f>
        <v>7798875</v>
      </c>
      <c r="T1238" s="14" t="n">
        <f aca="false">IFERROR(S1238/Q1238,0)</f>
        <v>0.15660745348163</v>
      </c>
      <c r="U1238" s="15" t="str">
        <f aca="false">TEXT(A1238,"yyyy-mm")</f>
        <v>2022-04</v>
      </c>
    </row>
    <row r="1239" customFormat="false" ht="15" hidden="false" customHeight="false" outlineLevel="0" collapsed="false">
      <c r="A1239" s="10" t="n">
        <v>44662</v>
      </c>
      <c r="B1239" s="11" t="s">
        <v>1371</v>
      </c>
      <c r="C1239" s="11" t="s">
        <v>108</v>
      </c>
      <c r="D1239" s="11" t="s">
        <v>67</v>
      </c>
      <c r="E1239" s="11" t="s">
        <v>68</v>
      </c>
      <c r="F1239" s="12" t="n">
        <v>4757880</v>
      </c>
      <c r="G1239" s="12" t="n">
        <v>3450000</v>
      </c>
      <c r="H1239" s="11" t="n">
        <v>12</v>
      </c>
      <c r="I1239" s="11" t="s">
        <v>69</v>
      </c>
      <c r="J1239" s="11" t="s">
        <v>112</v>
      </c>
      <c r="K1239" s="11" t="s">
        <v>113</v>
      </c>
      <c r="L1239" s="11" t="s">
        <v>82</v>
      </c>
      <c r="M1239" s="11" t="s">
        <v>157</v>
      </c>
      <c r="N1239" s="11" t="s">
        <v>74</v>
      </c>
      <c r="O1239" s="11" t="s">
        <v>75</v>
      </c>
      <c r="P1239" s="11" t="s">
        <v>76</v>
      </c>
      <c r="Q1239" s="13" t="n">
        <f aca="false">F1239*H1239</f>
        <v>57094560</v>
      </c>
      <c r="R1239" s="13" t="n">
        <f aca="false">G1239*H1239</f>
        <v>41400000</v>
      </c>
      <c r="S1239" s="13" t="n">
        <f aca="false">Q1239-R1239</f>
        <v>15694560</v>
      </c>
      <c r="T1239" s="14" t="n">
        <f aca="false">IFERROR(S1239/Q1239,0)</f>
        <v>0.274887134606169</v>
      </c>
      <c r="U1239" s="15" t="str">
        <f aca="false">TEXT(A1239,"yyyy-mm")</f>
        <v>2022-04</v>
      </c>
    </row>
    <row r="1240" customFormat="false" ht="15" hidden="false" customHeight="false" outlineLevel="0" collapsed="false">
      <c r="A1240" s="10" t="n">
        <v>44662</v>
      </c>
      <c r="B1240" s="11" t="s">
        <v>1372</v>
      </c>
      <c r="C1240" s="11" t="s">
        <v>111</v>
      </c>
      <c r="D1240" s="11" t="s">
        <v>67</v>
      </c>
      <c r="E1240" s="11" t="s">
        <v>79</v>
      </c>
      <c r="F1240" s="12" t="n">
        <v>3545808</v>
      </c>
      <c r="G1240" s="12" t="n">
        <v>3350000</v>
      </c>
      <c r="H1240" s="11" t="n">
        <v>14</v>
      </c>
      <c r="I1240" s="11" t="s">
        <v>69</v>
      </c>
      <c r="J1240" s="11" t="s">
        <v>112</v>
      </c>
      <c r="K1240" s="11" t="s">
        <v>113</v>
      </c>
      <c r="L1240" s="11" t="s">
        <v>82</v>
      </c>
      <c r="M1240" s="11" t="s">
        <v>157</v>
      </c>
      <c r="N1240" s="11" t="s">
        <v>99</v>
      </c>
      <c r="O1240" s="11" t="s">
        <v>100</v>
      </c>
      <c r="P1240" s="11" t="s">
        <v>101</v>
      </c>
      <c r="Q1240" s="13" t="n">
        <f aca="false">F1240*H1240</f>
        <v>49641312</v>
      </c>
      <c r="R1240" s="13" t="n">
        <f aca="false">G1240*H1240</f>
        <v>46900000</v>
      </c>
      <c r="S1240" s="13" t="n">
        <f aca="false">Q1240-R1240</f>
        <v>2741312</v>
      </c>
      <c r="T1240" s="14" t="n">
        <f aca="false">IFERROR(S1240/Q1240,0)</f>
        <v>0.0552223921881839</v>
      </c>
      <c r="U1240" s="15" t="str">
        <f aca="false">TEXT(A1240,"yyyy-mm")</f>
        <v>2022-04</v>
      </c>
    </row>
    <row r="1241" customFormat="false" ht="15" hidden="false" customHeight="false" outlineLevel="0" collapsed="false">
      <c r="A1241" s="10" t="n">
        <v>44662</v>
      </c>
      <c r="B1241" s="11" t="s">
        <v>1373</v>
      </c>
      <c r="C1241" s="11" t="s">
        <v>115</v>
      </c>
      <c r="D1241" s="11" t="s">
        <v>67</v>
      </c>
      <c r="E1241" s="11" t="s">
        <v>98</v>
      </c>
      <c r="F1241" s="12" t="n">
        <v>4200743</v>
      </c>
      <c r="G1241" s="12" t="n">
        <v>4101000</v>
      </c>
      <c r="H1241" s="11" t="n">
        <v>2</v>
      </c>
      <c r="I1241" s="11" t="s">
        <v>69</v>
      </c>
      <c r="J1241" s="11" t="s">
        <v>112</v>
      </c>
      <c r="K1241" s="11" t="s">
        <v>113</v>
      </c>
      <c r="L1241" s="11" t="s">
        <v>82</v>
      </c>
      <c r="M1241" s="11" t="s">
        <v>157</v>
      </c>
      <c r="N1241" s="11" t="s">
        <v>93</v>
      </c>
      <c r="O1241" s="11" t="s">
        <v>94</v>
      </c>
      <c r="P1241" s="11" t="s">
        <v>95</v>
      </c>
      <c r="Q1241" s="13" t="n">
        <f aca="false">F1241*H1241</f>
        <v>8401486</v>
      </c>
      <c r="R1241" s="13" t="n">
        <f aca="false">G1241*H1241</f>
        <v>8202000</v>
      </c>
      <c r="S1241" s="13" t="n">
        <f aca="false">Q1241-R1241</f>
        <v>199486</v>
      </c>
      <c r="T1241" s="14" t="n">
        <f aca="false">IFERROR(S1241/Q1241,0)</f>
        <v>0.023744132883159</v>
      </c>
      <c r="U1241" s="15" t="str">
        <f aca="false">TEXT(A1241,"yyyy-mm")</f>
        <v>2022-04</v>
      </c>
    </row>
    <row r="1242" customFormat="false" ht="15" hidden="false" customHeight="false" outlineLevel="0" collapsed="false">
      <c r="A1242" s="10" t="n">
        <v>44664</v>
      </c>
      <c r="B1242" s="11" t="s">
        <v>1374</v>
      </c>
      <c r="C1242" s="11" t="s">
        <v>117</v>
      </c>
      <c r="D1242" s="11" t="s">
        <v>118</v>
      </c>
      <c r="E1242" s="11" t="s">
        <v>119</v>
      </c>
      <c r="F1242" s="12" t="n">
        <v>8220549</v>
      </c>
      <c r="G1242" s="12" t="n">
        <v>6500000</v>
      </c>
      <c r="H1242" s="11" t="n">
        <v>19</v>
      </c>
      <c r="I1242" s="11" t="s">
        <v>69</v>
      </c>
      <c r="J1242" s="11" t="s">
        <v>70</v>
      </c>
      <c r="K1242" s="11" t="s">
        <v>71</v>
      </c>
      <c r="L1242" s="11" t="s">
        <v>72</v>
      </c>
      <c r="M1242" s="11" t="s">
        <v>73</v>
      </c>
      <c r="N1242" s="11" t="s">
        <v>173</v>
      </c>
      <c r="O1242" s="11" t="s">
        <v>174</v>
      </c>
      <c r="P1242" s="11" t="s">
        <v>95</v>
      </c>
      <c r="Q1242" s="13" t="n">
        <f aca="false">F1242*H1242</f>
        <v>156190431</v>
      </c>
      <c r="R1242" s="13" t="n">
        <f aca="false">G1242*H1242</f>
        <v>123500000</v>
      </c>
      <c r="S1242" s="13" t="n">
        <f aca="false">Q1242-R1242</f>
        <v>32690431</v>
      </c>
      <c r="T1242" s="14" t="n">
        <f aca="false">IFERROR(S1242/Q1242,0)</f>
        <v>0.209298551714733</v>
      </c>
      <c r="U1242" s="15" t="str">
        <f aca="false">TEXT(A1242,"yyyy-mm")</f>
        <v>2022-04</v>
      </c>
    </row>
    <row r="1243" customFormat="false" ht="15" hidden="false" customHeight="false" outlineLevel="0" collapsed="false">
      <c r="A1243" s="10" t="n">
        <v>44664</v>
      </c>
      <c r="B1243" s="11" t="s">
        <v>1375</v>
      </c>
      <c r="C1243" s="11" t="s">
        <v>121</v>
      </c>
      <c r="D1243" s="11" t="s">
        <v>118</v>
      </c>
      <c r="E1243" s="11" t="s">
        <v>122</v>
      </c>
      <c r="F1243" s="12" t="n">
        <v>7687274</v>
      </c>
      <c r="G1243" s="12" t="n">
        <v>6500000</v>
      </c>
      <c r="H1243" s="11" t="n">
        <v>11</v>
      </c>
      <c r="I1243" s="11" t="s">
        <v>69</v>
      </c>
      <c r="J1243" s="11" t="s">
        <v>80</v>
      </c>
      <c r="K1243" s="11" t="s">
        <v>81</v>
      </c>
      <c r="L1243" s="11" t="s">
        <v>82</v>
      </c>
      <c r="M1243" s="11" t="s">
        <v>73</v>
      </c>
      <c r="N1243" s="11" t="s">
        <v>133</v>
      </c>
      <c r="O1243" s="11" t="s">
        <v>60</v>
      </c>
      <c r="P1243" s="11" t="s">
        <v>76</v>
      </c>
      <c r="Q1243" s="13" t="n">
        <f aca="false">F1243*H1243</f>
        <v>84560014</v>
      </c>
      <c r="R1243" s="13" t="n">
        <f aca="false">G1243*H1243</f>
        <v>71500000</v>
      </c>
      <c r="S1243" s="13" t="n">
        <f aca="false">Q1243-R1243</f>
        <v>13060014</v>
      </c>
      <c r="T1243" s="14" t="n">
        <f aca="false">IFERROR(S1243/Q1243,0)</f>
        <v>0.154446686822923</v>
      </c>
      <c r="U1243" s="15" t="str">
        <f aca="false">TEXT(A1243,"yyyy-mm")</f>
        <v>2022-04</v>
      </c>
    </row>
    <row r="1244" customFormat="false" ht="15" hidden="false" customHeight="false" outlineLevel="0" collapsed="false">
      <c r="A1244" s="10" t="n">
        <v>44664</v>
      </c>
      <c r="B1244" s="11" t="s">
        <v>1376</v>
      </c>
      <c r="C1244" s="11" t="s">
        <v>125</v>
      </c>
      <c r="D1244" s="11" t="s">
        <v>118</v>
      </c>
      <c r="E1244" s="11" t="s">
        <v>126</v>
      </c>
      <c r="F1244" s="12" t="n">
        <v>5684211</v>
      </c>
      <c r="G1244" s="12" t="n">
        <v>4300000</v>
      </c>
      <c r="H1244" s="11" t="n">
        <v>1</v>
      </c>
      <c r="I1244" s="11" t="s">
        <v>69</v>
      </c>
      <c r="J1244" s="11" t="s">
        <v>80</v>
      </c>
      <c r="K1244" s="11" t="s">
        <v>81</v>
      </c>
      <c r="L1244" s="11" t="s">
        <v>82</v>
      </c>
      <c r="M1244" s="11" t="s">
        <v>73</v>
      </c>
      <c r="N1244" s="11" t="s">
        <v>173</v>
      </c>
      <c r="O1244" s="11" t="s">
        <v>174</v>
      </c>
      <c r="P1244" s="11" t="s">
        <v>95</v>
      </c>
      <c r="Q1244" s="13" t="n">
        <f aca="false">F1244*H1244</f>
        <v>5684211</v>
      </c>
      <c r="R1244" s="13" t="n">
        <f aca="false">G1244*H1244</f>
        <v>4300000</v>
      </c>
      <c r="S1244" s="13" t="n">
        <f aca="false">Q1244-R1244</f>
        <v>1384211</v>
      </c>
      <c r="T1244" s="14" t="n">
        <f aca="false">IFERROR(S1244/Q1244,0)</f>
        <v>0.243518581558637</v>
      </c>
      <c r="U1244" s="15" t="str">
        <f aca="false">TEXT(A1244,"yyyy-mm")</f>
        <v>2022-04</v>
      </c>
    </row>
    <row r="1245" customFormat="false" ht="15" hidden="false" customHeight="false" outlineLevel="0" collapsed="false">
      <c r="A1245" s="10" t="n">
        <v>44665</v>
      </c>
      <c r="B1245" s="11" t="s">
        <v>1377</v>
      </c>
      <c r="C1245" s="11" t="s">
        <v>128</v>
      </c>
      <c r="D1245" s="11" t="s">
        <v>118</v>
      </c>
      <c r="E1245" s="11" t="s">
        <v>119</v>
      </c>
      <c r="F1245" s="12" t="n">
        <v>3370302</v>
      </c>
      <c r="G1245" s="12" t="n">
        <v>2100000</v>
      </c>
      <c r="H1245" s="11" t="n">
        <v>33</v>
      </c>
      <c r="I1245" s="11" t="s">
        <v>69</v>
      </c>
      <c r="J1245" s="11" t="s">
        <v>112</v>
      </c>
      <c r="K1245" s="11" t="s">
        <v>113</v>
      </c>
      <c r="L1245" s="11" t="s">
        <v>82</v>
      </c>
      <c r="M1245" s="11" t="s">
        <v>157</v>
      </c>
      <c r="N1245" s="11" t="s">
        <v>173</v>
      </c>
      <c r="O1245" s="11" t="s">
        <v>174</v>
      </c>
      <c r="P1245" s="11" t="s">
        <v>95</v>
      </c>
      <c r="Q1245" s="13" t="n">
        <f aca="false">F1245*H1245</f>
        <v>111219966</v>
      </c>
      <c r="R1245" s="13" t="n">
        <f aca="false">G1245*H1245</f>
        <v>69300000</v>
      </c>
      <c r="S1245" s="13" t="n">
        <f aca="false">Q1245-R1245</f>
        <v>41919966</v>
      </c>
      <c r="T1245" s="14" t="n">
        <f aca="false">IFERROR(S1245/Q1245,0)</f>
        <v>0.37691043710623</v>
      </c>
      <c r="U1245" s="15" t="str">
        <f aca="false">TEXT(A1245,"yyyy-mm")</f>
        <v>2022-04</v>
      </c>
    </row>
    <row r="1246" customFormat="false" ht="15" hidden="false" customHeight="false" outlineLevel="0" collapsed="false">
      <c r="A1246" s="10" t="n">
        <v>44665</v>
      </c>
      <c r="B1246" s="11" t="s">
        <v>1378</v>
      </c>
      <c r="C1246" s="11" t="s">
        <v>130</v>
      </c>
      <c r="D1246" s="11" t="s">
        <v>118</v>
      </c>
      <c r="E1246" s="11" t="s">
        <v>68</v>
      </c>
      <c r="F1246" s="12" t="n">
        <v>2852897</v>
      </c>
      <c r="G1246" s="12" t="n">
        <v>2450000</v>
      </c>
      <c r="H1246" s="11" t="n">
        <v>4</v>
      </c>
      <c r="I1246" s="11" t="s">
        <v>69</v>
      </c>
      <c r="J1246" s="11" t="s">
        <v>112</v>
      </c>
      <c r="K1246" s="11" t="s">
        <v>113</v>
      </c>
      <c r="L1246" s="11" t="s">
        <v>82</v>
      </c>
      <c r="M1246" s="11" t="s">
        <v>157</v>
      </c>
      <c r="N1246" s="11" t="s">
        <v>109</v>
      </c>
      <c r="O1246" s="11" t="s">
        <v>75</v>
      </c>
      <c r="P1246" s="11" t="s">
        <v>95</v>
      </c>
      <c r="Q1246" s="13" t="n">
        <f aca="false">F1246*H1246</f>
        <v>11411588</v>
      </c>
      <c r="R1246" s="13" t="n">
        <f aca="false">G1246*H1246</f>
        <v>9800000</v>
      </c>
      <c r="S1246" s="13" t="n">
        <f aca="false">Q1246-R1246</f>
        <v>1611588</v>
      </c>
      <c r="T1246" s="14" t="n">
        <f aca="false">IFERROR(S1246/Q1246,0)</f>
        <v>0.141223815651249</v>
      </c>
      <c r="U1246" s="15" t="str">
        <f aca="false">TEXT(A1246,"yyyy-mm")</f>
        <v>2022-04</v>
      </c>
    </row>
    <row r="1247" customFormat="false" ht="15" hidden="false" customHeight="false" outlineLevel="0" collapsed="false">
      <c r="A1247" s="10" t="n">
        <v>44665</v>
      </c>
      <c r="B1247" s="11" t="s">
        <v>1379</v>
      </c>
      <c r="C1247" s="11" t="s">
        <v>132</v>
      </c>
      <c r="D1247" s="11" t="s">
        <v>118</v>
      </c>
      <c r="E1247" s="11" t="s">
        <v>68</v>
      </c>
      <c r="F1247" s="12" t="n">
        <v>4803603</v>
      </c>
      <c r="G1247" s="12" t="n">
        <v>4121000</v>
      </c>
      <c r="H1247" s="11" t="n">
        <v>17</v>
      </c>
      <c r="I1247" s="11" t="s">
        <v>69</v>
      </c>
      <c r="J1247" s="11" t="s">
        <v>70</v>
      </c>
      <c r="K1247" s="11" t="s">
        <v>71</v>
      </c>
      <c r="L1247" s="11" t="s">
        <v>72</v>
      </c>
      <c r="M1247" s="11" t="s">
        <v>73</v>
      </c>
      <c r="N1247" s="11" t="s">
        <v>149</v>
      </c>
      <c r="O1247" s="11" t="s">
        <v>150</v>
      </c>
      <c r="P1247" s="11" t="s">
        <v>151</v>
      </c>
      <c r="Q1247" s="13" t="n">
        <f aca="false">F1247*H1247</f>
        <v>81661251</v>
      </c>
      <c r="R1247" s="13" t="n">
        <f aca="false">G1247*H1247</f>
        <v>70057000</v>
      </c>
      <c r="S1247" s="13" t="n">
        <f aca="false">Q1247-R1247</f>
        <v>11604251</v>
      </c>
      <c r="T1247" s="14" t="n">
        <f aca="false">IFERROR(S1247/Q1247,0)</f>
        <v>0.142102292799801</v>
      </c>
      <c r="U1247" s="15" t="str">
        <f aca="false">TEXT(A1247,"yyyy-mm")</f>
        <v>2022-04</v>
      </c>
    </row>
    <row r="1248" customFormat="false" ht="15" hidden="false" customHeight="false" outlineLevel="0" collapsed="false">
      <c r="A1248" s="10" t="n">
        <v>44665</v>
      </c>
      <c r="B1248" s="11" t="s">
        <v>1380</v>
      </c>
      <c r="C1248" s="11" t="s">
        <v>135</v>
      </c>
      <c r="D1248" s="11" t="s">
        <v>118</v>
      </c>
      <c r="E1248" s="11" t="s">
        <v>68</v>
      </c>
      <c r="F1248" s="12" t="n">
        <v>5689947</v>
      </c>
      <c r="G1248" s="12" t="n">
        <v>5235000</v>
      </c>
      <c r="H1248" s="11" t="n">
        <v>28</v>
      </c>
      <c r="I1248" s="11" t="s">
        <v>69</v>
      </c>
      <c r="J1248" s="11" t="s">
        <v>70</v>
      </c>
      <c r="K1248" s="11" t="s">
        <v>71</v>
      </c>
      <c r="L1248" s="11" t="s">
        <v>72</v>
      </c>
      <c r="M1248" s="11" t="s">
        <v>73</v>
      </c>
      <c r="N1248" s="11" t="s">
        <v>149</v>
      </c>
      <c r="O1248" s="11" t="s">
        <v>150</v>
      </c>
      <c r="P1248" s="11" t="s">
        <v>151</v>
      </c>
      <c r="Q1248" s="13" t="n">
        <f aca="false">F1248*H1248</f>
        <v>159318516</v>
      </c>
      <c r="R1248" s="13" t="n">
        <f aca="false">G1248*H1248</f>
        <v>146580000</v>
      </c>
      <c r="S1248" s="13" t="n">
        <f aca="false">Q1248-R1248</f>
        <v>12738516</v>
      </c>
      <c r="T1248" s="14" t="n">
        <f aca="false">IFERROR(S1248/Q1248,0)</f>
        <v>0.0799562807878527</v>
      </c>
      <c r="U1248" s="15" t="str">
        <f aca="false">TEXT(A1248,"yyyy-mm")</f>
        <v>2022-04</v>
      </c>
    </row>
    <row r="1249" customFormat="false" ht="15" hidden="false" customHeight="false" outlineLevel="0" collapsed="false">
      <c r="A1249" s="10" t="n">
        <v>44666</v>
      </c>
      <c r="B1249" s="11" t="s">
        <v>1381</v>
      </c>
      <c r="C1249" s="11" t="s">
        <v>137</v>
      </c>
      <c r="D1249" s="11" t="s">
        <v>138</v>
      </c>
      <c r="E1249" s="11" t="s">
        <v>139</v>
      </c>
      <c r="F1249" s="12" t="n">
        <v>5171827</v>
      </c>
      <c r="G1249" s="12" t="n">
        <v>4890000</v>
      </c>
      <c r="H1249" s="11" t="n">
        <v>3</v>
      </c>
      <c r="I1249" s="11" t="s">
        <v>69</v>
      </c>
      <c r="J1249" s="11" t="s">
        <v>80</v>
      </c>
      <c r="K1249" s="11" t="s">
        <v>81</v>
      </c>
      <c r="L1249" s="11" t="s">
        <v>82</v>
      </c>
      <c r="M1249" s="11" t="s">
        <v>73</v>
      </c>
      <c r="N1249" s="11" t="s">
        <v>74</v>
      </c>
      <c r="O1249" s="11" t="s">
        <v>75</v>
      </c>
      <c r="P1249" s="11" t="s">
        <v>76</v>
      </c>
      <c r="Q1249" s="13" t="n">
        <f aca="false">F1249*H1249</f>
        <v>15515481</v>
      </c>
      <c r="R1249" s="13" t="n">
        <f aca="false">G1249*H1249</f>
        <v>14670000</v>
      </c>
      <c r="S1249" s="13" t="n">
        <f aca="false">Q1249-R1249</f>
        <v>845481</v>
      </c>
      <c r="T1249" s="14" t="n">
        <f aca="false">IFERROR(S1249/Q1249,0)</f>
        <v>0.0544927353525166</v>
      </c>
      <c r="U1249" s="15" t="str">
        <f aca="false">TEXT(A1249,"yyyy-mm")</f>
        <v>2022-04</v>
      </c>
    </row>
    <row r="1250" customFormat="false" ht="15" hidden="false" customHeight="false" outlineLevel="0" collapsed="false">
      <c r="A1250" s="10" t="n">
        <v>44667</v>
      </c>
      <c r="B1250" s="11" t="s">
        <v>1382</v>
      </c>
      <c r="C1250" s="11" t="s">
        <v>141</v>
      </c>
      <c r="D1250" s="11" t="s">
        <v>138</v>
      </c>
      <c r="E1250" s="11" t="s">
        <v>142</v>
      </c>
      <c r="F1250" s="12" t="n">
        <v>2805124</v>
      </c>
      <c r="G1250" s="12" t="n">
        <v>2178000</v>
      </c>
      <c r="H1250" s="11" t="n">
        <v>7</v>
      </c>
      <c r="I1250" s="11" t="s">
        <v>69</v>
      </c>
      <c r="J1250" s="11" t="s">
        <v>80</v>
      </c>
      <c r="K1250" s="11" t="s">
        <v>81</v>
      </c>
      <c r="L1250" s="11" t="s">
        <v>82</v>
      </c>
      <c r="M1250" s="11" t="s">
        <v>73</v>
      </c>
      <c r="N1250" s="11" t="s">
        <v>123</v>
      </c>
      <c r="O1250" s="11" t="s">
        <v>60</v>
      </c>
      <c r="P1250" s="11" t="s">
        <v>106</v>
      </c>
      <c r="Q1250" s="13" t="n">
        <f aca="false">F1250*H1250</f>
        <v>19635868</v>
      </c>
      <c r="R1250" s="13" t="n">
        <f aca="false">G1250*H1250</f>
        <v>15246000</v>
      </c>
      <c r="S1250" s="13" t="n">
        <f aca="false">Q1250-R1250</f>
        <v>4389868</v>
      </c>
      <c r="T1250" s="14" t="n">
        <f aca="false">IFERROR(S1250/Q1250,0)</f>
        <v>0.22356373550688</v>
      </c>
      <c r="U1250" s="15" t="str">
        <f aca="false">TEXT(A1250,"yyyy-mm")</f>
        <v>2022-04</v>
      </c>
    </row>
    <row r="1251" customFormat="false" ht="15" hidden="false" customHeight="false" outlineLevel="0" collapsed="false">
      <c r="A1251" s="10" t="n">
        <v>44667</v>
      </c>
      <c r="B1251" s="11" t="s">
        <v>1383</v>
      </c>
      <c r="C1251" s="11" t="s">
        <v>146</v>
      </c>
      <c r="D1251" s="11" t="s">
        <v>138</v>
      </c>
      <c r="E1251" s="11" t="s">
        <v>139</v>
      </c>
      <c r="F1251" s="12" t="n">
        <v>2728100</v>
      </c>
      <c r="G1251" s="12" t="n">
        <v>2321000</v>
      </c>
      <c r="H1251" s="11" t="n">
        <v>7</v>
      </c>
      <c r="I1251" s="11" t="s">
        <v>86</v>
      </c>
      <c r="J1251" s="11" t="s">
        <v>87</v>
      </c>
      <c r="K1251" s="11" t="s">
        <v>88</v>
      </c>
      <c r="L1251" s="11" t="s">
        <v>89</v>
      </c>
      <c r="M1251" s="11" t="s">
        <v>90</v>
      </c>
      <c r="N1251" s="11" t="s">
        <v>143</v>
      </c>
      <c r="O1251" s="11" t="s">
        <v>144</v>
      </c>
      <c r="P1251" s="11" t="s">
        <v>101</v>
      </c>
      <c r="Q1251" s="13" t="n">
        <f aca="false">F1251*H1251</f>
        <v>19096700</v>
      </c>
      <c r="R1251" s="13" t="n">
        <f aca="false">G1251*H1251</f>
        <v>16247000</v>
      </c>
      <c r="S1251" s="13" t="n">
        <f aca="false">Q1251-R1251</f>
        <v>2849700</v>
      </c>
      <c r="T1251" s="14" t="n">
        <f aca="false">IFERROR(S1251/Q1251,0)</f>
        <v>0.149224735163667</v>
      </c>
      <c r="U1251" s="15" t="str">
        <f aca="false">TEXT(A1251,"yyyy-mm")</f>
        <v>2022-04</v>
      </c>
    </row>
    <row r="1252" customFormat="false" ht="15" hidden="false" customHeight="false" outlineLevel="0" collapsed="false">
      <c r="A1252" s="10" t="n">
        <v>44667</v>
      </c>
      <c r="B1252" s="11" t="s">
        <v>1384</v>
      </c>
      <c r="C1252" s="11" t="s">
        <v>148</v>
      </c>
      <c r="D1252" s="11" t="s">
        <v>138</v>
      </c>
      <c r="E1252" s="11" t="s">
        <v>122</v>
      </c>
      <c r="F1252" s="12" t="n">
        <v>4941716</v>
      </c>
      <c r="G1252" s="12" t="n">
        <v>4456000</v>
      </c>
      <c r="H1252" s="11" t="n">
        <v>19</v>
      </c>
      <c r="I1252" s="11" t="s">
        <v>86</v>
      </c>
      <c r="J1252" s="11" t="s">
        <v>87</v>
      </c>
      <c r="K1252" s="11" t="s">
        <v>88</v>
      </c>
      <c r="L1252" s="11" t="s">
        <v>89</v>
      </c>
      <c r="M1252" s="11" t="s">
        <v>90</v>
      </c>
      <c r="N1252" s="11" t="s">
        <v>74</v>
      </c>
      <c r="O1252" s="11" t="s">
        <v>75</v>
      </c>
      <c r="P1252" s="11" t="s">
        <v>76</v>
      </c>
      <c r="Q1252" s="13" t="n">
        <f aca="false">F1252*H1252</f>
        <v>93892604</v>
      </c>
      <c r="R1252" s="13" t="n">
        <f aca="false">G1252*H1252</f>
        <v>84664000</v>
      </c>
      <c r="S1252" s="13" t="n">
        <f aca="false">Q1252-R1252</f>
        <v>9228604</v>
      </c>
      <c r="T1252" s="14" t="n">
        <f aca="false">IFERROR(S1252/Q1252,0)</f>
        <v>0.0982889344511097</v>
      </c>
      <c r="U1252" s="15" t="str">
        <f aca="false">TEXT(A1252,"yyyy-mm")</f>
        <v>2022-04</v>
      </c>
    </row>
    <row r="1253" customFormat="false" ht="15" hidden="false" customHeight="false" outlineLevel="0" collapsed="false">
      <c r="A1253" s="10" t="n">
        <v>44667</v>
      </c>
      <c r="B1253" s="11" t="s">
        <v>1385</v>
      </c>
      <c r="C1253" s="11" t="s">
        <v>66</v>
      </c>
      <c r="D1253" s="11" t="s">
        <v>67</v>
      </c>
      <c r="E1253" s="11" t="s">
        <v>68</v>
      </c>
      <c r="F1253" s="12" t="n">
        <v>3048952</v>
      </c>
      <c r="G1253" s="12" t="n">
        <v>2560000</v>
      </c>
      <c r="H1253" s="11" t="n">
        <v>19</v>
      </c>
      <c r="I1253" s="11" t="s">
        <v>69</v>
      </c>
      <c r="J1253" s="11" t="s">
        <v>80</v>
      </c>
      <c r="K1253" s="11" t="s">
        <v>81</v>
      </c>
      <c r="L1253" s="11" t="s">
        <v>82</v>
      </c>
      <c r="M1253" s="11" t="s">
        <v>73</v>
      </c>
      <c r="N1253" s="11" t="s">
        <v>99</v>
      </c>
      <c r="O1253" s="11" t="s">
        <v>100</v>
      </c>
      <c r="P1253" s="11" t="s">
        <v>101</v>
      </c>
      <c r="Q1253" s="13" t="n">
        <f aca="false">F1253*H1253</f>
        <v>57930088</v>
      </c>
      <c r="R1253" s="13" t="n">
        <f aca="false">G1253*H1253</f>
        <v>48640000</v>
      </c>
      <c r="S1253" s="13" t="n">
        <f aca="false">Q1253-R1253</f>
        <v>9290088</v>
      </c>
      <c r="T1253" s="14" t="n">
        <f aca="false">IFERROR(S1253/Q1253,0)</f>
        <v>0.160367234380863</v>
      </c>
      <c r="U1253" s="15" t="str">
        <f aca="false">TEXT(A1253,"yyyy-mm")</f>
        <v>2022-04</v>
      </c>
    </row>
    <row r="1254" customFormat="false" ht="15" hidden="false" customHeight="false" outlineLevel="0" collapsed="false">
      <c r="A1254" s="10" t="n">
        <v>44668</v>
      </c>
      <c r="B1254" s="11" t="s">
        <v>1386</v>
      </c>
      <c r="C1254" s="11" t="s">
        <v>78</v>
      </c>
      <c r="D1254" s="11" t="s">
        <v>67</v>
      </c>
      <c r="E1254" s="11" t="s">
        <v>79</v>
      </c>
      <c r="F1254" s="12" t="n">
        <v>1870000</v>
      </c>
      <c r="G1254" s="12" t="n">
        <v>1650000</v>
      </c>
      <c r="H1254" s="11" t="n">
        <v>7</v>
      </c>
      <c r="I1254" s="11" t="s">
        <v>69</v>
      </c>
      <c r="J1254" s="11" t="s">
        <v>80</v>
      </c>
      <c r="K1254" s="11" t="s">
        <v>81</v>
      </c>
      <c r="L1254" s="11" t="s">
        <v>82</v>
      </c>
      <c r="M1254" s="11" t="s">
        <v>73</v>
      </c>
      <c r="N1254" s="11" t="s">
        <v>143</v>
      </c>
      <c r="O1254" s="11" t="s">
        <v>144</v>
      </c>
      <c r="P1254" s="11" t="s">
        <v>101</v>
      </c>
      <c r="Q1254" s="13" t="n">
        <f aca="false">F1254*H1254</f>
        <v>13090000</v>
      </c>
      <c r="R1254" s="13" t="n">
        <f aca="false">G1254*H1254</f>
        <v>11550000</v>
      </c>
      <c r="S1254" s="13" t="n">
        <f aca="false">Q1254-R1254</f>
        <v>1540000</v>
      </c>
      <c r="T1254" s="14" t="n">
        <f aca="false">IFERROR(S1254/Q1254,0)</f>
        <v>0.117647058823529</v>
      </c>
      <c r="U1254" s="15" t="str">
        <f aca="false">TEXT(A1254,"yyyy-mm")</f>
        <v>2022-04</v>
      </c>
    </row>
    <row r="1255" customFormat="false" ht="15" hidden="false" customHeight="false" outlineLevel="0" collapsed="false">
      <c r="A1255" s="10" t="n">
        <v>44669</v>
      </c>
      <c r="B1255" s="11" t="s">
        <v>1387</v>
      </c>
      <c r="C1255" s="11" t="s">
        <v>84</v>
      </c>
      <c r="D1255" s="11" t="s">
        <v>67</v>
      </c>
      <c r="E1255" s="11" t="s">
        <v>85</v>
      </c>
      <c r="F1255" s="12" t="n">
        <v>2600000</v>
      </c>
      <c r="G1255" s="12" t="n">
        <v>2300000</v>
      </c>
      <c r="H1255" s="11" t="n">
        <v>17</v>
      </c>
      <c r="I1255" s="11" t="s">
        <v>69</v>
      </c>
      <c r="J1255" s="11" t="s">
        <v>70</v>
      </c>
      <c r="K1255" s="11" t="s">
        <v>71</v>
      </c>
      <c r="L1255" s="11" t="s">
        <v>72</v>
      </c>
      <c r="M1255" s="11" t="s">
        <v>73</v>
      </c>
      <c r="N1255" s="11" t="s">
        <v>123</v>
      </c>
      <c r="O1255" s="11" t="s">
        <v>60</v>
      </c>
      <c r="P1255" s="11" t="s">
        <v>106</v>
      </c>
      <c r="Q1255" s="13" t="n">
        <f aca="false">F1255*H1255</f>
        <v>44200000</v>
      </c>
      <c r="R1255" s="13" t="n">
        <f aca="false">G1255*H1255</f>
        <v>39100000</v>
      </c>
      <c r="S1255" s="13" t="n">
        <f aca="false">Q1255-R1255</f>
        <v>5100000</v>
      </c>
      <c r="T1255" s="14" t="n">
        <f aca="false">IFERROR(S1255/Q1255,0)</f>
        <v>0.115384615384615</v>
      </c>
      <c r="U1255" s="15" t="str">
        <f aca="false">TEXT(A1255,"yyyy-mm")</f>
        <v>2022-04</v>
      </c>
    </row>
    <row r="1256" customFormat="false" ht="15" hidden="false" customHeight="false" outlineLevel="0" collapsed="false">
      <c r="A1256" s="10" t="n">
        <v>44669</v>
      </c>
      <c r="B1256" s="11" t="s">
        <v>1388</v>
      </c>
      <c r="C1256" s="11" t="s">
        <v>92</v>
      </c>
      <c r="D1256" s="11" t="s">
        <v>67</v>
      </c>
      <c r="E1256" s="11" t="s">
        <v>79</v>
      </c>
      <c r="F1256" s="12" t="n">
        <v>3577480</v>
      </c>
      <c r="G1256" s="12" t="n">
        <v>3100000</v>
      </c>
      <c r="H1256" s="11" t="n">
        <v>16</v>
      </c>
      <c r="I1256" s="11" t="s">
        <v>69</v>
      </c>
      <c r="J1256" s="11" t="s">
        <v>80</v>
      </c>
      <c r="K1256" s="11" t="s">
        <v>81</v>
      </c>
      <c r="L1256" s="11" t="s">
        <v>82</v>
      </c>
      <c r="M1256" s="11" t="s">
        <v>73</v>
      </c>
      <c r="N1256" s="11" t="s">
        <v>143</v>
      </c>
      <c r="O1256" s="11" t="s">
        <v>144</v>
      </c>
      <c r="P1256" s="11" t="s">
        <v>101</v>
      </c>
      <c r="Q1256" s="13" t="n">
        <f aca="false">F1256*H1256</f>
        <v>57239680</v>
      </c>
      <c r="R1256" s="13" t="n">
        <f aca="false">G1256*H1256</f>
        <v>49600000</v>
      </c>
      <c r="S1256" s="13" t="n">
        <f aca="false">Q1256-R1256</f>
        <v>7639680</v>
      </c>
      <c r="T1256" s="14" t="n">
        <f aca="false">IFERROR(S1256/Q1256,0)</f>
        <v>0.133468251394837</v>
      </c>
      <c r="U1256" s="15" t="str">
        <f aca="false">TEXT(A1256,"yyyy-mm")</f>
        <v>2022-04</v>
      </c>
    </row>
    <row r="1257" customFormat="false" ht="15" hidden="false" customHeight="false" outlineLevel="0" collapsed="false">
      <c r="A1257" s="10" t="n">
        <v>44669</v>
      </c>
      <c r="B1257" s="11" t="s">
        <v>1389</v>
      </c>
      <c r="C1257" s="11" t="s">
        <v>97</v>
      </c>
      <c r="D1257" s="11" t="s">
        <v>67</v>
      </c>
      <c r="E1257" s="11" t="s">
        <v>98</v>
      </c>
      <c r="F1257" s="12" t="n">
        <v>4969724</v>
      </c>
      <c r="G1257" s="12" t="n">
        <v>4121560</v>
      </c>
      <c r="H1257" s="11" t="n">
        <v>9</v>
      </c>
      <c r="I1257" s="11" t="s">
        <v>86</v>
      </c>
      <c r="J1257" s="11" t="s">
        <v>87</v>
      </c>
      <c r="K1257" s="11" t="s">
        <v>88</v>
      </c>
      <c r="L1257" s="11" t="s">
        <v>89</v>
      </c>
      <c r="M1257" s="11" t="s">
        <v>90</v>
      </c>
      <c r="N1257" s="11" t="s">
        <v>99</v>
      </c>
      <c r="O1257" s="11" t="s">
        <v>100</v>
      </c>
      <c r="P1257" s="11" t="s">
        <v>101</v>
      </c>
      <c r="Q1257" s="13" t="n">
        <f aca="false">F1257*H1257</f>
        <v>44727516</v>
      </c>
      <c r="R1257" s="13" t="n">
        <f aca="false">G1257*H1257</f>
        <v>37094040</v>
      </c>
      <c r="S1257" s="13" t="n">
        <f aca="false">Q1257-R1257</f>
        <v>7633476</v>
      </c>
      <c r="T1257" s="14" t="n">
        <f aca="false">IFERROR(S1257/Q1257,0)</f>
        <v>0.170666218083741</v>
      </c>
      <c r="U1257" s="15" t="str">
        <f aca="false">TEXT(A1257,"yyyy-mm")</f>
        <v>2022-04</v>
      </c>
    </row>
    <row r="1258" customFormat="false" ht="15" hidden="false" customHeight="false" outlineLevel="0" collapsed="false">
      <c r="A1258" s="10" t="n">
        <v>44669</v>
      </c>
      <c r="B1258" s="11" t="s">
        <v>1390</v>
      </c>
      <c r="C1258" s="11" t="s">
        <v>103</v>
      </c>
      <c r="D1258" s="11" t="s">
        <v>67</v>
      </c>
      <c r="E1258" s="11" t="s">
        <v>68</v>
      </c>
      <c r="F1258" s="12" t="n">
        <v>3319925</v>
      </c>
      <c r="G1258" s="12" t="n">
        <v>2800000</v>
      </c>
      <c r="H1258" s="11" t="n">
        <v>18</v>
      </c>
      <c r="I1258" s="11" t="s">
        <v>69</v>
      </c>
      <c r="J1258" s="11" t="s">
        <v>112</v>
      </c>
      <c r="K1258" s="11" t="s">
        <v>113</v>
      </c>
      <c r="L1258" s="11" t="s">
        <v>82</v>
      </c>
      <c r="M1258" s="11" t="s">
        <v>157</v>
      </c>
      <c r="N1258" s="11" t="s">
        <v>133</v>
      </c>
      <c r="O1258" s="11" t="s">
        <v>60</v>
      </c>
      <c r="P1258" s="11" t="s">
        <v>76</v>
      </c>
      <c r="Q1258" s="13" t="n">
        <f aca="false">F1258*H1258</f>
        <v>59758650</v>
      </c>
      <c r="R1258" s="13" t="n">
        <f aca="false">G1258*H1258</f>
        <v>50400000</v>
      </c>
      <c r="S1258" s="13" t="n">
        <f aca="false">Q1258-R1258</f>
        <v>9358650</v>
      </c>
      <c r="T1258" s="14" t="n">
        <f aca="false">IFERROR(S1258/Q1258,0)</f>
        <v>0.15660745348163</v>
      </c>
      <c r="U1258" s="15" t="str">
        <f aca="false">TEXT(A1258,"yyyy-mm")</f>
        <v>2022-04</v>
      </c>
    </row>
    <row r="1259" customFormat="false" ht="15" hidden="false" customHeight="false" outlineLevel="0" collapsed="false">
      <c r="A1259" s="10" t="n">
        <v>44669</v>
      </c>
      <c r="B1259" s="11" t="s">
        <v>1391</v>
      </c>
      <c r="C1259" s="11" t="s">
        <v>108</v>
      </c>
      <c r="D1259" s="11" t="s">
        <v>67</v>
      </c>
      <c r="E1259" s="11" t="s">
        <v>68</v>
      </c>
      <c r="F1259" s="12" t="n">
        <v>4757880</v>
      </c>
      <c r="G1259" s="12" t="n">
        <v>3450000</v>
      </c>
      <c r="H1259" s="11" t="n">
        <v>10</v>
      </c>
      <c r="I1259" s="11" t="s">
        <v>69</v>
      </c>
      <c r="J1259" s="11" t="s">
        <v>80</v>
      </c>
      <c r="K1259" s="11" t="s">
        <v>81</v>
      </c>
      <c r="L1259" s="11" t="s">
        <v>82</v>
      </c>
      <c r="M1259" s="11" t="s">
        <v>73</v>
      </c>
      <c r="N1259" s="11" t="s">
        <v>104</v>
      </c>
      <c r="O1259" s="11" t="s">
        <v>105</v>
      </c>
      <c r="P1259" s="11" t="s">
        <v>106</v>
      </c>
      <c r="Q1259" s="13" t="n">
        <f aca="false">F1259*H1259</f>
        <v>47578800</v>
      </c>
      <c r="R1259" s="13" t="n">
        <f aca="false">G1259*H1259</f>
        <v>34500000</v>
      </c>
      <c r="S1259" s="13" t="n">
        <f aca="false">Q1259-R1259</f>
        <v>13078800</v>
      </c>
      <c r="T1259" s="14" t="n">
        <f aca="false">IFERROR(S1259/Q1259,0)</f>
        <v>0.274887134606169</v>
      </c>
      <c r="U1259" s="15" t="str">
        <f aca="false">TEXT(A1259,"yyyy-mm")</f>
        <v>2022-04</v>
      </c>
    </row>
    <row r="1260" customFormat="false" ht="15" hidden="false" customHeight="false" outlineLevel="0" collapsed="false">
      <c r="A1260" s="10" t="n">
        <v>44669</v>
      </c>
      <c r="B1260" s="11" t="s">
        <v>1392</v>
      </c>
      <c r="C1260" s="11" t="s">
        <v>111</v>
      </c>
      <c r="D1260" s="11" t="s">
        <v>67</v>
      </c>
      <c r="E1260" s="11" t="s">
        <v>79</v>
      </c>
      <c r="F1260" s="12" t="n">
        <v>3545808</v>
      </c>
      <c r="G1260" s="12" t="n">
        <v>3350000</v>
      </c>
      <c r="H1260" s="11" t="n">
        <v>6</v>
      </c>
      <c r="I1260" s="11" t="s">
        <v>69</v>
      </c>
      <c r="J1260" s="11" t="s">
        <v>70</v>
      </c>
      <c r="K1260" s="11" t="s">
        <v>71</v>
      </c>
      <c r="L1260" s="11" t="s">
        <v>72</v>
      </c>
      <c r="M1260" s="11" t="s">
        <v>73</v>
      </c>
      <c r="N1260" s="11" t="s">
        <v>173</v>
      </c>
      <c r="O1260" s="11" t="s">
        <v>174</v>
      </c>
      <c r="P1260" s="11" t="s">
        <v>95</v>
      </c>
      <c r="Q1260" s="13" t="n">
        <f aca="false">F1260*H1260</f>
        <v>21274848</v>
      </c>
      <c r="R1260" s="13" t="n">
        <f aca="false">G1260*H1260</f>
        <v>20100000</v>
      </c>
      <c r="S1260" s="13" t="n">
        <f aca="false">Q1260-R1260</f>
        <v>1174848</v>
      </c>
      <c r="T1260" s="14" t="n">
        <f aca="false">IFERROR(S1260/Q1260,0)</f>
        <v>0.0552223921881839</v>
      </c>
      <c r="U1260" s="15" t="str">
        <f aca="false">TEXT(A1260,"yyyy-mm")</f>
        <v>2022-04</v>
      </c>
    </row>
    <row r="1261" customFormat="false" ht="15" hidden="false" customHeight="false" outlineLevel="0" collapsed="false">
      <c r="A1261" s="10" t="n">
        <v>44669</v>
      </c>
      <c r="B1261" s="11" t="s">
        <v>1393</v>
      </c>
      <c r="C1261" s="11" t="s">
        <v>115</v>
      </c>
      <c r="D1261" s="11" t="s">
        <v>67</v>
      </c>
      <c r="E1261" s="11" t="s">
        <v>98</v>
      </c>
      <c r="F1261" s="12" t="n">
        <v>4200743</v>
      </c>
      <c r="G1261" s="12" t="n">
        <v>4101000</v>
      </c>
      <c r="H1261" s="11" t="n">
        <v>8</v>
      </c>
      <c r="I1261" s="11" t="s">
        <v>69</v>
      </c>
      <c r="J1261" s="11" t="s">
        <v>112</v>
      </c>
      <c r="K1261" s="11" t="s">
        <v>113</v>
      </c>
      <c r="L1261" s="11" t="s">
        <v>82</v>
      </c>
      <c r="M1261" s="11" t="s">
        <v>157</v>
      </c>
      <c r="N1261" s="11" t="s">
        <v>93</v>
      </c>
      <c r="O1261" s="11" t="s">
        <v>94</v>
      </c>
      <c r="P1261" s="11" t="s">
        <v>95</v>
      </c>
      <c r="Q1261" s="13" t="n">
        <f aca="false">F1261*H1261</f>
        <v>33605944</v>
      </c>
      <c r="R1261" s="13" t="n">
        <f aca="false">G1261*H1261</f>
        <v>32808000</v>
      </c>
      <c r="S1261" s="13" t="n">
        <f aca="false">Q1261-R1261</f>
        <v>797944</v>
      </c>
      <c r="T1261" s="14" t="n">
        <f aca="false">IFERROR(S1261/Q1261,0)</f>
        <v>0.023744132883159</v>
      </c>
      <c r="U1261" s="15" t="str">
        <f aca="false">TEXT(A1261,"yyyy-mm")</f>
        <v>2022-04</v>
      </c>
    </row>
    <row r="1262" customFormat="false" ht="15" hidden="false" customHeight="false" outlineLevel="0" collapsed="false">
      <c r="A1262" s="10" t="n">
        <v>44670</v>
      </c>
      <c r="B1262" s="11" t="s">
        <v>1394</v>
      </c>
      <c r="C1262" s="11" t="s">
        <v>117</v>
      </c>
      <c r="D1262" s="11" t="s">
        <v>118</v>
      </c>
      <c r="E1262" s="11" t="s">
        <v>119</v>
      </c>
      <c r="F1262" s="12" t="n">
        <v>8220549</v>
      </c>
      <c r="G1262" s="12" t="n">
        <v>6500000</v>
      </c>
      <c r="H1262" s="11" t="n">
        <v>22</v>
      </c>
      <c r="I1262" s="11" t="s">
        <v>69</v>
      </c>
      <c r="J1262" s="11" t="s">
        <v>70</v>
      </c>
      <c r="K1262" s="11" t="s">
        <v>71</v>
      </c>
      <c r="L1262" s="11" t="s">
        <v>72</v>
      </c>
      <c r="M1262" s="11" t="s">
        <v>73</v>
      </c>
      <c r="N1262" s="11" t="s">
        <v>109</v>
      </c>
      <c r="O1262" s="11" t="s">
        <v>75</v>
      </c>
      <c r="P1262" s="11" t="s">
        <v>95</v>
      </c>
      <c r="Q1262" s="13" t="n">
        <f aca="false">F1262*H1262</f>
        <v>180852078</v>
      </c>
      <c r="R1262" s="13" t="n">
        <f aca="false">G1262*H1262</f>
        <v>143000000</v>
      </c>
      <c r="S1262" s="13" t="n">
        <f aca="false">Q1262-R1262</f>
        <v>37852078</v>
      </c>
      <c r="T1262" s="14" t="n">
        <f aca="false">IFERROR(S1262/Q1262,0)</f>
        <v>0.209298551714733</v>
      </c>
      <c r="U1262" s="15" t="str">
        <f aca="false">TEXT(A1262,"yyyy-mm")</f>
        <v>2022-04</v>
      </c>
    </row>
    <row r="1263" customFormat="false" ht="15" hidden="false" customHeight="false" outlineLevel="0" collapsed="false">
      <c r="A1263" s="10" t="n">
        <v>44670</v>
      </c>
      <c r="B1263" s="11" t="s">
        <v>1395</v>
      </c>
      <c r="C1263" s="11" t="s">
        <v>121</v>
      </c>
      <c r="D1263" s="11" t="s">
        <v>118</v>
      </c>
      <c r="E1263" s="11" t="s">
        <v>122</v>
      </c>
      <c r="F1263" s="12" t="n">
        <v>7687274</v>
      </c>
      <c r="G1263" s="12" t="n">
        <v>6500000</v>
      </c>
      <c r="H1263" s="11" t="n">
        <v>15</v>
      </c>
      <c r="I1263" s="11" t="s">
        <v>69</v>
      </c>
      <c r="J1263" s="11" t="s">
        <v>80</v>
      </c>
      <c r="K1263" s="11" t="s">
        <v>81</v>
      </c>
      <c r="L1263" s="11" t="s">
        <v>82</v>
      </c>
      <c r="M1263" s="11" t="s">
        <v>73</v>
      </c>
      <c r="N1263" s="11" t="s">
        <v>74</v>
      </c>
      <c r="O1263" s="11" t="s">
        <v>75</v>
      </c>
      <c r="P1263" s="11" t="s">
        <v>76</v>
      </c>
      <c r="Q1263" s="13" t="n">
        <f aca="false">F1263*H1263</f>
        <v>115309110</v>
      </c>
      <c r="R1263" s="13" t="n">
        <f aca="false">G1263*H1263</f>
        <v>97500000</v>
      </c>
      <c r="S1263" s="13" t="n">
        <f aca="false">Q1263-R1263</f>
        <v>17809110</v>
      </c>
      <c r="T1263" s="14" t="n">
        <f aca="false">IFERROR(S1263/Q1263,0)</f>
        <v>0.154446686822923</v>
      </c>
      <c r="U1263" s="15" t="str">
        <f aca="false">TEXT(A1263,"yyyy-mm")</f>
        <v>2022-04</v>
      </c>
    </row>
    <row r="1264" customFormat="false" ht="15" hidden="false" customHeight="false" outlineLevel="0" collapsed="false">
      <c r="A1264" s="10" t="n">
        <v>44671</v>
      </c>
      <c r="B1264" s="11" t="s">
        <v>1396</v>
      </c>
      <c r="C1264" s="11" t="s">
        <v>125</v>
      </c>
      <c r="D1264" s="11" t="s">
        <v>118</v>
      </c>
      <c r="E1264" s="11" t="s">
        <v>126</v>
      </c>
      <c r="F1264" s="12" t="n">
        <v>5684211</v>
      </c>
      <c r="G1264" s="12" t="n">
        <v>4300000</v>
      </c>
      <c r="H1264" s="11" t="n">
        <v>7</v>
      </c>
      <c r="I1264" s="11" t="s">
        <v>69</v>
      </c>
      <c r="J1264" s="11" t="s">
        <v>112</v>
      </c>
      <c r="K1264" s="11" t="s">
        <v>113</v>
      </c>
      <c r="L1264" s="11" t="s">
        <v>82</v>
      </c>
      <c r="M1264" s="11" t="s">
        <v>157</v>
      </c>
      <c r="N1264" s="11" t="s">
        <v>109</v>
      </c>
      <c r="O1264" s="11" t="s">
        <v>75</v>
      </c>
      <c r="P1264" s="11" t="s">
        <v>95</v>
      </c>
      <c r="Q1264" s="13" t="n">
        <f aca="false">F1264*H1264</f>
        <v>39789477</v>
      </c>
      <c r="R1264" s="13" t="n">
        <f aca="false">G1264*H1264</f>
        <v>30100000</v>
      </c>
      <c r="S1264" s="13" t="n">
        <f aca="false">Q1264-R1264</f>
        <v>9689477</v>
      </c>
      <c r="T1264" s="14" t="n">
        <f aca="false">IFERROR(S1264/Q1264,0)</f>
        <v>0.243518581558637</v>
      </c>
      <c r="U1264" s="15" t="str">
        <f aca="false">TEXT(A1264,"yyyy-mm")</f>
        <v>2022-04</v>
      </c>
    </row>
    <row r="1265" customFormat="false" ht="15" hidden="false" customHeight="false" outlineLevel="0" collapsed="false">
      <c r="A1265" s="10" t="n">
        <v>44671</v>
      </c>
      <c r="B1265" s="11" t="s">
        <v>1397</v>
      </c>
      <c r="C1265" s="11" t="s">
        <v>128</v>
      </c>
      <c r="D1265" s="11" t="s">
        <v>118</v>
      </c>
      <c r="E1265" s="11" t="s">
        <v>119</v>
      </c>
      <c r="F1265" s="12" t="n">
        <v>3370302</v>
      </c>
      <c r="G1265" s="12" t="n">
        <v>2100000</v>
      </c>
      <c r="H1265" s="11" t="n">
        <v>33</v>
      </c>
      <c r="I1265" s="11" t="s">
        <v>69</v>
      </c>
      <c r="J1265" s="11" t="s">
        <v>70</v>
      </c>
      <c r="K1265" s="11" t="s">
        <v>71</v>
      </c>
      <c r="L1265" s="11" t="s">
        <v>72</v>
      </c>
      <c r="M1265" s="11" t="s">
        <v>73</v>
      </c>
      <c r="N1265" s="11" t="s">
        <v>133</v>
      </c>
      <c r="O1265" s="11" t="s">
        <v>60</v>
      </c>
      <c r="P1265" s="11" t="s">
        <v>76</v>
      </c>
      <c r="Q1265" s="13" t="n">
        <f aca="false">F1265*H1265</f>
        <v>111219966</v>
      </c>
      <c r="R1265" s="13" t="n">
        <f aca="false">G1265*H1265</f>
        <v>69300000</v>
      </c>
      <c r="S1265" s="13" t="n">
        <f aca="false">Q1265-R1265</f>
        <v>41919966</v>
      </c>
      <c r="T1265" s="14" t="n">
        <f aca="false">IFERROR(S1265/Q1265,0)</f>
        <v>0.37691043710623</v>
      </c>
      <c r="U1265" s="15" t="str">
        <f aca="false">TEXT(A1265,"yyyy-mm")</f>
        <v>2022-04</v>
      </c>
    </row>
    <row r="1266" customFormat="false" ht="15" hidden="false" customHeight="false" outlineLevel="0" collapsed="false">
      <c r="A1266" s="10" t="n">
        <v>44671</v>
      </c>
      <c r="B1266" s="11" t="s">
        <v>1398</v>
      </c>
      <c r="C1266" s="11" t="s">
        <v>130</v>
      </c>
      <c r="D1266" s="11" t="s">
        <v>118</v>
      </c>
      <c r="E1266" s="11" t="s">
        <v>68</v>
      </c>
      <c r="F1266" s="12" t="n">
        <v>2852897</v>
      </c>
      <c r="G1266" s="12" t="n">
        <v>2450000</v>
      </c>
      <c r="H1266" s="11" t="n">
        <v>12</v>
      </c>
      <c r="I1266" s="11" t="s">
        <v>86</v>
      </c>
      <c r="J1266" s="11" t="s">
        <v>87</v>
      </c>
      <c r="K1266" s="11" t="s">
        <v>88</v>
      </c>
      <c r="L1266" s="11" t="s">
        <v>89</v>
      </c>
      <c r="M1266" s="11" t="s">
        <v>90</v>
      </c>
      <c r="N1266" s="11" t="s">
        <v>133</v>
      </c>
      <c r="O1266" s="11" t="s">
        <v>60</v>
      </c>
      <c r="P1266" s="11" t="s">
        <v>76</v>
      </c>
      <c r="Q1266" s="13" t="n">
        <f aca="false">F1266*H1266</f>
        <v>34234764</v>
      </c>
      <c r="R1266" s="13" t="n">
        <f aca="false">G1266*H1266</f>
        <v>29400000</v>
      </c>
      <c r="S1266" s="13" t="n">
        <f aca="false">Q1266-R1266</f>
        <v>4834764</v>
      </c>
      <c r="T1266" s="14" t="n">
        <f aca="false">IFERROR(S1266/Q1266,0)</f>
        <v>0.141223815651249</v>
      </c>
      <c r="U1266" s="15" t="str">
        <f aca="false">TEXT(A1266,"yyyy-mm")</f>
        <v>2022-04</v>
      </c>
    </row>
    <row r="1267" customFormat="false" ht="15" hidden="false" customHeight="false" outlineLevel="0" collapsed="false">
      <c r="A1267" s="10" t="n">
        <v>44671</v>
      </c>
      <c r="B1267" s="11" t="s">
        <v>1399</v>
      </c>
      <c r="C1267" s="11" t="s">
        <v>132</v>
      </c>
      <c r="D1267" s="11" t="s">
        <v>118</v>
      </c>
      <c r="E1267" s="11" t="s">
        <v>68</v>
      </c>
      <c r="F1267" s="12" t="n">
        <v>4803603</v>
      </c>
      <c r="G1267" s="12" t="n">
        <v>4121000</v>
      </c>
      <c r="H1267" s="11" t="n">
        <v>21</v>
      </c>
      <c r="I1267" s="11" t="s">
        <v>69</v>
      </c>
      <c r="J1267" s="11" t="s">
        <v>80</v>
      </c>
      <c r="K1267" s="11" t="s">
        <v>81</v>
      </c>
      <c r="L1267" s="11" t="s">
        <v>82</v>
      </c>
      <c r="M1267" s="11" t="s">
        <v>73</v>
      </c>
      <c r="N1267" s="11" t="s">
        <v>74</v>
      </c>
      <c r="O1267" s="11" t="s">
        <v>75</v>
      </c>
      <c r="P1267" s="11" t="s">
        <v>76</v>
      </c>
      <c r="Q1267" s="13" t="n">
        <f aca="false">F1267*H1267</f>
        <v>100875663</v>
      </c>
      <c r="R1267" s="13" t="n">
        <f aca="false">G1267*H1267</f>
        <v>86541000</v>
      </c>
      <c r="S1267" s="13" t="n">
        <f aca="false">Q1267-R1267</f>
        <v>14334663</v>
      </c>
      <c r="T1267" s="14" t="n">
        <f aca="false">IFERROR(S1267/Q1267,0)</f>
        <v>0.142102292799801</v>
      </c>
      <c r="U1267" s="15" t="str">
        <f aca="false">TEXT(A1267,"yyyy-mm")</f>
        <v>2022-04</v>
      </c>
    </row>
    <row r="1268" customFormat="false" ht="15" hidden="false" customHeight="false" outlineLevel="0" collapsed="false">
      <c r="A1268" s="10" t="n">
        <v>44671</v>
      </c>
      <c r="B1268" s="11" t="s">
        <v>1400</v>
      </c>
      <c r="C1268" s="11" t="s">
        <v>135</v>
      </c>
      <c r="D1268" s="11" t="s">
        <v>118</v>
      </c>
      <c r="E1268" s="11" t="s">
        <v>68</v>
      </c>
      <c r="F1268" s="12" t="n">
        <v>5689947</v>
      </c>
      <c r="G1268" s="12" t="n">
        <v>5235000</v>
      </c>
      <c r="H1268" s="11" t="n">
        <v>28</v>
      </c>
      <c r="I1268" s="11" t="s">
        <v>69</v>
      </c>
      <c r="J1268" s="11" t="s">
        <v>112</v>
      </c>
      <c r="K1268" s="11" t="s">
        <v>113</v>
      </c>
      <c r="L1268" s="11" t="s">
        <v>82</v>
      </c>
      <c r="M1268" s="11" t="s">
        <v>157</v>
      </c>
      <c r="N1268" s="11" t="s">
        <v>149</v>
      </c>
      <c r="O1268" s="11" t="s">
        <v>150</v>
      </c>
      <c r="P1268" s="11" t="s">
        <v>151</v>
      </c>
      <c r="Q1268" s="13" t="n">
        <f aca="false">F1268*H1268</f>
        <v>159318516</v>
      </c>
      <c r="R1268" s="13" t="n">
        <f aca="false">G1268*H1268</f>
        <v>146580000</v>
      </c>
      <c r="S1268" s="13" t="n">
        <f aca="false">Q1268-R1268</f>
        <v>12738516</v>
      </c>
      <c r="T1268" s="14" t="n">
        <f aca="false">IFERROR(S1268/Q1268,0)</f>
        <v>0.0799562807878527</v>
      </c>
      <c r="U1268" s="15" t="str">
        <f aca="false">TEXT(A1268,"yyyy-mm")</f>
        <v>2022-04</v>
      </c>
    </row>
    <row r="1269" customFormat="false" ht="15" hidden="false" customHeight="false" outlineLevel="0" collapsed="false">
      <c r="A1269" s="10" t="n">
        <v>44671</v>
      </c>
      <c r="B1269" s="11" t="s">
        <v>1401</v>
      </c>
      <c r="C1269" s="11" t="s">
        <v>137</v>
      </c>
      <c r="D1269" s="11" t="s">
        <v>138</v>
      </c>
      <c r="E1269" s="11" t="s">
        <v>139</v>
      </c>
      <c r="F1269" s="12" t="n">
        <v>5171827</v>
      </c>
      <c r="G1269" s="12" t="n">
        <v>4890000</v>
      </c>
      <c r="H1269" s="11" t="n">
        <v>7</v>
      </c>
      <c r="I1269" s="11" t="s">
        <v>86</v>
      </c>
      <c r="J1269" s="11" t="s">
        <v>87</v>
      </c>
      <c r="K1269" s="11" t="s">
        <v>88</v>
      </c>
      <c r="L1269" s="11" t="s">
        <v>89</v>
      </c>
      <c r="M1269" s="11" t="s">
        <v>90</v>
      </c>
      <c r="N1269" s="11" t="s">
        <v>99</v>
      </c>
      <c r="O1269" s="11" t="s">
        <v>100</v>
      </c>
      <c r="P1269" s="11" t="s">
        <v>101</v>
      </c>
      <c r="Q1269" s="13" t="n">
        <f aca="false">F1269*H1269</f>
        <v>36202789</v>
      </c>
      <c r="R1269" s="13" t="n">
        <f aca="false">G1269*H1269</f>
        <v>34230000</v>
      </c>
      <c r="S1269" s="13" t="n">
        <f aca="false">Q1269-R1269</f>
        <v>1972789</v>
      </c>
      <c r="T1269" s="14" t="n">
        <f aca="false">IFERROR(S1269/Q1269,0)</f>
        <v>0.0544927353525166</v>
      </c>
      <c r="U1269" s="15" t="str">
        <f aca="false">TEXT(A1269,"yyyy-mm")</f>
        <v>2022-04</v>
      </c>
    </row>
    <row r="1270" customFormat="false" ht="15" hidden="false" customHeight="false" outlineLevel="0" collapsed="false">
      <c r="A1270" s="10" t="n">
        <v>44672</v>
      </c>
      <c r="B1270" s="11" t="s">
        <v>1402</v>
      </c>
      <c r="C1270" s="11" t="s">
        <v>141</v>
      </c>
      <c r="D1270" s="11" t="s">
        <v>138</v>
      </c>
      <c r="E1270" s="11" t="s">
        <v>142</v>
      </c>
      <c r="F1270" s="12" t="n">
        <v>2805124</v>
      </c>
      <c r="G1270" s="12" t="n">
        <v>2178000</v>
      </c>
      <c r="H1270" s="11" t="n">
        <v>7</v>
      </c>
      <c r="I1270" s="11" t="s">
        <v>69</v>
      </c>
      <c r="J1270" s="11" t="s">
        <v>70</v>
      </c>
      <c r="K1270" s="11" t="s">
        <v>71</v>
      </c>
      <c r="L1270" s="11" t="s">
        <v>72</v>
      </c>
      <c r="M1270" s="11" t="s">
        <v>73</v>
      </c>
      <c r="N1270" s="11" t="s">
        <v>123</v>
      </c>
      <c r="O1270" s="11" t="s">
        <v>60</v>
      </c>
      <c r="P1270" s="11" t="s">
        <v>106</v>
      </c>
      <c r="Q1270" s="13" t="n">
        <f aca="false">F1270*H1270</f>
        <v>19635868</v>
      </c>
      <c r="R1270" s="13" t="n">
        <f aca="false">G1270*H1270</f>
        <v>15246000</v>
      </c>
      <c r="S1270" s="13" t="n">
        <f aca="false">Q1270-R1270</f>
        <v>4389868</v>
      </c>
      <c r="T1270" s="14" t="n">
        <f aca="false">IFERROR(S1270/Q1270,0)</f>
        <v>0.22356373550688</v>
      </c>
      <c r="U1270" s="15" t="str">
        <f aca="false">TEXT(A1270,"yyyy-mm")</f>
        <v>2022-04</v>
      </c>
    </row>
    <row r="1271" customFormat="false" ht="15" hidden="false" customHeight="false" outlineLevel="0" collapsed="false">
      <c r="A1271" s="10" t="n">
        <v>44674</v>
      </c>
      <c r="B1271" s="11" t="s">
        <v>1403</v>
      </c>
      <c r="C1271" s="11" t="s">
        <v>146</v>
      </c>
      <c r="D1271" s="11" t="s">
        <v>138</v>
      </c>
      <c r="E1271" s="11" t="s">
        <v>139</v>
      </c>
      <c r="F1271" s="12" t="n">
        <v>2728100</v>
      </c>
      <c r="G1271" s="12" t="n">
        <v>2321000</v>
      </c>
      <c r="H1271" s="11" t="n">
        <v>5</v>
      </c>
      <c r="I1271" s="11" t="s">
        <v>69</v>
      </c>
      <c r="J1271" s="11" t="s">
        <v>112</v>
      </c>
      <c r="K1271" s="11" t="s">
        <v>113</v>
      </c>
      <c r="L1271" s="11" t="s">
        <v>82</v>
      </c>
      <c r="M1271" s="11" t="s">
        <v>157</v>
      </c>
      <c r="N1271" s="11" t="s">
        <v>74</v>
      </c>
      <c r="O1271" s="11" t="s">
        <v>75</v>
      </c>
      <c r="P1271" s="11" t="s">
        <v>76</v>
      </c>
      <c r="Q1271" s="13" t="n">
        <f aca="false">F1271*H1271</f>
        <v>13640500</v>
      </c>
      <c r="R1271" s="13" t="n">
        <f aca="false">G1271*H1271</f>
        <v>11605000</v>
      </c>
      <c r="S1271" s="13" t="n">
        <f aca="false">Q1271-R1271</f>
        <v>2035500</v>
      </c>
      <c r="T1271" s="14" t="n">
        <f aca="false">IFERROR(S1271/Q1271,0)</f>
        <v>0.149224735163667</v>
      </c>
      <c r="U1271" s="15" t="str">
        <f aca="false">TEXT(A1271,"yyyy-mm")</f>
        <v>2022-04</v>
      </c>
    </row>
    <row r="1272" customFormat="false" ht="15" hidden="false" customHeight="false" outlineLevel="0" collapsed="false">
      <c r="A1272" s="10" t="n">
        <v>44674</v>
      </c>
      <c r="B1272" s="11" t="s">
        <v>1404</v>
      </c>
      <c r="C1272" s="11" t="s">
        <v>148</v>
      </c>
      <c r="D1272" s="11" t="s">
        <v>138</v>
      </c>
      <c r="E1272" s="11" t="s">
        <v>122</v>
      </c>
      <c r="F1272" s="12" t="n">
        <v>4941716</v>
      </c>
      <c r="G1272" s="12" t="n">
        <v>4456000</v>
      </c>
      <c r="H1272" s="11" t="n">
        <v>7</v>
      </c>
      <c r="I1272" s="11" t="s">
        <v>69</v>
      </c>
      <c r="J1272" s="11" t="s">
        <v>112</v>
      </c>
      <c r="K1272" s="11" t="s">
        <v>113</v>
      </c>
      <c r="L1272" s="11" t="s">
        <v>82</v>
      </c>
      <c r="M1272" s="11" t="s">
        <v>157</v>
      </c>
      <c r="N1272" s="11" t="s">
        <v>99</v>
      </c>
      <c r="O1272" s="11" t="s">
        <v>100</v>
      </c>
      <c r="P1272" s="11" t="s">
        <v>101</v>
      </c>
      <c r="Q1272" s="13" t="n">
        <f aca="false">F1272*H1272</f>
        <v>34592012</v>
      </c>
      <c r="R1272" s="13" t="n">
        <f aca="false">G1272*H1272</f>
        <v>31192000</v>
      </c>
      <c r="S1272" s="13" t="n">
        <f aca="false">Q1272-R1272</f>
        <v>3400012</v>
      </c>
      <c r="T1272" s="14" t="n">
        <f aca="false">IFERROR(S1272/Q1272,0)</f>
        <v>0.0982889344511097</v>
      </c>
      <c r="U1272" s="15" t="str">
        <f aca="false">TEXT(A1272,"yyyy-mm")</f>
        <v>2022-04</v>
      </c>
    </row>
    <row r="1273" customFormat="false" ht="15" hidden="false" customHeight="false" outlineLevel="0" collapsed="false">
      <c r="A1273" s="10" t="n">
        <v>44674</v>
      </c>
      <c r="B1273" s="11" t="s">
        <v>1405</v>
      </c>
      <c r="C1273" s="11" t="s">
        <v>66</v>
      </c>
      <c r="D1273" s="11" t="s">
        <v>67</v>
      </c>
      <c r="E1273" s="11" t="s">
        <v>68</v>
      </c>
      <c r="F1273" s="12" t="n">
        <v>3048952</v>
      </c>
      <c r="G1273" s="12" t="n">
        <v>2560000</v>
      </c>
      <c r="H1273" s="11" t="n">
        <v>16</v>
      </c>
      <c r="I1273" s="11" t="s">
        <v>69</v>
      </c>
      <c r="J1273" s="11" t="s">
        <v>80</v>
      </c>
      <c r="K1273" s="11" t="s">
        <v>81</v>
      </c>
      <c r="L1273" s="11" t="s">
        <v>82</v>
      </c>
      <c r="M1273" s="11" t="s">
        <v>73</v>
      </c>
      <c r="N1273" s="11" t="s">
        <v>109</v>
      </c>
      <c r="O1273" s="11" t="s">
        <v>75</v>
      </c>
      <c r="P1273" s="11" t="s">
        <v>95</v>
      </c>
      <c r="Q1273" s="13" t="n">
        <f aca="false">F1273*H1273</f>
        <v>48783232</v>
      </c>
      <c r="R1273" s="13" t="n">
        <f aca="false">G1273*H1273</f>
        <v>40960000</v>
      </c>
      <c r="S1273" s="13" t="n">
        <f aca="false">Q1273-R1273</f>
        <v>7823232</v>
      </c>
      <c r="T1273" s="14" t="n">
        <f aca="false">IFERROR(S1273/Q1273,0)</f>
        <v>0.160367234380863</v>
      </c>
      <c r="U1273" s="15" t="str">
        <f aca="false">TEXT(A1273,"yyyy-mm")</f>
        <v>2022-04</v>
      </c>
    </row>
    <row r="1274" customFormat="false" ht="15" hidden="false" customHeight="false" outlineLevel="0" collapsed="false">
      <c r="A1274" s="10" t="n">
        <v>44674</v>
      </c>
      <c r="B1274" s="11" t="s">
        <v>1406</v>
      </c>
      <c r="C1274" s="11" t="s">
        <v>78</v>
      </c>
      <c r="D1274" s="11" t="s">
        <v>67</v>
      </c>
      <c r="E1274" s="11" t="s">
        <v>79</v>
      </c>
      <c r="F1274" s="12" t="n">
        <v>1870000</v>
      </c>
      <c r="G1274" s="12" t="n">
        <v>1650000</v>
      </c>
      <c r="H1274" s="11" t="n">
        <v>16</v>
      </c>
      <c r="I1274" s="11" t="s">
        <v>69</v>
      </c>
      <c r="J1274" s="11" t="s">
        <v>80</v>
      </c>
      <c r="K1274" s="11" t="s">
        <v>81</v>
      </c>
      <c r="L1274" s="11" t="s">
        <v>82</v>
      </c>
      <c r="M1274" s="11" t="s">
        <v>73</v>
      </c>
      <c r="N1274" s="11" t="s">
        <v>173</v>
      </c>
      <c r="O1274" s="11" t="s">
        <v>174</v>
      </c>
      <c r="P1274" s="11" t="s">
        <v>95</v>
      </c>
      <c r="Q1274" s="13" t="n">
        <f aca="false">F1274*H1274</f>
        <v>29920000</v>
      </c>
      <c r="R1274" s="13" t="n">
        <f aca="false">G1274*H1274</f>
        <v>26400000</v>
      </c>
      <c r="S1274" s="13" t="n">
        <f aca="false">Q1274-R1274</f>
        <v>3520000</v>
      </c>
      <c r="T1274" s="14" t="n">
        <f aca="false">IFERROR(S1274/Q1274,0)</f>
        <v>0.117647058823529</v>
      </c>
      <c r="U1274" s="15" t="str">
        <f aca="false">TEXT(A1274,"yyyy-mm")</f>
        <v>2022-04</v>
      </c>
    </row>
    <row r="1275" customFormat="false" ht="15" hidden="false" customHeight="false" outlineLevel="0" collapsed="false">
      <c r="A1275" s="10" t="n">
        <v>44674</v>
      </c>
      <c r="B1275" s="11" t="s">
        <v>1407</v>
      </c>
      <c r="C1275" s="11" t="s">
        <v>84</v>
      </c>
      <c r="D1275" s="11" t="s">
        <v>67</v>
      </c>
      <c r="E1275" s="11" t="s">
        <v>85</v>
      </c>
      <c r="F1275" s="12" t="n">
        <v>2600000</v>
      </c>
      <c r="G1275" s="12" t="n">
        <v>2300000</v>
      </c>
      <c r="H1275" s="11" t="n">
        <v>16</v>
      </c>
      <c r="I1275" s="11" t="s">
        <v>69</v>
      </c>
      <c r="J1275" s="11" t="s">
        <v>80</v>
      </c>
      <c r="K1275" s="11" t="s">
        <v>81</v>
      </c>
      <c r="L1275" s="11" t="s">
        <v>82</v>
      </c>
      <c r="M1275" s="11" t="s">
        <v>73</v>
      </c>
      <c r="N1275" s="11" t="s">
        <v>123</v>
      </c>
      <c r="O1275" s="11" t="s">
        <v>60</v>
      </c>
      <c r="P1275" s="11" t="s">
        <v>106</v>
      </c>
      <c r="Q1275" s="13" t="n">
        <f aca="false">F1275*H1275</f>
        <v>41600000</v>
      </c>
      <c r="R1275" s="13" t="n">
        <f aca="false">G1275*H1275</f>
        <v>36800000</v>
      </c>
      <c r="S1275" s="13" t="n">
        <f aca="false">Q1275-R1275</f>
        <v>4800000</v>
      </c>
      <c r="T1275" s="14" t="n">
        <f aca="false">IFERROR(S1275/Q1275,0)</f>
        <v>0.115384615384615</v>
      </c>
      <c r="U1275" s="15" t="str">
        <f aca="false">TEXT(A1275,"yyyy-mm")</f>
        <v>2022-04</v>
      </c>
    </row>
    <row r="1276" customFormat="false" ht="15" hidden="false" customHeight="false" outlineLevel="0" collapsed="false">
      <c r="A1276" s="10" t="n">
        <v>44675</v>
      </c>
      <c r="B1276" s="11" t="s">
        <v>1408</v>
      </c>
      <c r="C1276" s="11" t="s">
        <v>92</v>
      </c>
      <c r="D1276" s="11" t="s">
        <v>67</v>
      </c>
      <c r="E1276" s="11" t="s">
        <v>79</v>
      </c>
      <c r="F1276" s="12" t="n">
        <v>3577480</v>
      </c>
      <c r="G1276" s="12" t="n">
        <v>3100000</v>
      </c>
      <c r="H1276" s="11" t="n">
        <v>23</v>
      </c>
      <c r="I1276" s="11" t="s">
        <v>69</v>
      </c>
      <c r="J1276" s="11" t="s">
        <v>112</v>
      </c>
      <c r="K1276" s="11" t="s">
        <v>113</v>
      </c>
      <c r="L1276" s="11" t="s">
        <v>82</v>
      </c>
      <c r="M1276" s="11" t="s">
        <v>157</v>
      </c>
      <c r="N1276" s="11" t="s">
        <v>133</v>
      </c>
      <c r="O1276" s="11" t="s">
        <v>60</v>
      </c>
      <c r="P1276" s="11" t="s">
        <v>76</v>
      </c>
      <c r="Q1276" s="13" t="n">
        <f aca="false">F1276*H1276</f>
        <v>82282040</v>
      </c>
      <c r="R1276" s="13" t="n">
        <f aca="false">G1276*H1276</f>
        <v>71300000</v>
      </c>
      <c r="S1276" s="13" t="n">
        <f aca="false">Q1276-R1276</f>
        <v>10982040</v>
      </c>
      <c r="T1276" s="14" t="n">
        <f aca="false">IFERROR(S1276/Q1276,0)</f>
        <v>0.133468251394837</v>
      </c>
      <c r="U1276" s="15" t="str">
        <f aca="false">TEXT(A1276,"yyyy-mm")</f>
        <v>2022-04</v>
      </c>
    </row>
    <row r="1277" customFormat="false" ht="15" hidden="false" customHeight="false" outlineLevel="0" collapsed="false">
      <c r="A1277" s="10" t="n">
        <v>44676</v>
      </c>
      <c r="B1277" s="11" t="s">
        <v>1409</v>
      </c>
      <c r="C1277" s="11" t="s">
        <v>97</v>
      </c>
      <c r="D1277" s="11" t="s">
        <v>67</v>
      </c>
      <c r="E1277" s="11" t="s">
        <v>98</v>
      </c>
      <c r="F1277" s="12" t="n">
        <v>4969724</v>
      </c>
      <c r="G1277" s="12" t="n">
        <v>4121560</v>
      </c>
      <c r="H1277" s="11" t="n">
        <v>15</v>
      </c>
      <c r="I1277" s="11" t="s">
        <v>86</v>
      </c>
      <c r="J1277" s="11" t="s">
        <v>87</v>
      </c>
      <c r="K1277" s="11" t="s">
        <v>88</v>
      </c>
      <c r="L1277" s="11" t="s">
        <v>89</v>
      </c>
      <c r="M1277" s="11" t="s">
        <v>90</v>
      </c>
      <c r="N1277" s="11" t="s">
        <v>74</v>
      </c>
      <c r="O1277" s="11" t="s">
        <v>75</v>
      </c>
      <c r="P1277" s="11" t="s">
        <v>76</v>
      </c>
      <c r="Q1277" s="13" t="n">
        <f aca="false">F1277*H1277</f>
        <v>74545860</v>
      </c>
      <c r="R1277" s="13" t="n">
        <f aca="false">G1277*H1277</f>
        <v>61823400</v>
      </c>
      <c r="S1277" s="13" t="n">
        <f aca="false">Q1277-R1277</f>
        <v>12722460</v>
      </c>
      <c r="T1277" s="14" t="n">
        <f aca="false">IFERROR(S1277/Q1277,0)</f>
        <v>0.170666218083741</v>
      </c>
      <c r="U1277" s="15" t="str">
        <f aca="false">TEXT(A1277,"yyyy-mm")</f>
        <v>2022-04</v>
      </c>
    </row>
    <row r="1278" customFormat="false" ht="15" hidden="false" customHeight="false" outlineLevel="0" collapsed="false">
      <c r="A1278" s="10" t="n">
        <v>44676</v>
      </c>
      <c r="B1278" s="11" t="s">
        <v>1410</v>
      </c>
      <c r="C1278" s="11" t="s">
        <v>103</v>
      </c>
      <c r="D1278" s="11" t="s">
        <v>67</v>
      </c>
      <c r="E1278" s="11" t="s">
        <v>68</v>
      </c>
      <c r="F1278" s="12" t="n">
        <v>3319925</v>
      </c>
      <c r="G1278" s="12" t="n">
        <v>2800000</v>
      </c>
      <c r="H1278" s="11" t="n">
        <v>1</v>
      </c>
      <c r="I1278" s="11" t="s">
        <v>69</v>
      </c>
      <c r="J1278" s="11" t="s">
        <v>80</v>
      </c>
      <c r="K1278" s="11" t="s">
        <v>81</v>
      </c>
      <c r="L1278" s="11" t="s">
        <v>82</v>
      </c>
      <c r="M1278" s="11" t="s">
        <v>73</v>
      </c>
      <c r="N1278" s="11" t="s">
        <v>133</v>
      </c>
      <c r="O1278" s="11" t="s">
        <v>60</v>
      </c>
      <c r="P1278" s="11" t="s">
        <v>76</v>
      </c>
      <c r="Q1278" s="13" t="n">
        <f aca="false">F1278*H1278</f>
        <v>3319925</v>
      </c>
      <c r="R1278" s="13" t="n">
        <f aca="false">G1278*H1278</f>
        <v>2800000</v>
      </c>
      <c r="S1278" s="13" t="n">
        <f aca="false">Q1278-R1278</f>
        <v>519925</v>
      </c>
      <c r="T1278" s="14" t="n">
        <f aca="false">IFERROR(S1278/Q1278,0)</f>
        <v>0.15660745348163</v>
      </c>
      <c r="U1278" s="15" t="str">
        <f aca="false">TEXT(A1278,"yyyy-mm")</f>
        <v>2022-04</v>
      </c>
    </row>
    <row r="1279" customFormat="false" ht="15" hidden="false" customHeight="false" outlineLevel="0" collapsed="false">
      <c r="A1279" s="10" t="n">
        <v>44676</v>
      </c>
      <c r="B1279" s="11" t="s">
        <v>1411</v>
      </c>
      <c r="C1279" s="11" t="s">
        <v>108</v>
      </c>
      <c r="D1279" s="11" t="s">
        <v>67</v>
      </c>
      <c r="E1279" s="11" t="s">
        <v>68</v>
      </c>
      <c r="F1279" s="12" t="n">
        <v>4757880</v>
      </c>
      <c r="G1279" s="12" t="n">
        <v>3450000</v>
      </c>
      <c r="H1279" s="11" t="n">
        <v>14</v>
      </c>
      <c r="I1279" s="11" t="s">
        <v>69</v>
      </c>
      <c r="J1279" s="11" t="s">
        <v>80</v>
      </c>
      <c r="K1279" s="11" t="s">
        <v>81</v>
      </c>
      <c r="L1279" s="11" t="s">
        <v>82</v>
      </c>
      <c r="M1279" s="11" t="s">
        <v>73</v>
      </c>
      <c r="N1279" s="11" t="s">
        <v>109</v>
      </c>
      <c r="O1279" s="11" t="s">
        <v>75</v>
      </c>
      <c r="P1279" s="11" t="s">
        <v>95</v>
      </c>
      <c r="Q1279" s="13" t="n">
        <f aca="false">F1279*H1279</f>
        <v>66610320</v>
      </c>
      <c r="R1279" s="13" t="n">
        <f aca="false">G1279*H1279</f>
        <v>48300000</v>
      </c>
      <c r="S1279" s="13" t="n">
        <f aca="false">Q1279-R1279</f>
        <v>18310320</v>
      </c>
      <c r="T1279" s="14" t="n">
        <f aca="false">IFERROR(S1279/Q1279,0)</f>
        <v>0.274887134606169</v>
      </c>
      <c r="U1279" s="15" t="str">
        <f aca="false">TEXT(A1279,"yyyy-mm")</f>
        <v>2022-04</v>
      </c>
    </row>
    <row r="1280" customFormat="false" ht="15" hidden="false" customHeight="false" outlineLevel="0" collapsed="false">
      <c r="A1280" s="10" t="n">
        <v>44677</v>
      </c>
      <c r="B1280" s="11" t="s">
        <v>1412</v>
      </c>
      <c r="C1280" s="11" t="s">
        <v>111</v>
      </c>
      <c r="D1280" s="11" t="s">
        <v>67</v>
      </c>
      <c r="E1280" s="11" t="s">
        <v>79</v>
      </c>
      <c r="F1280" s="12" t="n">
        <v>3545808</v>
      </c>
      <c r="G1280" s="12" t="n">
        <v>3350000</v>
      </c>
      <c r="H1280" s="11" t="n">
        <v>7</v>
      </c>
      <c r="I1280" s="11" t="s">
        <v>69</v>
      </c>
      <c r="J1280" s="11" t="s">
        <v>112</v>
      </c>
      <c r="K1280" s="11" t="s">
        <v>113</v>
      </c>
      <c r="L1280" s="11" t="s">
        <v>82</v>
      </c>
      <c r="M1280" s="11" t="s">
        <v>157</v>
      </c>
      <c r="N1280" s="11" t="s">
        <v>133</v>
      </c>
      <c r="O1280" s="11" t="s">
        <v>60</v>
      </c>
      <c r="P1280" s="11" t="s">
        <v>76</v>
      </c>
      <c r="Q1280" s="13" t="n">
        <f aca="false">F1280*H1280</f>
        <v>24820656</v>
      </c>
      <c r="R1280" s="13" t="n">
        <f aca="false">G1280*H1280</f>
        <v>23450000</v>
      </c>
      <c r="S1280" s="13" t="n">
        <f aca="false">Q1280-R1280</f>
        <v>1370656</v>
      </c>
      <c r="T1280" s="14" t="n">
        <f aca="false">IFERROR(S1280/Q1280,0)</f>
        <v>0.0552223921881839</v>
      </c>
      <c r="U1280" s="15" t="str">
        <f aca="false">TEXT(A1280,"yyyy-mm")</f>
        <v>2022-04</v>
      </c>
    </row>
    <row r="1281" customFormat="false" ht="15" hidden="false" customHeight="false" outlineLevel="0" collapsed="false">
      <c r="A1281" s="10" t="n">
        <v>44678</v>
      </c>
      <c r="B1281" s="11" t="s">
        <v>1413</v>
      </c>
      <c r="C1281" s="11" t="s">
        <v>115</v>
      </c>
      <c r="D1281" s="11" t="s">
        <v>67</v>
      </c>
      <c r="E1281" s="11" t="s">
        <v>98</v>
      </c>
      <c r="F1281" s="12" t="n">
        <v>4200743</v>
      </c>
      <c r="G1281" s="12" t="n">
        <v>4101000</v>
      </c>
      <c r="H1281" s="11" t="n">
        <v>7</v>
      </c>
      <c r="I1281" s="11" t="s">
        <v>69</v>
      </c>
      <c r="J1281" s="11" t="s">
        <v>80</v>
      </c>
      <c r="K1281" s="11" t="s">
        <v>81</v>
      </c>
      <c r="L1281" s="11" t="s">
        <v>82</v>
      </c>
      <c r="M1281" s="11" t="s">
        <v>73</v>
      </c>
      <c r="N1281" s="11" t="s">
        <v>173</v>
      </c>
      <c r="O1281" s="11" t="s">
        <v>174</v>
      </c>
      <c r="P1281" s="11" t="s">
        <v>95</v>
      </c>
      <c r="Q1281" s="13" t="n">
        <f aca="false">F1281*H1281</f>
        <v>29405201</v>
      </c>
      <c r="R1281" s="13" t="n">
        <f aca="false">G1281*H1281</f>
        <v>28707000</v>
      </c>
      <c r="S1281" s="13" t="n">
        <f aca="false">Q1281-R1281</f>
        <v>698201</v>
      </c>
      <c r="T1281" s="14" t="n">
        <f aca="false">IFERROR(S1281/Q1281,0)</f>
        <v>0.023744132883159</v>
      </c>
      <c r="U1281" s="15" t="str">
        <f aca="false">TEXT(A1281,"yyyy-mm")</f>
        <v>2022-04</v>
      </c>
    </row>
    <row r="1282" customFormat="false" ht="15" hidden="false" customHeight="false" outlineLevel="0" collapsed="false">
      <c r="A1282" s="10" t="n">
        <v>44678</v>
      </c>
      <c r="B1282" s="11" t="s">
        <v>1414</v>
      </c>
      <c r="C1282" s="11" t="s">
        <v>117</v>
      </c>
      <c r="D1282" s="11" t="s">
        <v>118</v>
      </c>
      <c r="E1282" s="11" t="s">
        <v>119</v>
      </c>
      <c r="F1282" s="12" t="n">
        <v>8220549</v>
      </c>
      <c r="G1282" s="12" t="n">
        <v>6500000</v>
      </c>
      <c r="H1282" s="11" t="n">
        <v>14</v>
      </c>
      <c r="I1282" s="11" t="s">
        <v>69</v>
      </c>
      <c r="J1282" s="11" t="s">
        <v>80</v>
      </c>
      <c r="K1282" s="11" t="s">
        <v>81</v>
      </c>
      <c r="L1282" s="11" t="s">
        <v>82</v>
      </c>
      <c r="M1282" s="11" t="s">
        <v>73</v>
      </c>
      <c r="N1282" s="11" t="s">
        <v>173</v>
      </c>
      <c r="O1282" s="11" t="s">
        <v>174</v>
      </c>
      <c r="P1282" s="11" t="s">
        <v>95</v>
      </c>
      <c r="Q1282" s="13" t="n">
        <f aca="false">F1282*H1282</f>
        <v>115087686</v>
      </c>
      <c r="R1282" s="13" t="n">
        <f aca="false">G1282*H1282</f>
        <v>91000000</v>
      </c>
      <c r="S1282" s="13" t="n">
        <f aca="false">Q1282-R1282</f>
        <v>24087686</v>
      </c>
      <c r="T1282" s="14" t="n">
        <f aca="false">IFERROR(S1282/Q1282,0)</f>
        <v>0.209298551714733</v>
      </c>
      <c r="U1282" s="15" t="str">
        <f aca="false">TEXT(A1282,"yyyy-mm")</f>
        <v>2022-04</v>
      </c>
    </row>
    <row r="1283" customFormat="false" ht="15" hidden="false" customHeight="false" outlineLevel="0" collapsed="false">
      <c r="A1283" s="10" t="n">
        <v>44679</v>
      </c>
      <c r="B1283" s="11" t="s">
        <v>1415</v>
      </c>
      <c r="C1283" s="11" t="s">
        <v>121</v>
      </c>
      <c r="D1283" s="11" t="s">
        <v>118</v>
      </c>
      <c r="E1283" s="11" t="s">
        <v>122</v>
      </c>
      <c r="F1283" s="12" t="n">
        <v>7687274</v>
      </c>
      <c r="G1283" s="12" t="n">
        <v>6500000</v>
      </c>
      <c r="H1283" s="11" t="n">
        <v>18</v>
      </c>
      <c r="I1283" s="11" t="s">
        <v>69</v>
      </c>
      <c r="J1283" s="11" t="s">
        <v>80</v>
      </c>
      <c r="K1283" s="11" t="s">
        <v>81</v>
      </c>
      <c r="L1283" s="11" t="s">
        <v>82</v>
      </c>
      <c r="M1283" s="11" t="s">
        <v>73</v>
      </c>
      <c r="N1283" s="11" t="s">
        <v>133</v>
      </c>
      <c r="O1283" s="11" t="s">
        <v>60</v>
      </c>
      <c r="P1283" s="11" t="s">
        <v>76</v>
      </c>
      <c r="Q1283" s="13" t="n">
        <f aca="false">F1283*H1283</f>
        <v>138370932</v>
      </c>
      <c r="R1283" s="13" t="n">
        <f aca="false">G1283*H1283</f>
        <v>117000000</v>
      </c>
      <c r="S1283" s="13" t="n">
        <f aca="false">Q1283-R1283</f>
        <v>21370932</v>
      </c>
      <c r="T1283" s="14" t="n">
        <f aca="false">IFERROR(S1283/Q1283,0)</f>
        <v>0.154446686822923</v>
      </c>
      <c r="U1283" s="15" t="str">
        <f aca="false">TEXT(A1283,"yyyy-mm")</f>
        <v>2022-04</v>
      </c>
    </row>
    <row r="1284" customFormat="false" ht="15" hidden="false" customHeight="false" outlineLevel="0" collapsed="false">
      <c r="A1284" s="10" t="n">
        <v>44679</v>
      </c>
      <c r="B1284" s="11" t="s">
        <v>1416</v>
      </c>
      <c r="C1284" s="11" t="s">
        <v>125</v>
      </c>
      <c r="D1284" s="11" t="s">
        <v>118</v>
      </c>
      <c r="E1284" s="11" t="s">
        <v>126</v>
      </c>
      <c r="F1284" s="12" t="n">
        <v>5684211</v>
      </c>
      <c r="G1284" s="12" t="n">
        <v>4300000</v>
      </c>
      <c r="H1284" s="11" t="n">
        <v>12</v>
      </c>
      <c r="I1284" s="11" t="s">
        <v>69</v>
      </c>
      <c r="J1284" s="11" t="s">
        <v>80</v>
      </c>
      <c r="K1284" s="11" t="s">
        <v>81</v>
      </c>
      <c r="L1284" s="11" t="s">
        <v>82</v>
      </c>
      <c r="M1284" s="11" t="s">
        <v>73</v>
      </c>
      <c r="N1284" s="11" t="s">
        <v>143</v>
      </c>
      <c r="O1284" s="11" t="s">
        <v>144</v>
      </c>
      <c r="P1284" s="11" t="s">
        <v>101</v>
      </c>
      <c r="Q1284" s="13" t="n">
        <f aca="false">F1284*H1284</f>
        <v>68210532</v>
      </c>
      <c r="R1284" s="13" t="n">
        <f aca="false">G1284*H1284</f>
        <v>51600000</v>
      </c>
      <c r="S1284" s="13" t="n">
        <f aca="false">Q1284-R1284</f>
        <v>16610532</v>
      </c>
      <c r="T1284" s="14" t="n">
        <f aca="false">IFERROR(S1284/Q1284,0)</f>
        <v>0.243518581558637</v>
      </c>
      <c r="U1284" s="15" t="str">
        <f aca="false">TEXT(A1284,"yyyy-mm")</f>
        <v>2022-04</v>
      </c>
    </row>
    <row r="1285" customFormat="false" ht="15" hidden="false" customHeight="false" outlineLevel="0" collapsed="false">
      <c r="A1285" s="10" t="n">
        <v>44679</v>
      </c>
      <c r="B1285" s="11" t="s">
        <v>1417</v>
      </c>
      <c r="C1285" s="11" t="s">
        <v>128</v>
      </c>
      <c r="D1285" s="11" t="s">
        <v>118</v>
      </c>
      <c r="E1285" s="11" t="s">
        <v>119</v>
      </c>
      <c r="F1285" s="12" t="n">
        <v>3370302</v>
      </c>
      <c r="G1285" s="12" t="n">
        <v>2100000</v>
      </c>
      <c r="H1285" s="11" t="n">
        <v>21</v>
      </c>
      <c r="I1285" s="11" t="s">
        <v>69</v>
      </c>
      <c r="J1285" s="11" t="s">
        <v>112</v>
      </c>
      <c r="K1285" s="11" t="s">
        <v>113</v>
      </c>
      <c r="L1285" s="11" t="s">
        <v>82</v>
      </c>
      <c r="M1285" s="11" t="s">
        <v>157</v>
      </c>
      <c r="N1285" s="11" t="s">
        <v>93</v>
      </c>
      <c r="O1285" s="11" t="s">
        <v>94</v>
      </c>
      <c r="P1285" s="11" t="s">
        <v>95</v>
      </c>
      <c r="Q1285" s="13" t="n">
        <f aca="false">F1285*H1285</f>
        <v>70776342</v>
      </c>
      <c r="R1285" s="13" t="n">
        <f aca="false">G1285*H1285</f>
        <v>44100000</v>
      </c>
      <c r="S1285" s="13" t="n">
        <f aca="false">Q1285-R1285</f>
        <v>26676342</v>
      </c>
      <c r="T1285" s="14" t="n">
        <f aca="false">IFERROR(S1285/Q1285,0)</f>
        <v>0.37691043710623</v>
      </c>
      <c r="U1285" s="15" t="str">
        <f aca="false">TEXT(A1285,"yyyy-mm")</f>
        <v>2022-04</v>
      </c>
    </row>
    <row r="1286" customFormat="false" ht="15" hidden="false" customHeight="false" outlineLevel="0" collapsed="false">
      <c r="A1286" s="10" t="n">
        <v>44680</v>
      </c>
      <c r="B1286" s="11" t="s">
        <v>1418</v>
      </c>
      <c r="C1286" s="11" t="s">
        <v>130</v>
      </c>
      <c r="D1286" s="11" t="s">
        <v>118</v>
      </c>
      <c r="E1286" s="11" t="s">
        <v>68</v>
      </c>
      <c r="F1286" s="12" t="n">
        <v>2852897</v>
      </c>
      <c r="G1286" s="12" t="n">
        <v>2450000</v>
      </c>
      <c r="H1286" s="11" t="n">
        <v>2</v>
      </c>
      <c r="I1286" s="11" t="s">
        <v>69</v>
      </c>
      <c r="J1286" s="11" t="s">
        <v>80</v>
      </c>
      <c r="K1286" s="11" t="s">
        <v>81</v>
      </c>
      <c r="L1286" s="11" t="s">
        <v>82</v>
      </c>
      <c r="M1286" s="11" t="s">
        <v>73</v>
      </c>
      <c r="N1286" s="11" t="s">
        <v>133</v>
      </c>
      <c r="O1286" s="11" t="s">
        <v>60</v>
      </c>
      <c r="P1286" s="11" t="s">
        <v>76</v>
      </c>
      <c r="Q1286" s="13" t="n">
        <f aca="false">F1286*H1286</f>
        <v>5705794</v>
      </c>
      <c r="R1286" s="13" t="n">
        <f aca="false">G1286*H1286</f>
        <v>4900000</v>
      </c>
      <c r="S1286" s="13" t="n">
        <f aca="false">Q1286-R1286</f>
        <v>805794</v>
      </c>
      <c r="T1286" s="14" t="n">
        <f aca="false">IFERROR(S1286/Q1286,0)</f>
        <v>0.141223815651249</v>
      </c>
      <c r="U1286" s="15" t="str">
        <f aca="false">TEXT(A1286,"yyyy-mm")</f>
        <v>2022-04</v>
      </c>
    </row>
    <row r="1287" customFormat="false" ht="15" hidden="false" customHeight="false" outlineLevel="0" collapsed="false">
      <c r="A1287" s="10" t="n">
        <v>44680</v>
      </c>
      <c r="B1287" s="11" t="s">
        <v>1419</v>
      </c>
      <c r="C1287" s="11" t="s">
        <v>132</v>
      </c>
      <c r="D1287" s="11" t="s">
        <v>118</v>
      </c>
      <c r="E1287" s="11" t="s">
        <v>68</v>
      </c>
      <c r="F1287" s="12" t="n">
        <v>4803603</v>
      </c>
      <c r="G1287" s="12" t="n">
        <v>4121000</v>
      </c>
      <c r="H1287" s="11" t="n">
        <v>7</v>
      </c>
      <c r="I1287" s="11" t="s">
        <v>69</v>
      </c>
      <c r="J1287" s="11" t="s">
        <v>80</v>
      </c>
      <c r="K1287" s="11" t="s">
        <v>81</v>
      </c>
      <c r="L1287" s="11" t="s">
        <v>82</v>
      </c>
      <c r="M1287" s="11" t="s">
        <v>73</v>
      </c>
      <c r="N1287" s="11" t="s">
        <v>93</v>
      </c>
      <c r="O1287" s="11" t="s">
        <v>94</v>
      </c>
      <c r="P1287" s="11" t="s">
        <v>95</v>
      </c>
      <c r="Q1287" s="13" t="n">
        <f aca="false">F1287*H1287</f>
        <v>33625221</v>
      </c>
      <c r="R1287" s="13" t="n">
        <f aca="false">G1287*H1287</f>
        <v>28847000</v>
      </c>
      <c r="S1287" s="13" t="n">
        <f aca="false">Q1287-R1287</f>
        <v>4778221</v>
      </c>
      <c r="T1287" s="14" t="n">
        <f aca="false">IFERROR(S1287/Q1287,0)</f>
        <v>0.142102292799801</v>
      </c>
      <c r="U1287" s="15" t="str">
        <f aca="false">TEXT(A1287,"yyyy-mm")</f>
        <v>2022-04</v>
      </c>
    </row>
    <row r="1288" customFormat="false" ht="15" hidden="false" customHeight="false" outlineLevel="0" collapsed="false">
      <c r="A1288" s="10" t="n">
        <v>44680</v>
      </c>
      <c r="B1288" s="11" t="s">
        <v>1420</v>
      </c>
      <c r="C1288" s="11" t="s">
        <v>135</v>
      </c>
      <c r="D1288" s="11" t="s">
        <v>118</v>
      </c>
      <c r="E1288" s="11" t="s">
        <v>68</v>
      </c>
      <c r="F1288" s="12" t="n">
        <v>5689947</v>
      </c>
      <c r="G1288" s="12" t="n">
        <v>5235000</v>
      </c>
      <c r="H1288" s="11" t="n">
        <v>20</v>
      </c>
      <c r="I1288" s="11" t="s">
        <v>69</v>
      </c>
      <c r="J1288" s="11" t="s">
        <v>70</v>
      </c>
      <c r="K1288" s="11" t="s">
        <v>71</v>
      </c>
      <c r="L1288" s="11" t="s">
        <v>72</v>
      </c>
      <c r="M1288" s="11" t="s">
        <v>73</v>
      </c>
      <c r="N1288" s="11" t="s">
        <v>173</v>
      </c>
      <c r="O1288" s="11" t="s">
        <v>174</v>
      </c>
      <c r="P1288" s="11" t="s">
        <v>95</v>
      </c>
      <c r="Q1288" s="13" t="n">
        <f aca="false">F1288*H1288</f>
        <v>113798940</v>
      </c>
      <c r="R1288" s="13" t="n">
        <f aca="false">G1288*H1288</f>
        <v>104700000</v>
      </c>
      <c r="S1288" s="13" t="n">
        <f aca="false">Q1288-R1288</f>
        <v>9098940</v>
      </c>
      <c r="T1288" s="14" t="n">
        <f aca="false">IFERROR(S1288/Q1288,0)</f>
        <v>0.0799562807878527</v>
      </c>
      <c r="U1288" s="15" t="str">
        <f aca="false">TEXT(A1288,"yyyy-mm")</f>
        <v>2022-04</v>
      </c>
    </row>
    <row r="1289" customFormat="false" ht="15" hidden="false" customHeight="false" outlineLevel="0" collapsed="false">
      <c r="A1289" s="10" t="n">
        <v>44681</v>
      </c>
      <c r="B1289" s="11" t="s">
        <v>1421</v>
      </c>
      <c r="C1289" s="11" t="s">
        <v>137</v>
      </c>
      <c r="D1289" s="11" t="s">
        <v>138</v>
      </c>
      <c r="E1289" s="11" t="s">
        <v>139</v>
      </c>
      <c r="F1289" s="12" t="n">
        <v>5171827</v>
      </c>
      <c r="G1289" s="12" t="n">
        <v>4890000</v>
      </c>
      <c r="H1289" s="11" t="n">
        <v>3</v>
      </c>
      <c r="I1289" s="11" t="s">
        <v>69</v>
      </c>
      <c r="J1289" s="11" t="s">
        <v>80</v>
      </c>
      <c r="K1289" s="11" t="s">
        <v>81</v>
      </c>
      <c r="L1289" s="11" t="s">
        <v>82</v>
      </c>
      <c r="M1289" s="11" t="s">
        <v>73</v>
      </c>
      <c r="N1289" s="11" t="s">
        <v>149</v>
      </c>
      <c r="O1289" s="11" t="s">
        <v>150</v>
      </c>
      <c r="P1289" s="11" t="s">
        <v>151</v>
      </c>
      <c r="Q1289" s="13" t="n">
        <f aca="false">F1289*H1289</f>
        <v>15515481</v>
      </c>
      <c r="R1289" s="13" t="n">
        <f aca="false">G1289*H1289</f>
        <v>14670000</v>
      </c>
      <c r="S1289" s="13" t="n">
        <f aca="false">Q1289-R1289</f>
        <v>845481</v>
      </c>
      <c r="T1289" s="14" t="n">
        <f aca="false">IFERROR(S1289/Q1289,0)</f>
        <v>0.0544927353525166</v>
      </c>
      <c r="U1289" s="15" t="str">
        <f aca="false">TEXT(A1289,"yyyy-mm")</f>
        <v>2022-04</v>
      </c>
    </row>
    <row r="1290" customFormat="false" ht="15" hidden="false" customHeight="false" outlineLevel="0" collapsed="false">
      <c r="A1290" s="10" t="n">
        <v>44682</v>
      </c>
      <c r="B1290" s="11" t="s">
        <v>1422</v>
      </c>
      <c r="C1290" s="11" t="s">
        <v>141</v>
      </c>
      <c r="D1290" s="11" t="s">
        <v>138</v>
      </c>
      <c r="E1290" s="11" t="s">
        <v>142</v>
      </c>
      <c r="F1290" s="12" t="n">
        <v>2805124</v>
      </c>
      <c r="G1290" s="12" t="n">
        <v>2178000</v>
      </c>
      <c r="H1290" s="11" t="n">
        <v>15</v>
      </c>
      <c r="I1290" s="11" t="s">
        <v>69</v>
      </c>
      <c r="J1290" s="11" t="s">
        <v>80</v>
      </c>
      <c r="K1290" s="11" t="s">
        <v>81</v>
      </c>
      <c r="L1290" s="11" t="s">
        <v>82</v>
      </c>
      <c r="M1290" s="11" t="s">
        <v>73</v>
      </c>
      <c r="N1290" s="11" t="s">
        <v>104</v>
      </c>
      <c r="O1290" s="11" t="s">
        <v>105</v>
      </c>
      <c r="P1290" s="11" t="s">
        <v>106</v>
      </c>
      <c r="Q1290" s="13" t="n">
        <f aca="false">F1290*H1290</f>
        <v>42076860</v>
      </c>
      <c r="R1290" s="13" t="n">
        <f aca="false">G1290*H1290</f>
        <v>32670000</v>
      </c>
      <c r="S1290" s="13" t="n">
        <f aca="false">Q1290-R1290</f>
        <v>9406860</v>
      </c>
      <c r="T1290" s="14" t="n">
        <f aca="false">IFERROR(S1290/Q1290,0)</f>
        <v>0.22356373550688</v>
      </c>
      <c r="U1290" s="15" t="str">
        <f aca="false">TEXT(A1290,"yyyy-mm")</f>
        <v>2022-05</v>
      </c>
    </row>
    <row r="1291" customFormat="false" ht="15" hidden="false" customHeight="false" outlineLevel="0" collapsed="false">
      <c r="A1291" s="10" t="n">
        <v>44682</v>
      </c>
      <c r="B1291" s="11" t="s">
        <v>1423</v>
      </c>
      <c r="C1291" s="11" t="s">
        <v>146</v>
      </c>
      <c r="D1291" s="11" t="s">
        <v>138</v>
      </c>
      <c r="E1291" s="11" t="s">
        <v>139</v>
      </c>
      <c r="F1291" s="12" t="n">
        <v>2728100</v>
      </c>
      <c r="G1291" s="12" t="n">
        <v>2321000</v>
      </c>
      <c r="H1291" s="11" t="n">
        <v>11</v>
      </c>
      <c r="I1291" s="11" t="s">
        <v>69</v>
      </c>
      <c r="J1291" s="11" t="s">
        <v>80</v>
      </c>
      <c r="K1291" s="11" t="s">
        <v>81</v>
      </c>
      <c r="L1291" s="11" t="s">
        <v>82</v>
      </c>
      <c r="M1291" s="11" t="s">
        <v>73</v>
      </c>
      <c r="N1291" s="11" t="s">
        <v>99</v>
      </c>
      <c r="O1291" s="11" t="s">
        <v>100</v>
      </c>
      <c r="P1291" s="11" t="s">
        <v>101</v>
      </c>
      <c r="Q1291" s="13" t="n">
        <f aca="false">F1291*H1291</f>
        <v>30009100</v>
      </c>
      <c r="R1291" s="13" t="n">
        <f aca="false">G1291*H1291</f>
        <v>25531000</v>
      </c>
      <c r="S1291" s="13" t="n">
        <f aca="false">Q1291-R1291</f>
        <v>4478100</v>
      </c>
      <c r="T1291" s="14" t="n">
        <f aca="false">IFERROR(S1291/Q1291,0)</f>
        <v>0.149224735163667</v>
      </c>
      <c r="U1291" s="15" t="str">
        <f aca="false">TEXT(A1291,"yyyy-mm")</f>
        <v>2022-05</v>
      </c>
    </row>
    <row r="1292" customFormat="false" ht="15" hidden="false" customHeight="false" outlineLevel="0" collapsed="false">
      <c r="A1292" s="10" t="n">
        <v>44682</v>
      </c>
      <c r="B1292" s="11" t="s">
        <v>1424</v>
      </c>
      <c r="C1292" s="11" t="s">
        <v>148</v>
      </c>
      <c r="D1292" s="11" t="s">
        <v>138</v>
      </c>
      <c r="E1292" s="11" t="s">
        <v>122</v>
      </c>
      <c r="F1292" s="12" t="n">
        <v>4941716</v>
      </c>
      <c r="G1292" s="12" t="n">
        <v>4456000</v>
      </c>
      <c r="H1292" s="11" t="n">
        <v>30</v>
      </c>
      <c r="I1292" s="11" t="s">
        <v>69</v>
      </c>
      <c r="J1292" s="11" t="s">
        <v>80</v>
      </c>
      <c r="K1292" s="11" t="s">
        <v>81</v>
      </c>
      <c r="L1292" s="11" t="s">
        <v>82</v>
      </c>
      <c r="M1292" s="11" t="s">
        <v>73</v>
      </c>
      <c r="N1292" s="11" t="s">
        <v>149</v>
      </c>
      <c r="O1292" s="11" t="s">
        <v>150</v>
      </c>
      <c r="P1292" s="11" t="s">
        <v>151</v>
      </c>
      <c r="Q1292" s="13" t="n">
        <f aca="false">F1292*H1292</f>
        <v>148251480</v>
      </c>
      <c r="R1292" s="13" t="n">
        <f aca="false">G1292*H1292</f>
        <v>133680000</v>
      </c>
      <c r="S1292" s="13" t="n">
        <f aca="false">Q1292-R1292</f>
        <v>14571480</v>
      </c>
      <c r="T1292" s="14" t="n">
        <f aca="false">IFERROR(S1292/Q1292,0)</f>
        <v>0.0982889344511097</v>
      </c>
      <c r="U1292" s="15" t="str">
        <f aca="false">TEXT(A1292,"yyyy-mm")</f>
        <v>2022-05</v>
      </c>
    </row>
    <row r="1293" customFormat="false" ht="15" hidden="false" customHeight="false" outlineLevel="0" collapsed="false">
      <c r="A1293" s="10" t="n">
        <v>44682</v>
      </c>
      <c r="B1293" s="11" t="s">
        <v>1425</v>
      </c>
      <c r="C1293" s="11" t="s">
        <v>66</v>
      </c>
      <c r="D1293" s="11" t="s">
        <v>67</v>
      </c>
      <c r="E1293" s="11" t="s">
        <v>68</v>
      </c>
      <c r="F1293" s="12" t="n">
        <v>3048952</v>
      </c>
      <c r="G1293" s="12" t="n">
        <v>2560000</v>
      </c>
      <c r="H1293" s="11" t="n">
        <v>14</v>
      </c>
      <c r="I1293" s="11" t="s">
        <v>69</v>
      </c>
      <c r="J1293" s="11" t="s">
        <v>80</v>
      </c>
      <c r="K1293" s="11" t="s">
        <v>81</v>
      </c>
      <c r="L1293" s="11" t="s">
        <v>82</v>
      </c>
      <c r="M1293" s="11" t="s">
        <v>73</v>
      </c>
      <c r="N1293" s="11" t="s">
        <v>149</v>
      </c>
      <c r="O1293" s="11" t="s">
        <v>150</v>
      </c>
      <c r="P1293" s="11" t="s">
        <v>151</v>
      </c>
      <c r="Q1293" s="13" t="n">
        <f aca="false">F1293*H1293</f>
        <v>42685328</v>
      </c>
      <c r="R1293" s="13" t="n">
        <f aca="false">G1293*H1293</f>
        <v>35840000</v>
      </c>
      <c r="S1293" s="13" t="n">
        <f aca="false">Q1293-R1293</f>
        <v>6845328</v>
      </c>
      <c r="T1293" s="14" t="n">
        <f aca="false">IFERROR(S1293/Q1293,0)</f>
        <v>0.160367234380863</v>
      </c>
      <c r="U1293" s="15" t="str">
        <f aca="false">TEXT(A1293,"yyyy-mm")</f>
        <v>2022-05</v>
      </c>
    </row>
    <row r="1294" customFormat="false" ht="15" hidden="false" customHeight="false" outlineLevel="0" collapsed="false">
      <c r="A1294" s="10" t="n">
        <v>44682</v>
      </c>
      <c r="B1294" s="11" t="s">
        <v>1426</v>
      </c>
      <c r="C1294" s="11" t="s">
        <v>78</v>
      </c>
      <c r="D1294" s="11" t="s">
        <v>67</v>
      </c>
      <c r="E1294" s="11" t="s">
        <v>79</v>
      </c>
      <c r="F1294" s="12" t="n">
        <v>1870000</v>
      </c>
      <c r="G1294" s="12" t="n">
        <v>1650000</v>
      </c>
      <c r="H1294" s="11" t="n">
        <v>13</v>
      </c>
      <c r="I1294" s="11" t="s">
        <v>69</v>
      </c>
      <c r="J1294" s="11" t="s">
        <v>112</v>
      </c>
      <c r="K1294" s="11" t="s">
        <v>113</v>
      </c>
      <c r="L1294" s="11" t="s">
        <v>82</v>
      </c>
      <c r="M1294" s="11" t="s">
        <v>157</v>
      </c>
      <c r="N1294" s="11" t="s">
        <v>133</v>
      </c>
      <c r="O1294" s="11" t="s">
        <v>60</v>
      </c>
      <c r="P1294" s="11" t="s">
        <v>76</v>
      </c>
      <c r="Q1294" s="13" t="n">
        <f aca="false">F1294*H1294</f>
        <v>24310000</v>
      </c>
      <c r="R1294" s="13" t="n">
        <f aca="false">G1294*H1294</f>
        <v>21450000</v>
      </c>
      <c r="S1294" s="13" t="n">
        <f aca="false">Q1294-R1294</f>
        <v>2860000</v>
      </c>
      <c r="T1294" s="14" t="n">
        <f aca="false">IFERROR(S1294/Q1294,0)</f>
        <v>0.117647058823529</v>
      </c>
      <c r="U1294" s="15" t="str">
        <f aca="false">TEXT(A1294,"yyyy-mm")</f>
        <v>2022-05</v>
      </c>
    </row>
    <row r="1295" customFormat="false" ht="15" hidden="false" customHeight="false" outlineLevel="0" collapsed="false">
      <c r="A1295" s="10" t="n">
        <v>44682</v>
      </c>
      <c r="B1295" s="11" t="s">
        <v>1427</v>
      </c>
      <c r="C1295" s="11" t="s">
        <v>84</v>
      </c>
      <c r="D1295" s="11" t="s">
        <v>67</v>
      </c>
      <c r="E1295" s="11" t="s">
        <v>85</v>
      </c>
      <c r="F1295" s="12" t="n">
        <v>2600000</v>
      </c>
      <c r="G1295" s="12" t="n">
        <v>2300000</v>
      </c>
      <c r="H1295" s="11" t="n">
        <v>3</v>
      </c>
      <c r="I1295" s="11" t="s">
        <v>69</v>
      </c>
      <c r="J1295" s="11" t="s">
        <v>70</v>
      </c>
      <c r="K1295" s="11" t="s">
        <v>71</v>
      </c>
      <c r="L1295" s="11" t="s">
        <v>72</v>
      </c>
      <c r="M1295" s="11" t="s">
        <v>73</v>
      </c>
      <c r="N1295" s="11" t="s">
        <v>109</v>
      </c>
      <c r="O1295" s="11" t="s">
        <v>75</v>
      </c>
      <c r="P1295" s="11" t="s">
        <v>95</v>
      </c>
      <c r="Q1295" s="13" t="n">
        <f aca="false">F1295*H1295</f>
        <v>7800000</v>
      </c>
      <c r="R1295" s="13" t="n">
        <f aca="false">G1295*H1295</f>
        <v>6900000</v>
      </c>
      <c r="S1295" s="13" t="n">
        <f aca="false">Q1295-R1295</f>
        <v>900000</v>
      </c>
      <c r="T1295" s="14" t="n">
        <f aca="false">IFERROR(S1295/Q1295,0)</f>
        <v>0.115384615384615</v>
      </c>
      <c r="U1295" s="15" t="str">
        <f aca="false">TEXT(A1295,"yyyy-mm")</f>
        <v>2022-05</v>
      </c>
    </row>
    <row r="1296" customFormat="false" ht="15" hidden="false" customHeight="false" outlineLevel="0" collapsed="false">
      <c r="A1296" s="10" t="n">
        <v>44684</v>
      </c>
      <c r="B1296" s="11" t="s">
        <v>1428</v>
      </c>
      <c r="C1296" s="11" t="s">
        <v>92</v>
      </c>
      <c r="D1296" s="11" t="s">
        <v>67</v>
      </c>
      <c r="E1296" s="11" t="s">
        <v>79</v>
      </c>
      <c r="F1296" s="12" t="n">
        <v>3577480</v>
      </c>
      <c r="G1296" s="12" t="n">
        <v>3100000</v>
      </c>
      <c r="H1296" s="11" t="n">
        <v>28</v>
      </c>
      <c r="I1296" s="11" t="s">
        <v>69</v>
      </c>
      <c r="J1296" s="11" t="s">
        <v>70</v>
      </c>
      <c r="K1296" s="11" t="s">
        <v>71</v>
      </c>
      <c r="L1296" s="11" t="s">
        <v>72</v>
      </c>
      <c r="M1296" s="11" t="s">
        <v>73</v>
      </c>
      <c r="N1296" s="11" t="s">
        <v>133</v>
      </c>
      <c r="O1296" s="11" t="s">
        <v>60</v>
      </c>
      <c r="P1296" s="11" t="s">
        <v>76</v>
      </c>
      <c r="Q1296" s="13" t="n">
        <f aca="false">F1296*H1296</f>
        <v>100169440</v>
      </c>
      <c r="R1296" s="13" t="n">
        <f aca="false">G1296*H1296</f>
        <v>86800000</v>
      </c>
      <c r="S1296" s="13" t="n">
        <f aca="false">Q1296-R1296</f>
        <v>13369440</v>
      </c>
      <c r="T1296" s="14" t="n">
        <f aca="false">IFERROR(S1296/Q1296,0)</f>
        <v>0.133468251394837</v>
      </c>
      <c r="U1296" s="15" t="str">
        <f aca="false">TEXT(A1296,"yyyy-mm")</f>
        <v>2022-05</v>
      </c>
    </row>
    <row r="1297" customFormat="false" ht="15" hidden="false" customHeight="false" outlineLevel="0" collapsed="false">
      <c r="A1297" s="10" t="n">
        <v>44684</v>
      </c>
      <c r="B1297" s="11" t="s">
        <v>1429</v>
      </c>
      <c r="C1297" s="11" t="s">
        <v>97</v>
      </c>
      <c r="D1297" s="11" t="s">
        <v>67</v>
      </c>
      <c r="E1297" s="11" t="s">
        <v>98</v>
      </c>
      <c r="F1297" s="12" t="n">
        <v>4969724</v>
      </c>
      <c r="G1297" s="12" t="n">
        <v>4121560</v>
      </c>
      <c r="H1297" s="11" t="n">
        <v>2</v>
      </c>
      <c r="I1297" s="11" t="s">
        <v>69</v>
      </c>
      <c r="J1297" s="11" t="s">
        <v>112</v>
      </c>
      <c r="K1297" s="11" t="s">
        <v>113</v>
      </c>
      <c r="L1297" s="11" t="s">
        <v>82</v>
      </c>
      <c r="M1297" s="11" t="s">
        <v>157</v>
      </c>
      <c r="N1297" s="11" t="s">
        <v>173</v>
      </c>
      <c r="O1297" s="11" t="s">
        <v>174</v>
      </c>
      <c r="P1297" s="11" t="s">
        <v>95</v>
      </c>
      <c r="Q1297" s="13" t="n">
        <f aca="false">F1297*H1297</f>
        <v>9939448</v>
      </c>
      <c r="R1297" s="13" t="n">
        <f aca="false">G1297*H1297</f>
        <v>8243120</v>
      </c>
      <c r="S1297" s="13" t="n">
        <f aca="false">Q1297-R1297</f>
        <v>1696328</v>
      </c>
      <c r="T1297" s="14" t="n">
        <f aca="false">IFERROR(S1297/Q1297,0)</f>
        <v>0.170666218083741</v>
      </c>
      <c r="U1297" s="15" t="str">
        <f aca="false">TEXT(A1297,"yyyy-mm")</f>
        <v>2022-05</v>
      </c>
    </row>
    <row r="1298" customFormat="false" ht="15" hidden="false" customHeight="false" outlineLevel="0" collapsed="false">
      <c r="A1298" s="10" t="n">
        <v>44684</v>
      </c>
      <c r="B1298" s="11" t="s">
        <v>1430</v>
      </c>
      <c r="C1298" s="11" t="s">
        <v>103</v>
      </c>
      <c r="D1298" s="11" t="s">
        <v>67</v>
      </c>
      <c r="E1298" s="11" t="s">
        <v>68</v>
      </c>
      <c r="F1298" s="12" t="n">
        <v>3319925</v>
      </c>
      <c r="G1298" s="12" t="n">
        <v>2800000</v>
      </c>
      <c r="H1298" s="11" t="n">
        <v>11</v>
      </c>
      <c r="I1298" s="11" t="s">
        <v>69</v>
      </c>
      <c r="J1298" s="11" t="s">
        <v>80</v>
      </c>
      <c r="K1298" s="11" t="s">
        <v>81</v>
      </c>
      <c r="L1298" s="11" t="s">
        <v>82</v>
      </c>
      <c r="M1298" s="11" t="s">
        <v>73</v>
      </c>
      <c r="N1298" s="11" t="s">
        <v>173</v>
      </c>
      <c r="O1298" s="11" t="s">
        <v>174</v>
      </c>
      <c r="P1298" s="11" t="s">
        <v>95</v>
      </c>
      <c r="Q1298" s="13" t="n">
        <f aca="false">F1298*H1298</f>
        <v>36519175</v>
      </c>
      <c r="R1298" s="13" t="n">
        <f aca="false">G1298*H1298</f>
        <v>30800000</v>
      </c>
      <c r="S1298" s="13" t="n">
        <f aca="false">Q1298-R1298</f>
        <v>5719175</v>
      </c>
      <c r="T1298" s="14" t="n">
        <f aca="false">IFERROR(S1298/Q1298,0)</f>
        <v>0.15660745348163</v>
      </c>
      <c r="U1298" s="15" t="str">
        <f aca="false">TEXT(A1298,"yyyy-mm")</f>
        <v>2022-05</v>
      </c>
    </row>
    <row r="1299" customFormat="false" ht="15" hidden="false" customHeight="false" outlineLevel="0" collapsed="false">
      <c r="A1299" s="10" t="n">
        <v>44684</v>
      </c>
      <c r="B1299" s="11" t="s">
        <v>1431</v>
      </c>
      <c r="C1299" s="11" t="s">
        <v>108</v>
      </c>
      <c r="D1299" s="11" t="s">
        <v>67</v>
      </c>
      <c r="E1299" s="11" t="s">
        <v>68</v>
      </c>
      <c r="F1299" s="12" t="n">
        <v>4757880</v>
      </c>
      <c r="G1299" s="12" t="n">
        <v>3450000</v>
      </c>
      <c r="H1299" s="11" t="n">
        <v>8</v>
      </c>
      <c r="I1299" s="11" t="s">
        <v>69</v>
      </c>
      <c r="J1299" s="11" t="s">
        <v>112</v>
      </c>
      <c r="K1299" s="11" t="s">
        <v>113</v>
      </c>
      <c r="L1299" s="11" t="s">
        <v>82</v>
      </c>
      <c r="M1299" s="11" t="s">
        <v>157</v>
      </c>
      <c r="N1299" s="11" t="s">
        <v>173</v>
      </c>
      <c r="O1299" s="11" t="s">
        <v>174</v>
      </c>
      <c r="P1299" s="11" t="s">
        <v>95</v>
      </c>
      <c r="Q1299" s="13" t="n">
        <f aca="false">F1299*H1299</f>
        <v>38063040</v>
      </c>
      <c r="R1299" s="13" t="n">
        <f aca="false">G1299*H1299</f>
        <v>27600000</v>
      </c>
      <c r="S1299" s="13" t="n">
        <f aca="false">Q1299-R1299</f>
        <v>10463040</v>
      </c>
      <c r="T1299" s="14" t="n">
        <f aca="false">IFERROR(S1299/Q1299,0)</f>
        <v>0.274887134606169</v>
      </c>
      <c r="U1299" s="15" t="str">
        <f aca="false">TEXT(A1299,"yyyy-mm")</f>
        <v>2022-05</v>
      </c>
    </row>
    <row r="1300" customFormat="false" ht="15" hidden="false" customHeight="false" outlineLevel="0" collapsed="false">
      <c r="A1300" s="10" t="n">
        <v>44684</v>
      </c>
      <c r="B1300" s="11" t="s">
        <v>1432</v>
      </c>
      <c r="C1300" s="11" t="s">
        <v>111</v>
      </c>
      <c r="D1300" s="11" t="s">
        <v>67</v>
      </c>
      <c r="E1300" s="11" t="s">
        <v>79</v>
      </c>
      <c r="F1300" s="12" t="n">
        <v>3545808</v>
      </c>
      <c r="G1300" s="12" t="n">
        <v>3350000</v>
      </c>
      <c r="H1300" s="11" t="n">
        <v>16</v>
      </c>
      <c r="I1300" s="11" t="s">
        <v>69</v>
      </c>
      <c r="J1300" s="11" t="s">
        <v>112</v>
      </c>
      <c r="K1300" s="11" t="s">
        <v>113</v>
      </c>
      <c r="L1300" s="11" t="s">
        <v>82</v>
      </c>
      <c r="M1300" s="11" t="s">
        <v>157</v>
      </c>
      <c r="N1300" s="11" t="s">
        <v>74</v>
      </c>
      <c r="O1300" s="11" t="s">
        <v>75</v>
      </c>
      <c r="P1300" s="11" t="s">
        <v>76</v>
      </c>
      <c r="Q1300" s="13" t="n">
        <f aca="false">F1300*H1300</f>
        <v>56732928</v>
      </c>
      <c r="R1300" s="13" t="n">
        <f aca="false">G1300*H1300</f>
        <v>53600000</v>
      </c>
      <c r="S1300" s="13" t="n">
        <f aca="false">Q1300-R1300</f>
        <v>3132928</v>
      </c>
      <c r="T1300" s="14" t="n">
        <f aca="false">IFERROR(S1300/Q1300,0)</f>
        <v>0.0552223921881839</v>
      </c>
      <c r="U1300" s="15" t="str">
        <f aca="false">TEXT(A1300,"yyyy-mm")</f>
        <v>2022-05</v>
      </c>
    </row>
    <row r="1301" customFormat="false" ht="15" hidden="false" customHeight="false" outlineLevel="0" collapsed="false">
      <c r="A1301" s="10" t="n">
        <v>44685</v>
      </c>
      <c r="B1301" s="11" t="s">
        <v>1433</v>
      </c>
      <c r="C1301" s="11" t="s">
        <v>115</v>
      </c>
      <c r="D1301" s="11" t="s">
        <v>67</v>
      </c>
      <c r="E1301" s="11" t="s">
        <v>98</v>
      </c>
      <c r="F1301" s="12" t="n">
        <v>4200743</v>
      </c>
      <c r="G1301" s="12" t="n">
        <v>4101000</v>
      </c>
      <c r="H1301" s="11" t="n">
        <v>10</v>
      </c>
      <c r="I1301" s="11" t="s">
        <v>86</v>
      </c>
      <c r="J1301" s="11" t="s">
        <v>87</v>
      </c>
      <c r="K1301" s="11" t="s">
        <v>88</v>
      </c>
      <c r="L1301" s="11" t="s">
        <v>89</v>
      </c>
      <c r="M1301" s="11" t="s">
        <v>90</v>
      </c>
      <c r="N1301" s="11" t="s">
        <v>109</v>
      </c>
      <c r="O1301" s="11" t="s">
        <v>75</v>
      </c>
      <c r="P1301" s="11" t="s">
        <v>95</v>
      </c>
      <c r="Q1301" s="13" t="n">
        <f aca="false">F1301*H1301</f>
        <v>42007430</v>
      </c>
      <c r="R1301" s="13" t="n">
        <f aca="false">G1301*H1301</f>
        <v>41010000</v>
      </c>
      <c r="S1301" s="13" t="n">
        <f aca="false">Q1301-R1301</f>
        <v>997430</v>
      </c>
      <c r="T1301" s="14" t="n">
        <f aca="false">IFERROR(S1301/Q1301,0)</f>
        <v>0.023744132883159</v>
      </c>
      <c r="U1301" s="15" t="str">
        <f aca="false">TEXT(A1301,"yyyy-mm")</f>
        <v>2022-05</v>
      </c>
    </row>
    <row r="1302" customFormat="false" ht="15" hidden="false" customHeight="false" outlineLevel="0" collapsed="false">
      <c r="A1302" s="10" t="n">
        <v>44685</v>
      </c>
      <c r="B1302" s="11" t="s">
        <v>1434</v>
      </c>
      <c r="C1302" s="11" t="s">
        <v>117</v>
      </c>
      <c r="D1302" s="11" t="s">
        <v>118</v>
      </c>
      <c r="E1302" s="11" t="s">
        <v>119</v>
      </c>
      <c r="F1302" s="12" t="n">
        <v>8220549</v>
      </c>
      <c r="G1302" s="12" t="n">
        <v>6500000</v>
      </c>
      <c r="H1302" s="11" t="n">
        <v>15</v>
      </c>
      <c r="I1302" s="11" t="s">
        <v>69</v>
      </c>
      <c r="J1302" s="11" t="s">
        <v>80</v>
      </c>
      <c r="K1302" s="11" t="s">
        <v>81</v>
      </c>
      <c r="L1302" s="11" t="s">
        <v>82</v>
      </c>
      <c r="M1302" s="11" t="s">
        <v>73</v>
      </c>
      <c r="N1302" s="11" t="s">
        <v>109</v>
      </c>
      <c r="O1302" s="11" t="s">
        <v>75</v>
      </c>
      <c r="P1302" s="11" t="s">
        <v>95</v>
      </c>
      <c r="Q1302" s="13" t="n">
        <f aca="false">F1302*H1302</f>
        <v>123308235</v>
      </c>
      <c r="R1302" s="13" t="n">
        <f aca="false">G1302*H1302</f>
        <v>97500000</v>
      </c>
      <c r="S1302" s="13" t="n">
        <f aca="false">Q1302-R1302</f>
        <v>25808235</v>
      </c>
      <c r="T1302" s="14" t="n">
        <f aca="false">IFERROR(S1302/Q1302,0)</f>
        <v>0.209298551714733</v>
      </c>
      <c r="U1302" s="15" t="str">
        <f aca="false">TEXT(A1302,"yyyy-mm")</f>
        <v>2022-05</v>
      </c>
    </row>
    <row r="1303" customFormat="false" ht="15" hidden="false" customHeight="false" outlineLevel="0" collapsed="false">
      <c r="A1303" s="10" t="n">
        <v>44685</v>
      </c>
      <c r="B1303" s="11" t="s">
        <v>1435</v>
      </c>
      <c r="C1303" s="11" t="s">
        <v>121</v>
      </c>
      <c r="D1303" s="11" t="s">
        <v>118</v>
      </c>
      <c r="E1303" s="11" t="s">
        <v>122</v>
      </c>
      <c r="F1303" s="12" t="n">
        <v>7687274</v>
      </c>
      <c r="G1303" s="12" t="n">
        <v>6500000</v>
      </c>
      <c r="H1303" s="11" t="n">
        <v>16</v>
      </c>
      <c r="I1303" s="11" t="s">
        <v>69</v>
      </c>
      <c r="J1303" s="11" t="s">
        <v>112</v>
      </c>
      <c r="K1303" s="11" t="s">
        <v>113</v>
      </c>
      <c r="L1303" s="11" t="s">
        <v>82</v>
      </c>
      <c r="M1303" s="11" t="s">
        <v>157</v>
      </c>
      <c r="N1303" s="11" t="s">
        <v>123</v>
      </c>
      <c r="O1303" s="11" t="s">
        <v>60</v>
      </c>
      <c r="P1303" s="11" t="s">
        <v>106</v>
      </c>
      <c r="Q1303" s="13" t="n">
        <f aca="false">F1303*H1303</f>
        <v>122996384</v>
      </c>
      <c r="R1303" s="13" t="n">
        <f aca="false">G1303*H1303</f>
        <v>104000000</v>
      </c>
      <c r="S1303" s="13" t="n">
        <f aca="false">Q1303-R1303</f>
        <v>18996384</v>
      </c>
      <c r="T1303" s="14" t="n">
        <f aca="false">IFERROR(S1303/Q1303,0)</f>
        <v>0.154446686822923</v>
      </c>
      <c r="U1303" s="15" t="str">
        <f aca="false">TEXT(A1303,"yyyy-mm")</f>
        <v>2022-05</v>
      </c>
    </row>
    <row r="1304" customFormat="false" ht="15" hidden="false" customHeight="false" outlineLevel="0" collapsed="false">
      <c r="A1304" s="10" t="n">
        <v>44685</v>
      </c>
      <c r="B1304" s="11" t="s">
        <v>1436</v>
      </c>
      <c r="C1304" s="11" t="s">
        <v>125</v>
      </c>
      <c r="D1304" s="11" t="s">
        <v>118</v>
      </c>
      <c r="E1304" s="11" t="s">
        <v>126</v>
      </c>
      <c r="F1304" s="12" t="n">
        <v>5684211</v>
      </c>
      <c r="G1304" s="12" t="n">
        <v>4300000</v>
      </c>
      <c r="H1304" s="11" t="n">
        <v>14</v>
      </c>
      <c r="I1304" s="11" t="s">
        <v>69</v>
      </c>
      <c r="J1304" s="11" t="s">
        <v>80</v>
      </c>
      <c r="K1304" s="11" t="s">
        <v>81</v>
      </c>
      <c r="L1304" s="11" t="s">
        <v>82</v>
      </c>
      <c r="M1304" s="11" t="s">
        <v>73</v>
      </c>
      <c r="N1304" s="11" t="s">
        <v>123</v>
      </c>
      <c r="O1304" s="11" t="s">
        <v>60</v>
      </c>
      <c r="P1304" s="11" t="s">
        <v>106</v>
      </c>
      <c r="Q1304" s="13" t="n">
        <f aca="false">F1304*H1304</f>
        <v>79578954</v>
      </c>
      <c r="R1304" s="13" t="n">
        <f aca="false">G1304*H1304</f>
        <v>60200000</v>
      </c>
      <c r="S1304" s="13" t="n">
        <f aca="false">Q1304-R1304</f>
        <v>19378954</v>
      </c>
      <c r="T1304" s="14" t="n">
        <f aca="false">IFERROR(S1304/Q1304,0)</f>
        <v>0.243518581558637</v>
      </c>
      <c r="U1304" s="15" t="str">
        <f aca="false">TEXT(A1304,"yyyy-mm")</f>
        <v>2022-05</v>
      </c>
    </row>
    <row r="1305" customFormat="false" ht="15" hidden="false" customHeight="false" outlineLevel="0" collapsed="false">
      <c r="A1305" s="10" t="n">
        <v>44685</v>
      </c>
      <c r="B1305" s="11" t="s">
        <v>1437</v>
      </c>
      <c r="C1305" s="11" t="s">
        <v>128</v>
      </c>
      <c r="D1305" s="11" t="s">
        <v>118</v>
      </c>
      <c r="E1305" s="11" t="s">
        <v>119</v>
      </c>
      <c r="F1305" s="12" t="n">
        <v>3370302</v>
      </c>
      <c r="G1305" s="12" t="n">
        <v>2100000</v>
      </c>
      <c r="H1305" s="11" t="n">
        <v>32</v>
      </c>
      <c r="I1305" s="11" t="s">
        <v>69</v>
      </c>
      <c r="J1305" s="11" t="s">
        <v>80</v>
      </c>
      <c r="K1305" s="11" t="s">
        <v>81</v>
      </c>
      <c r="L1305" s="11" t="s">
        <v>82</v>
      </c>
      <c r="M1305" s="11" t="s">
        <v>73</v>
      </c>
      <c r="N1305" s="11" t="s">
        <v>93</v>
      </c>
      <c r="O1305" s="11" t="s">
        <v>94</v>
      </c>
      <c r="P1305" s="11" t="s">
        <v>95</v>
      </c>
      <c r="Q1305" s="13" t="n">
        <f aca="false">F1305*H1305</f>
        <v>107849664</v>
      </c>
      <c r="R1305" s="13" t="n">
        <f aca="false">G1305*H1305</f>
        <v>67200000</v>
      </c>
      <c r="S1305" s="13" t="n">
        <f aca="false">Q1305-R1305</f>
        <v>40649664</v>
      </c>
      <c r="T1305" s="14" t="n">
        <f aca="false">IFERROR(S1305/Q1305,0)</f>
        <v>0.37691043710623</v>
      </c>
      <c r="U1305" s="15" t="str">
        <f aca="false">TEXT(A1305,"yyyy-mm")</f>
        <v>2022-05</v>
      </c>
    </row>
    <row r="1306" customFormat="false" ht="15" hidden="false" customHeight="false" outlineLevel="0" collapsed="false">
      <c r="A1306" s="10" t="n">
        <v>44685</v>
      </c>
      <c r="B1306" s="11" t="s">
        <v>1438</v>
      </c>
      <c r="C1306" s="11" t="s">
        <v>130</v>
      </c>
      <c r="D1306" s="11" t="s">
        <v>118</v>
      </c>
      <c r="E1306" s="11" t="s">
        <v>68</v>
      </c>
      <c r="F1306" s="12" t="n">
        <v>2852897</v>
      </c>
      <c r="G1306" s="12" t="n">
        <v>2450000</v>
      </c>
      <c r="H1306" s="11" t="n">
        <v>5</v>
      </c>
      <c r="I1306" s="11" t="s">
        <v>69</v>
      </c>
      <c r="J1306" s="11" t="s">
        <v>70</v>
      </c>
      <c r="K1306" s="11" t="s">
        <v>71</v>
      </c>
      <c r="L1306" s="11" t="s">
        <v>72</v>
      </c>
      <c r="M1306" s="11" t="s">
        <v>73</v>
      </c>
      <c r="N1306" s="11" t="s">
        <v>109</v>
      </c>
      <c r="O1306" s="11" t="s">
        <v>75</v>
      </c>
      <c r="P1306" s="11" t="s">
        <v>95</v>
      </c>
      <c r="Q1306" s="13" t="n">
        <f aca="false">F1306*H1306</f>
        <v>14264485</v>
      </c>
      <c r="R1306" s="13" t="n">
        <f aca="false">G1306*H1306</f>
        <v>12250000</v>
      </c>
      <c r="S1306" s="13" t="n">
        <f aca="false">Q1306-R1306</f>
        <v>2014485</v>
      </c>
      <c r="T1306" s="14" t="n">
        <f aca="false">IFERROR(S1306/Q1306,0)</f>
        <v>0.141223815651249</v>
      </c>
      <c r="U1306" s="15" t="str">
        <f aca="false">TEXT(A1306,"yyyy-mm")</f>
        <v>2022-05</v>
      </c>
    </row>
    <row r="1307" customFormat="false" ht="15" hidden="false" customHeight="false" outlineLevel="0" collapsed="false">
      <c r="A1307" s="10" t="n">
        <v>44686</v>
      </c>
      <c r="B1307" s="11" t="s">
        <v>1439</v>
      </c>
      <c r="C1307" s="11" t="s">
        <v>132</v>
      </c>
      <c r="D1307" s="11" t="s">
        <v>118</v>
      </c>
      <c r="E1307" s="11" t="s">
        <v>68</v>
      </c>
      <c r="F1307" s="12" t="n">
        <v>4803603</v>
      </c>
      <c r="G1307" s="12" t="n">
        <v>4121000</v>
      </c>
      <c r="H1307" s="11" t="n">
        <v>16</v>
      </c>
      <c r="I1307" s="11" t="s">
        <v>69</v>
      </c>
      <c r="J1307" s="11" t="s">
        <v>80</v>
      </c>
      <c r="K1307" s="11" t="s">
        <v>81</v>
      </c>
      <c r="L1307" s="11" t="s">
        <v>82</v>
      </c>
      <c r="M1307" s="11" t="s">
        <v>73</v>
      </c>
      <c r="N1307" s="11" t="s">
        <v>104</v>
      </c>
      <c r="O1307" s="11" t="s">
        <v>105</v>
      </c>
      <c r="P1307" s="11" t="s">
        <v>106</v>
      </c>
      <c r="Q1307" s="13" t="n">
        <f aca="false">F1307*H1307</f>
        <v>76857648</v>
      </c>
      <c r="R1307" s="13" t="n">
        <f aca="false">G1307*H1307</f>
        <v>65936000</v>
      </c>
      <c r="S1307" s="13" t="n">
        <f aca="false">Q1307-R1307</f>
        <v>10921648</v>
      </c>
      <c r="T1307" s="14" t="n">
        <f aca="false">IFERROR(S1307/Q1307,0)</f>
        <v>0.142102292799801</v>
      </c>
      <c r="U1307" s="15" t="str">
        <f aca="false">TEXT(A1307,"yyyy-mm")</f>
        <v>2022-05</v>
      </c>
    </row>
    <row r="1308" customFormat="false" ht="15" hidden="false" customHeight="false" outlineLevel="0" collapsed="false">
      <c r="A1308" s="10" t="n">
        <v>44686</v>
      </c>
      <c r="B1308" s="11" t="s">
        <v>1440</v>
      </c>
      <c r="C1308" s="11" t="s">
        <v>135</v>
      </c>
      <c r="D1308" s="11" t="s">
        <v>118</v>
      </c>
      <c r="E1308" s="11" t="s">
        <v>68</v>
      </c>
      <c r="F1308" s="12" t="n">
        <v>5689947</v>
      </c>
      <c r="G1308" s="12" t="n">
        <v>5235000</v>
      </c>
      <c r="H1308" s="11" t="n">
        <v>5</v>
      </c>
      <c r="I1308" s="11" t="s">
        <v>69</v>
      </c>
      <c r="J1308" s="11" t="s">
        <v>80</v>
      </c>
      <c r="K1308" s="11" t="s">
        <v>81</v>
      </c>
      <c r="L1308" s="11" t="s">
        <v>82</v>
      </c>
      <c r="M1308" s="11" t="s">
        <v>73</v>
      </c>
      <c r="N1308" s="11" t="s">
        <v>143</v>
      </c>
      <c r="O1308" s="11" t="s">
        <v>144</v>
      </c>
      <c r="P1308" s="11" t="s">
        <v>101</v>
      </c>
      <c r="Q1308" s="13" t="n">
        <f aca="false">F1308*H1308</f>
        <v>28449735</v>
      </c>
      <c r="R1308" s="13" t="n">
        <f aca="false">G1308*H1308</f>
        <v>26175000</v>
      </c>
      <c r="S1308" s="13" t="n">
        <f aca="false">Q1308-R1308</f>
        <v>2274735</v>
      </c>
      <c r="T1308" s="14" t="n">
        <f aca="false">IFERROR(S1308/Q1308,0)</f>
        <v>0.0799562807878527</v>
      </c>
      <c r="U1308" s="15" t="str">
        <f aca="false">TEXT(A1308,"yyyy-mm")</f>
        <v>2022-05</v>
      </c>
    </row>
    <row r="1309" customFormat="false" ht="15" hidden="false" customHeight="false" outlineLevel="0" collapsed="false">
      <c r="A1309" s="10" t="n">
        <v>44686</v>
      </c>
      <c r="B1309" s="11" t="s">
        <v>1441</v>
      </c>
      <c r="C1309" s="11" t="s">
        <v>137</v>
      </c>
      <c r="D1309" s="11" t="s">
        <v>138</v>
      </c>
      <c r="E1309" s="11" t="s">
        <v>139</v>
      </c>
      <c r="F1309" s="12" t="n">
        <v>5171827</v>
      </c>
      <c r="G1309" s="12" t="n">
        <v>4890000</v>
      </c>
      <c r="H1309" s="11" t="n">
        <v>3</v>
      </c>
      <c r="I1309" s="11" t="s">
        <v>69</v>
      </c>
      <c r="J1309" s="11" t="s">
        <v>70</v>
      </c>
      <c r="K1309" s="11" t="s">
        <v>71</v>
      </c>
      <c r="L1309" s="11" t="s">
        <v>72</v>
      </c>
      <c r="M1309" s="11" t="s">
        <v>73</v>
      </c>
      <c r="N1309" s="11" t="s">
        <v>143</v>
      </c>
      <c r="O1309" s="11" t="s">
        <v>144</v>
      </c>
      <c r="P1309" s="11" t="s">
        <v>101</v>
      </c>
      <c r="Q1309" s="13" t="n">
        <f aca="false">F1309*H1309</f>
        <v>15515481</v>
      </c>
      <c r="R1309" s="13" t="n">
        <f aca="false">G1309*H1309</f>
        <v>14670000</v>
      </c>
      <c r="S1309" s="13" t="n">
        <f aca="false">Q1309-R1309</f>
        <v>845481</v>
      </c>
      <c r="T1309" s="14" t="n">
        <f aca="false">IFERROR(S1309/Q1309,0)</f>
        <v>0.0544927353525166</v>
      </c>
      <c r="U1309" s="15" t="str">
        <f aca="false">TEXT(A1309,"yyyy-mm")</f>
        <v>2022-05</v>
      </c>
    </row>
    <row r="1310" customFormat="false" ht="15" hidden="false" customHeight="false" outlineLevel="0" collapsed="false">
      <c r="A1310" s="10" t="n">
        <v>44686</v>
      </c>
      <c r="B1310" s="11" t="s">
        <v>1442</v>
      </c>
      <c r="C1310" s="11" t="s">
        <v>141</v>
      </c>
      <c r="D1310" s="11" t="s">
        <v>138</v>
      </c>
      <c r="E1310" s="11" t="s">
        <v>142</v>
      </c>
      <c r="F1310" s="12" t="n">
        <v>2805124</v>
      </c>
      <c r="G1310" s="12" t="n">
        <v>2178000</v>
      </c>
      <c r="H1310" s="11" t="n">
        <v>25</v>
      </c>
      <c r="I1310" s="11" t="s">
        <v>86</v>
      </c>
      <c r="J1310" s="11" t="s">
        <v>87</v>
      </c>
      <c r="K1310" s="11" t="s">
        <v>88</v>
      </c>
      <c r="L1310" s="11" t="s">
        <v>89</v>
      </c>
      <c r="M1310" s="11" t="s">
        <v>90</v>
      </c>
      <c r="N1310" s="11" t="s">
        <v>173</v>
      </c>
      <c r="O1310" s="11" t="s">
        <v>174</v>
      </c>
      <c r="P1310" s="11" t="s">
        <v>95</v>
      </c>
      <c r="Q1310" s="13" t="n">
        <f aca="false">F1310*H1310</f>
        <v>70128100</v>
      </c>
      <c r="R1310" s="13" t="n">
        <f aca="false">G1310*H1310</f>
        <v>54450000</v>
      </c>
      <c r="S1310" s="13" t="n">
        <f aca="false">Q1310-R1310</f>
        <v>15678100</v>
      </c>
      <c r="T1310" s="14" t="n">
        <f aca="false">IFERROR(S1310/Q1310,0)</f>
        <v>0.22356373550688</v>
      </c>
      <c r="U1310" s="15" t="str">
        <f aca="false">TEXT(A1310,"yyyy-mm")</f>
        <v>2022-05</v>
      </c>
    </row>
    <row r="1311" customFormat="false" ht="15" hidden="false" customHeight="false" outlineLevel="0" collapsed="false">
      <c r="A1311" s="10" t="n">
        <v>44687</v>
      </c>
      <c r="B1311" s="11" t="s">
        <v>1443</v>
      </c>
      <c r="C1311" s="11" t="s">
        <v>146</v>
      </c>
      <c r="D1311" s="11" t="s">
        <v>138</v>
      </c>
      <c r="E1311" s="11" t="s">
        <v>139</v>
      </c>
      <c r="F1311" s="12" t="n">
        <v>2728100</v>
      </c>
      <c r="G1311" s="12" t="n">
        <v>2321000</v>
      </c>
      <c r="H1311" s="11" t="n">
        <v>18</v>
      </c>
      <c r="I1311" s="11" t="s">
        <v>69</v>
      </c>
      <c r="J1311" s="11" t="s">
        <v>112</v>
      </c>
      <c r="K1311" s="11" t="s">
        <v>113</v>
      </c>
      <c r="L1311" s="11" t="s">
        <v>82</v>
      </c>
      <c r="M1311" s="11" t="s">
        <v>157</v>
      </c>
      <c r="N1311" s="11" t="s">
        <v>109</v>
      </c>
      <c r="O1311" s="11" t="s">
        <v>75</v>
      </c>
      <c r="P1311" s="11" t="s">
        <v>95</v>
      </c>
      <c r="Q1311" s="13" t="n">
        <f aca="false">F1311*H1311</f>
        <v>49105800</v>
      </c>
      <c r="R1311" s="13" t="n">
        <f aca="false">G1311*H1311</f>
        <v>41778000</v>
      </c>
      <c r="S1311" s="13" t="n">
        <f aca="false">Q1311-R1311</f>
        <v>7327800</v>
      </c>
      <c r="T1311" s="14" t="n">
        <f aca="false">IFERROR(S1311/Q1311,0)</f>
        <v>0.149224735163667</v>
      </c>
      <c r="U1311" s="15" t="str">
        <f aca="false">TEXT(A1311,"yyyy-mm")</f>
        <v>2022-05</v>
      </c>
    </row>
    <row r="1312" customFormat="false" ht="15" hidden="false" customHeight="false" outlineLevel="0" collapsed="false">
      <c r="A1312" s="10" t="n">
        <v>44687</v>
      </c>
      <c r="B1312" s="11" t="s">
        <v>1444</v>
      </c>
      <c r="C1312" s="11" t="s">
        <v>148</v>
      </c>
      <c r="D1312" s="11" t="s">
        <v>138</v>
      </c>
      <c r="E1312" s="11" t="s">
        <v>122</v>
      </c>
      <c r="F1312" s="12" t="n">
        <v>4941716</v>
      </c>
      <c r="G1312" s="12" t="n">
        <v>4456000</v>
      </c>
      <c r="H1312" s="11" t="n">
        <v>7</v>
      </c>
      <c r="I1312" s="11" t="s">
        <v>86</v>
      </c>
      <c r="J1312" s="11" t="s">
        <v>87</v>
      </c>
      <c r="K1312" s="11" t="s">
        <v>88</v>
      </c>
      <c r="L1312" s="11" t="s">
        <v>89</v>
      </c>
      <c r="M1312" s="11" t="s">
        <v>90</v>
      </c>
      <c r="N1312" s="11" t="s">
        <v>133</v>
      </c>
      <c r="O1312" s="11" t="s">
        <v>60</v>
      </c>
      <c r="P1312" s="11" t="s">
        <v>76</v>
      </c>
      <c r="Q1312" s="13" t="n">
        <f aca="false">F1312*H1312</f>
        <v>34592012</v>
      </c>
      <c r="R1312" s="13" t="n">
        <f aca="false">G1312*H1312</f>
        <v>31192000</v>
      </c>
      <c r="S1312" s="13" t="n">
        <f aca="false">Q1312-R1312</f>
        <v>3400012</v>
      </c>
      <c r="T1312" s="14" t="n">
        <f aca="false">IFERROR(S1312/Q1312,0)</f>
        <v>0.0982889344511097</v>
      </c>
      <c r="U1312" s="15" t="str">
        <f aca="false">TEXT(A1312,"yyyy-mm")</f>
        <v>2022-05</v>
      </c>
    </row>
    <row r="1313" customFormat="false" ht="15" hidden="false" customHeight="false" outlineLevel="0" collapsed="false">
      <c r="A1313" s="10" t="n">
        <v>44687</v>
      </c>
      <c r="B1313" s="11" t="s">
        <v>1445</v>
      </c>
      <c r="C1313" s="11" t="s">
        <v>66</v>
      </c>
      <c r="D1313" s="11" t="s">
        <v>67</v>
      </c>
      <c r="E1313" s="11" t="s">
        <v>68</v>
      </c>
      <c r="F1313" s="12" t="n">
        <v>3048952</v>
      </c>
      <c r="G1313" s="12" t="n">
        <v>2560000</v>
      </c>
      <c r="H1313" s="11" t="n">
        <v>20</v>
      </c>
      <c r="I1313" s="11" t="s">
        <v>69</v>
      </c>
      <c r="J1313" s="11" t="s">
        <v>112</v>
      </c>
      <c r="K1313" s="11" t="s">
        <v>113</v>
      </c>
      <c r="L1313" s="11" t="s">
        <v>82</v>
      </c>
      <c r="M1313" s="11" t="s">
        <v>157</v>
      </c>
      <c r="N1313" s="11" t="s">
        <v>133</v>
      </c>
      <c r="O1313" s="11" t="s">
        <v>60</v>
      </c>
      <c r="P1313" s="11" t="s">
        <v>76</v>
      </c>
      <c r="Q1313" s="13" t="n">
        <f aca="false">F1313*H1313</f>
        <v>60979040</v>
      </c>
      <c r="R1313" s="13" t="n">
        <f aca="false">G1313*H1313</f>
        <v>51200000</v>
      </c>
      <c r="S1313" s="13" t="n">
        <f aca="false">Q1313-R1313</f>
        <v>9779040</v>
      </c>
      <c r="T1313" s="14" t="n">
        <f aca="false">IFERROR(S1313/Q1313,0)</f>
        <v>0.160367234380863</v>
      </c>
      <c r="U1313" s="15" t="str">
        <f aca="false">TEXT(A1313,"yyyy-mm")</f>
        <v>2022-05</v>
      </c>
    </row>
    <row r="1314" customFormat="false" ht="15" hidden="false" customHeight="false" outlineLevel="0" collapsed="false">
      <c r="A1314" s="10" t="n">
        <v>44687</v>
      </c>
      <c r="B1314" s="11" t="s">
        <v>1446</v>
      </c>
      <c r="C1314" s="11" t="s">
        <v>78</v>
      </c>
      <c r="D1314" s="11" t="s">
        <v>67</v>
      </c>
      <c r="E1314" s="11" t="s">
        <v>79</v>
      </c>
      <c r="F1314" s="12" t="n">
        <v>1870000</v>
      </c>
      <c r="G1314" s="12" t="n">
        <v>1650000</v>
      </c>
      <c r="H1314" s="11" t="n">
        <v>9</v>
      </c>
      <c r="I1314" s="11" t="s">
        <v>69</v>
      </c>
      <c r="J1314" s="11" t="s">
        <v>80</v>
      </c>
      <c r="K1314" s="11" t="s">
        <v>81</v>
      </c>
      <c r="L1314" s="11" t="s">
        <v>82</v>
      </c>
      <c r="M1314" s="11" t="s">
        <v>73</v>
      </c>
      <c r="N1314" s="11" t="s">
        <v>93</v>
      </c>
      <c r="O1314" s="11" t="s">
        <v>94</v>
      </c>
      <c r="P1314" s="11" t="s">
        <v>95</v>
      </c>
      <c r="Q1314" s="13" t="n">
        <f aca="false">F1314*H1314</f>
        <v>16830000</v>
      </c>
      <c r="R1314" s="13" t="n">
        <f aca="false">G1314*H1314</f>
        <v>14850000</v>
      </c>
      <c r="S1314" s="13" t="n">
        <f aca="false">Q1314-R1314</f>
        <v>1980000</v>
      </c>
      <c r="T1314" s="14" t="n">
        <f aca="false">IFERROR(S1314/Q1314,0)</f>
        <v>0.117647058823529</v>
      </c>
      <c r="U1314" s="15" t="str">
        <f aca="false">TEXT(A1314,"yyyy-mm")</f>
        <v>2022-05</v>
      </c>
    </row>
    <row r="1315" customFormat="false" ht="15" hidden="false" customHeight="false" outlineLevel="0" collapsed="false">
      <c r="A1315" s="10" t="n">
        <v>44688</v>
      </c>
      <c r="B1315" s="11" t="s">
        <v>1447</v>
      </c>
      <c r="C1315" s="11" t="s">
        <v>84</v>
      </c>
      <c r="D1315" s="11" t="s">
        <v>67</v>
      </c>
      <c r="E1315" s="11" t="s">
        <v>85</v>
      </c>
      <c r="F1315" s="12" t="n">
        <v>2600000</v>
      </c>
      <c r="G1315" s="12" t="n">
        <v>2300000</v>
      </c>
      <c r="H1315" s="11" t="n">
        <v>13</v>
      </c>
      <c r="I1315" s="11" t="s">
        <v>69</v>
      </c>
      <c r="J1315" s="11" t="s">
        <v>80</v>
      </c>
      <c r="K1315" s="11" t="s">
        <v>81</v>
      </c>
      <c r="L1315" s="11" t="s">
        <v>82</v>
      </c>
      <c r="M1315" s="11" t="s">
        <v>73</v>
      </c>
      <c r="N1315" s="11" t="s">
        <v>93</v>
      </c>
      <c r="O1315" s="11" t="s">
        <v>94</v>
      </c>
      <c r="P1315" s="11" t="s">
        <v>95</v>
      </c>
      <c r="Q1315" s="13" t="n">
        <f aca="false">F1315*H1315</f>
        <v>33800000</v>
      </c>
      <c r="R1315" s="13" t="n">
        <f aca="false">G1315*H1315</f>
        <v>29900000</v>
      </c>
      <c r="S1315" s="13" t="n">
        <f aca="false">Q1315-R1315</f>
        <v>3900000</v>
      </c>
      <c r="T1315" s="14" t="n">
        <f aca="false">IFERROR(S1315/Q1315,0)</f>
        <v>0.115384615384615</v>
      </c>
      <c r="U1315" s="15" t="str">
        <f aca="false">TEXT(A1315,"yyyy-mm")</f>
        <v>2022-05</v>
      </c>
    </row>
    <row r="1316" customFormat="false" ht="15" hidden="false" customHeight="false" outlineLevel="0" collapsed="false">
      <c r="A1316" s="10" t="n">
        <v>44688</v>
      </c>
      <c r="B1316" s="11" t="s">
        <v>1448</v>
      </c>
      <c r="C1316" s="11" t="s">
        <v>92</v>
      </c>
      <c r="D1316" s="11" t="s">
        <v>67</v>
      </c>
      <c r="E1316" s="11" t="s">
        <v>79</v>
      </c>
      <c r="F1316" s="12" t="n">
        <v>3577480</v>
      </c>
      <c r="G1316" s="12" t="n">
        <v>3100000</v>
      </c>
      <c r="H1316" s="11" t="n">
        <v>13</v>
      </c>
      <c r="I1316" s="11" t="s">
        <v>69</v>
      </c>
      <c r="J1316" s="11" t="s">
        <v>80</v>
      </c>
      <c r="K1316" s="11" t="s">
        <v>81</v>
      </c>
      <c r="L1316" s="11" t="s">
        <v>82</v>
      </c>
      <c r="M1316" s="11" t="s">
        <v>73</v>
      </c>
      <c r="N1316" s="11" t="s">
        <v>143</v>
      </c>
      <c r="O1316" s="11" t="s">
        <v>144</v>
      </c>
      <c r="P1316" s="11" t="s">
        <v>101</v>
      </c>
      <c r="Q1316" s="13" t="n">
        <f aca="false">F1316*H1316</f>
        <v>46507240</v>
      </c>
      <c r="R1316" s="13" t="n">
        <f aca="false">G1316*H1316</f>
        <v>40300000</v>
      </c>
      <c r="S1316" s="13" t="n">
        <f aca="false">Q1316-R1316</f>
        <v>6207240</v>
      </c>
      <c r="T1316" s="14" t="n">
        <f aca="false">IFERROR(S1316/Q1316,0)</f>
        <v>0.133468251394837</v>
      </c>
      <c r="U1316" s="15" t="str">
        <f aca="false">TEXT(A1316,"yyyy-mm")</f>
        <v>2022-05</v>
      </c>
    </row>
    <row r="1317" customFormat="false" ht="15" hidden="false" customHeight="false" outlineLevel="0" collapsed="false">
      <c r="A1317" s="10" t="n">
        <v>44688</v>
      </c>
      <c r="B1317" s="11" t="s">
        <v>1449</v>
      </c>
      <c r="C1317" s="11" t="s">
        <v>97</v>
      </c>
      <c r="D1317" s="11" t="s">
        <v>67</v>
      </c>
      <c r="E1317" s="11" t="s">
        <v>98</v>
      </c>
      <c r="F1317" s="12" t="n">
        <v>4969724</v>
      </c>
      <c r="G1317" s="12" t="n">
        <v>4121560</v>
      </c>
      <c r="H1317" s="11" t="n">
        <v>14</v>
      </c>
      <c r="I1317" s="11" t="s">
        <v>69</v>
      </c>
      <c r="J1317" s="11" t="s">
        <v>80</v>
      </c>
      <c r="K1317" s="11" t="s">
        <v>81</v>
      </c>
      <c r="L1317" s="11" t="s">
        <v>82</v>
      </c>
      <c r="M1317" s="11" t="s">
        <v>73</v>
      </c>
      <c r="N1317" s="11" t="s">
        <v>74</v>
      </c>
      <c r="O1317" s="11" t="s">
        <v>75</v>
      </c>
      <c r="P1317" s="11" t="s">
        <v>76</v>
      </c>
      <c r="Q1317" s="13" t="n">
        <f aca="false">F1317*H1317</f>
        <v>69576136</v>
      </c>
      <c r="R1317" s="13" t="n">
        <f aca="false">G1317*H1317</f>
        <v>57701840</v>
      </c>
      <c r="S1317" s="13" t="n">
        <f aca="false">Q1317-R1317</f>
        <v>11874296</v>
      </c>
      <c r="T1317" s="14" t="n">
        <f aca="false">IFERROR(S1317/Q1317,0)</f>
        <v>0.170666218083741</v>
      </c>
      <c r="U1317" s="15" t="str">
        <f aca="false">TEXT(A1317,"yyyy-mm")</f>
        <v>2022-05</v>
      </c>
    </row>
    <row r="1318" customFormat="false" ht="15" hidden="false" customHeight="false" outlineLevel="0" collapsed="false">
      <c r="A1318" s="10" t="n">
        <v>44688</v>
      </c>
      <c r="B1318" s="11" t="s">
        <v>1450</v>
      </c>
      <c r="C1318" s="11" t="s">
        <v>103</v>
      </c>
      <c r="D1318" s="11" t="s">
        <v>67</v>
      </c>
      <c r="E1318" s="11" t="s">
        <v>68</v>
      </c>
      <c r="F1318" s="12" t="n">
        <v>3319925</v>
      </c>
      <c r="G1318" s="12" t="n">
        <v>2800000</v>
      </c>
      <c r="H1318" s="11" t="n">
        <v>4</v>
      </c>
      <c r="I1318" s="11" t="s">
        <v>69</v>
      </c>
      <c r="J1318" s="11" t="s">
        <v>80</v>
      </c>
      <c r="K1318" s="11" t="s">
        <v>81</v>
      </c>
      <c r="L1318" s="11" t="s">
        <v>82</v>
      </c>
      <c r="M1318" s="11" t="s">
        <v>73</v>
      </c>
      <c r="N1318" s="11" t="s">
        <v>133</v>
      </c>
      <c r="O1318" s="11" t="s">
        <v>60</v>
      </c>
      <c r="P1318" s="11" t="s">
        <v>76</v>
      </c>
      <c r="Q1318" s="13" t="n">
        <f aca="false">F1318*H1318</f>
        <v>13279700</v>
      </c>
      <c r="R1318" s="13" t="n">
        <f aca="false">G1318*H1318</f>
        <v>11200000</v>
      </c>
      <c r="S1318" s="13" t="n">
        <f aca="false">Q1318-R1318</f>
        <v>2079700</v>
      </c>
      <c r="T1318" s="14" t="n">
        <f aca="false">IFERROR(S1318/Q1318,0)</f>
        <v>0.15660745348163</v>
      </c>
      <c r="U1318" s="15" t="str">
        <f aca="false">TEXT(A1318,"yyyy-mm")</f>
        <v>2022-05</v>
      </c>
    </row>
    <row r="1319" customFormat="false" ht="15" hidden="false" customHeight="false" outlineLevel="0" collapsed="false">
      <c r="A1319" s="10" t="n">
        <v>44689</v>
      </c>
      <c r="B1319" s="11" t="s">
        <v>1451</v>
      </c>
      <c r="C1319" s="11" t="s">
        <v>108</v>
      </c>
      <c r="D1319" s="11" t="s">
        <v>67</v>
      </c>
      <c r="E1319" s="11" t="s">
        <v>68</v>
      </c>
      <c r="F1319" s="12" t="n">
        <v>4757880</v>
      </c>
      <c r="G1319" s="12" t="n">
        <v>3450000</v>
      </c>
      <c r="H1319" s="11" t="n">
        <v>15</v>
      </c>
      <c r="I1319" s="11" t="s">
        <v>69</v>
      </c>
      <c r="J1319" s="11" t="s">
        <v>80</v>
      </c>
      <c r="K1319" s="11" t="s">
        <v>81</v>
      </c>
      <c r="L1319" s="11" t="s">
        <v>82</v>
      </c>
      <c r="M1319" s="11" t="s">
        <v>73</v>
      </c>
      <c r="N1319" s="11" t="s">
        <v>109</v>
      </c>
      <c r="O1319" s="11" t="s">
        <v>75</v>
      </c>
      <c r="P1319" s="11" t="s">
        <v>95</v>
      </c>
      <c r="Q1319" s="13" t="n">
        <f aca="false">F1319*H1319</f>
        <v>71368200</v>
      </c>
      <c r="R1319" s="13" t="n">
        <f aca="false">G1319*H1319</f>
        <v>51750000</v>
      </c>
      <c r="S1319" s="13" t="n">
        <f aca="false">Q1319-R1319</f>
        <v>19618200</v>
      </c>
      <c r="T1319" s="14" t="n">
        <f aca="false">IFERROR(S1319/Q1319,0)</f>
        <v>0.274887134606169</v>
      </c>
      <c r="U1319" s="15" t="str">
        <f aca="false">TEXT(A1319,"yyyy-mm")</f>
        <v>2022-05</v>
      </c>
    </row>
    <row r="1320" customFormat="false" ht="15" hidden="false" customHeight="false" outlineLevel="0" collapsed="false">
      <c r="A1320" s="10" t="n">
        <v>44690</v>
      </c>
      <c r="B1320" s="11" t="s">
        <v>1452</v>
      </c>
      <c r="C1320" s="11" t="s">
        <v>111</v>
      </c>
      <c r="D1320" s="11" t="s">
        <v>67</v>
      </c>
      <c r="E1320" s="11" t="s">
        <v>79</v>
      </c>
      <c r="F1320" s="12" t="n">
        <v>3545808</v>
      </c>
      <c r="G1320" s="12" t="n">
        <v>3350000</v>
      </c>
      <c r="H1320" s="11" t="n">
        <v>19</v>
      </c>
      <c r="I1320" s="11" t="s">
        <v>69</v>
      </c>
      <c r="J1320" s="11" t="s">
        <v>80</v>
      </c>
      <c r="K1320" s="11" t="s">
        <v>81</v>
      </c>
      <c r="L1320" s="11" t="s">
        <v>82</v>
      </c>
      <c r="M1320" s="11" t="s">
        <v>73</v>
      </c>
      <c r="N1320" s="11" t="s">
        <v>123</v>
      </c>
      <c r="O1320" s="11" t="s">
        <v>60</v>
      </c>
      <c r="P1320" s="11" t="s">
        <v>106</v>
      </c>
      <c r="Q1320" s="13" t="n">
        <f aca="false">F1320*H1320</f>
        <v>67370352</v>
      </c>
      <c r="R1320" s="13" t="n">
        <f aca="false">G1320*H1320</f>
        <v>63650000</v>
      </c>
      <c r="S1320" s="13" t="n">
        <f aca="false">Q1320-R1320</f>
        <v>3720352</v>
      </c>
      <c r="T1320" s="14" t="n">
        <f aca="false">IFERROR(S1320/Q1320,0)</f>
        <v>0.0552223921881839</v>
      </c>
      <c r="U1320" s="15" t="str">
        <f aca="false">TEXT(A1320,"yyyy-mm")</f>
        <v>2022-05</v>
      </c>
    </row>
    <row r="1321" customFormat="false" ht="15" hidden="false" customHeight="false" outlineLevel="0" collapsed="false">
      <c r="A1321" s="10" t="n">
        <v>44690</v>
      </c>
      <c r="B1321" s="11" t="s">
        <v>1453</v>
      </c>
      <c r="C1321" s="11" t="s">
        <v>115</v>
      </c>
      <c r="D1321" s="11" t="s">
        <v>67</v>
      </c>
      <c r="E1321" s="11" t="s">
        <v>98</v>
      </c>
      <c r="F1321" s="12" t="n">
        <v>4200743</v>
      </c>
      <c r="G1321" s="12" t="n">
        <v>4101000</v>
      </c>
      <c r="H1321" s="11" t="n">
        <v>9</v>
      </c>
      <c r="I1321" s="11" t="s">
        <v>69</v>
      </c>
      <c r="J1321" s="11" t="s">
        <v>70</v>
      </c>
      <c r="K1321" s="11" t="s">
        <v>71</v>
      </c>
      <c r="L1321" s="11" t="s">
        <v>72</v>
      </c>
      <c r="M1321" s="11" t="s">
        <v>73</v>
      </c>
      <c r="N1321" s="11" t="s">
        <v>149</v>
      </c>
      <c r="O1321" s="11" t="s">
        <v>150</v>
      </c>
      <c r="P1321" s="11" t="s">
        <v>151</v>
      </c>
      <c r="Q1321" s="13" t="n">
        <f aca="false">F1321*H1321</f>
        <v>37806687</v>
      </c>
      <c r="R1321" s="13" t="n">
        <f aca="false">G1321*H1321</f>
        <v>36909000</v>
      </c>
      <c r="S1321" s="13" t="n">
        <f aca="false">Q1321-R1321</f>
        <v>897687</v>
      </c>
      <c r="T1321" s="14" t="n">
        <f aca="false">IFERROR(S1321/Q1321,0)</f>
        <v>0.023744132883159</v>
      </c>
      <c r="U1321" s="15" t="str">
        <f aca="false">TEXT(A1321,"yyyy-mm")</f>
        <v>2022-05</v>
      </c>
    </row>
    <row r="1322" customFormat="false" ht="15" hidden="false" customHeight="false" outlineLevel="0" collapsed="false">
      <c r="A1322" s="10" t="n">
        <v>44690</v>
      </c>
      <c r="B1322" s="11" t="s">
        <v>1454</v>
      </c>
      <c r="C1322" s="11" t="s">
        <v>117</v>
      </c>
      <c r="D1322" s="11" t="s">
        <v>118</v>
      </c>
      <c r="E1322" s="11" t="s">
        <v>119</v>
      </c>
      <c r="F1322" s="12" t="n">
        <v>8220549</v>
      </c>
      <c r="G1322" s="12" t="n">
        <v>6500000</v>
      </c>
      <c r="H1322" s="11" t="n">
        <v>17</v>
      </c>
      <c r="I1322" s="11" t="s">
        <v>86</v>
      </c>
      <c r="J1322" s="11" t="s">
        <v>87</v>
      </c>
      <c r="K1322" s="11" t="s">
        <v>88</v>
      </c>
      <c r="L1322" s="11" t="s">
        <v>89</v>
      </c>
      <c r="M1322" s="11" t="s">
        <v>90</v>
      </c>
      <c r="N1322" s="11" t="s">
        <v>93</v>
      </c>
      <c r="O1322" s="11" t="s">
        <v>94</v>
      </c>
      <c r="P1322" s="11" t="s">
        <v>95</v>
      </c>
      <c r="Q1322" s="13" t="n">
        <f aca="false">F1322*H1322</f>
        <v>139749333</v>
      </c>
      <c r="R1322" s="13" t="n">
        <f aca="false">G1322*H1322</f>
        <v>110500000</v>
      </c>
      <c r="S1322" s="13" t="n">
        <f aca="false">Q1322-R1322</f>
        <v>29249333</v>
      </c>
      <c r="T1322" s="14" t="n">
        <f aca="false">IFERROR(S1322/Q1322,0)</f>
        <v>0.209298551714733</v>
      </c>
      <c r="U1322" s="15" t="str">
        <f aca="false">TEXT(A1322,"yyyy-mm")</f>
        <v>2022-05</v>
      </c>
    </row>
    <row r="1323" customFormat="false" ht="15" hidden="false" customHeight="false" outlineLevel="0" collapsed="false">
      <c r="A1323" s="10" t="n">
        <v>44690</v>
      </c>
      <c r="B1323" s="11" t="s">
        <v>1455</v>
      </c>
      <c r="C1323" s="11" t="s">
        <v>121</v>
      </c>
      <c r="D1323" s="11" t="s">
        <v>118</v>
      </c>
      <c r="E1323" s="11" t="s">
        <v>122</v>
      </c>
      <c r="F1323" s="12" t="n">
        <v>7687274</v>
      </c>
      <c r="G1323" s="12" t="n">
        <v>6500000</v>
      </c>
      <c r="H1323" s="11" t="n">
        <v>18</v>
      </c>
      <c r="I1323" s="11" t="s">
        <v>69</v>
      </c>
      <c r="J1323" s="11" t="s">
        <v>112</v>
      </c>
      <c r="K1323" s="11" t="s">
        <v>113</v>
      </c>
      <c r="L1323" s="11" t="s">
        <v>82</v>
      </c>
      <c r="M1323" s="11" t="s">
        <v>157</v>
      </c>
      <c r="N1323" s="11" t="s">
        <v>173</v>
      </c>
      <c r="O1323" s="11" t="s">
        <v>174</v>
      </c>
      <c r="P1323" s="11" t="s">
        <v>95</v>
      </c>
      <c r="Q1323" s="13" t="n">
        <f aca="false">F1323*H1323</f>
        <v>138370932</v>
      </c>
      <c r="R1323" s="13" t="n">
        <f aca="false">G1323*H1323</f>
        <v>117000000</v>
      </c>
      <c r="S1323" s="13" t="n">
        <f aca="false">Q1323-R1323</f>
        <v>21370932</v>
      </c>
      <c r="T1323" s="14" t="n">
        <f aca="false">IFERROR(S1323/Q1323,0)</f>
        <v>0.154446686822923</v>
      </c>
      <c r="U1323" s="15" t="str">
        <f aca="false">TEXT(A1323,"yyyy-mm")</f>
        <v>2022-05</v>
      </c>
    </row>
    <row r="1324" customFormat="false" ht="15" hidden="false" customHeight="false" outlineLevel="0" collapsed="false">
      <c r="A1324" s="10" t="n">
        <v>44691</v>
      </c>
      <c r="B1324" s="11" t="s">
        <v>1456</v>
      </c>
      <c r="C1324" s="11" t="s">
        <v>125</v>
      </c>
      <c r="D1324" s="11" t="s">
        <v>118</v>
      </c>
      <c r="E1324" s="11" t="s">
        <v>126</v>
      </c>
      <c r="F1324" s="12" t="n">
        <v>5684211</v>
      </c>
      <c r="G1324" s="12" t="n">
        <v>4300000</v>
      </c>
      <c r="H1324" s="11" t="n">
        <v>13</v>
      </c>
      <c r="I1324" s="11" t="s">
        <v>69</v>
      </c>
      <c r="J1324" s="11" t="s">
        <v>80</v>
      </c>
      <c r="K1324" s="11" t="s">
        <v>81</v>
      </c>
      <c r="L1324" s="11" t="s">
        <v>82</v>
      </c>
      <c r="M1324" s="11" t="s">
        <v>73</v>
      </c>
      <c r="N1324" s="11" t="s">
        <v>133</v>
      </c>
      <c r="O1324" s="11" t="s">
        <v>60</v>
      </c>
      <c r="P1324" s="11" t="s">
        <v>76</v>
      </c>
      <c r="Q1324" s="13" t="n">
        <f aca="false">F1324*H1324</f>
        <v>73894743</v>
      </c>
      <c r="R1324" s="13" t="n">
        <f aca="false">G1324*H1324</f>
        <v>55900000</v>
      </c>
      <c r="S1324" s="13" t="n">
        <f aca="false">Q1324-R1324</f>
        <v>17994743</v>
      </c>
      <c r="T1324" s="14" t="n">
        <f aca="false">IFERROR(S1324/Q1324,0)</f>
        <v>0.243518581558637</v>
      </c>
      <c r="U1324" s="15" t="str">
        <f aca="false">TEXT(A1324,"yyyy-mm")</f>
        <v>2022-05</v>
      </c>
    </row>
    <row r="1325" customFormat="false" ht="15" hidden="false" customHeight="false" outlineLevel="0" collapsed="false">
      <c r="A1325" s="10" t="n">
        <v>44691</v>
      </c>
      <c r="B1325" s="11" t="s">
        <v>1457</v>
      </c>
      <c r="C1325" s="11" t="s">
        <v>128</v>
      </c>
      <c r="D1325" s="11" t="s">
        <v>118</v>
      </c>
      <c r="E1325" s="11" t="s">
        <v>119</v>
      </c>
      <c r="F1325" s="12" t="n">
        <v>3370302</v>
      </c>
      <c r="G1325" s="12" t="n">
        <v>2100000</v>
      </c>
      <c r="H1325" s="11" t="n">
        <v>26</v>
      </c>
      <c r="I1325" s="11" t="s">
        <v>69</v>
      </c>
      <c r="J1325" s="11" t="s">
        <v>80</v>
      </c>
      <c r="K1325" s="11" t="s">
        <v>81</v>
      </c>
      <c r="L1325" s="11" t="s">
        <v>82</v>
      </c>
      <c r="M1325" s="11" t="s">
        <v>73</v>
      </c>
      <c r="N1325" s="11" t="s">
        <v>99</v>
      </c>
      <c r="O1325" s="11" t="s">
        <v>100</v>
      </c>
      <c r="P1325" s="11" t="s">
        <v>101</v>
      </c>
      <c r="Q1325" s="13" t="n">
        <f aca="false">F1325*H1325</f>
        <v>87627852</v>
      </c>
      <c r="R1325" s="13" t="n">
        <f aca="false">G1325*H1325</f>
        <v>54600000</v>
      </c>
      <c r="S1325" s="13" t="n">
        <f aca="false">Q1325-R1325</f>
        <v>33027852</v>
      </c>
      <c r="T1325" s="14" t="n">
        <f aca="false">IFERROR(S1325/Q1325,0)</f>
        <v>0.37691043710623</v>
      </c>
      <c r="U1325" s="15" t="str">
        <f aca="false">TEXT(A1325,"yyyy-mm")</f>
        <v>2022-05</v>
      </c>
    </row>
    <row r="1326" customFormat="false" ht="15" hidden="false" customHeight="false" outlineLevel="0" collapsed="false">
      <c r="A1326" s="10" t="n">
        <v>44691</v>
      </c>
      <c r="B1326" s="11" t="s">
        <v>1458</v>
      </c>
      <c r="C1326" s="11" t="s">
        <v>130</v>
      </c>
      <c r="D1326" s="11" t="s">
        <v>118</v>
      </c>
      <c r="E1326" s="11" t="s">
        <v>68</v>
      </c>
      <c r="F1326" s="12" t="n">
        <v>2852897</v>
      </c>
      <c r="G1326" s="12" t="n">
        <v>2450000</v>
      </c>
      <c r="H1326" s="11" t="n">
        <v>3</v>
      </c>
      <c r="I1326" s="11" t="s">
        <v>69</v>
      </c>
      <c r="J1326" s="11" t="s">
        <v>112</v>
      </c>
      <c r="K1326" s="11" t="s">
        <v>113</v>
      </c>
      <c r="L1326" s="11" t="s">
        <v>82</v>
      </c>
      <c r="M1326" s="11" t="s">
        <v>157</v>
      </c>
      <c r="N1326" s="11" t="s">
        <v>133</v>
      </c>
      <c r="O1326" s="11" t="s">
        <v>60</v>
      </c>
      <c r="P1326" s="11" t="s">
        <v>76</v>
      </c>
      <c r="Q1326" s="13" t="n">
        <f aca="false">F1326*H1326</f>
        <v>8558691</v>
      </c>
      <c r="R1326" s="13" t="n">
        <f aca="false">G1326*H1326</f>
        <v>7350000</v>
      </c>
      <c r="S1326" s="13" t="n">
        <f aca="false">Q1326-R1326</f>
        <v>1208691</v>
      </c>
      <c r="T1326" s="14" t="n">
        <f aca="false">IFERROR(S1326/Q1326,0)</f>
        <v>0.141223815651249</v>
      </c>
      <c r="U1326" s="15" t="str">
        <f aca="false">TEXT(A1326,"yyyy-mm")</f>
        <v>2022-05</v>
      </c>
    </row>
    <row r="1327" customFormat="false" ht="15" hidden="false" customHeight="false" outlineLevel="0" collapsed="false">
      <c r="A1327" s="10" t="n">
        <v>44692</v>
      </c>
      <c r="B1327" s="11" t="s">
        <v>1459</v>
      </c>
      <c r="C1327" s="11" t="s">
        <v>132</v>
      </c>
      <c r="D1327" s="11" t="s">
        <v>118</v>
      </c>
      <c r="E1327" s="11" t="s">
        <v>68</v>
      </c>
      <c r="F1327" s="12" t="n">
        <v>4803603</v>
      </c>
      <c r="G1327" s="12" t="n">
        <v>4121000</v>
      </c>
      <c r="H1327" s="11" t="n">
        <v>24</v>
      </c>
      <c r="I1327" s="11" t="s">
        <v>69</v>
      </c>
      <c r="J1327" s="11" t="s">
        <v>80</v>
      </c>
      <c r="K1327" s="11" t="s">
        <v>81</v>
      </c>
      <c r="L1327" s="11" t="s">
        <v>82</v>
      </c>
      <c r="M1327" s="11" t="s">
        <v>73</v>
      </c>
      <c r="N1327" s="11" t="s">
        <v>93</v>
      </c>
      <c r="O1327" s="11" t="s">
        <v>94</v>
      </c>
      <c r="P1327" s="11" t="s">
        <v>95</v>
      </c>
      <c r="Q1327" s="13" t="n">
        <f aca="false">F1327*H1327</f>
        <v>115286472</v>
      </c>
      <c r="R1327" s="13" t="n">
        <f aca="false">G1327*H1327</f>
        <v>98904000</v>
      </c>
      <c r="S1327" s="13" t="n">
        <f aca="false">Q1327-R1327</f>
        <v>16382472</v>
      </c>
      <c r="T1327" s="14" t="n">
        <f aca="false">IFERROR(S1327/Q1327,0)</f>
        <v>0.142102292799801</v>
      </c>
      <c r="U1327" s="15" t="str">
        <f aca="false">TEXT(A1327,"yyyy-mm")</f>
        <v>2022-05</v>
      </c>
    </row>
    <row r="1328" customFormat="false" ht="15" hidden="false" customHeight="false" outlineLevel="0" collapsed="false">
      <c r="A1328" s="10" t="n">
        <v>44692</v>
      </c>
      <c r="B1328" s="11" t="s">
        <v>1460</v>
      </c>
      <c r="C1328" s="11" t="s">
        <v>135</v>
      </c>
      <c r="D1328" s="11" t="s">
        <v>118</v>
      </c>
      <c r="E1328" s="11" t="s">
        <v>68</v>
      </c>
      <c r="F1328" s="12" t="n">
        <v>5689947</v>
      </c>
      <c r="G1328" s="12" t="n">
        <v>5235000</v>
      </c>
      <c r="H1328" s="11" t="n">
        <v>19</v>
      </c>
      <c r="I1328" s="11" t="s">
        <v>69</v>
      </c>
      <c r="J1328" s="11" t="s">
        <v>80</v>
      </c>
      <c r="K1328" s="11" t="s">
        <v>81</v>
      </c>
      <c r="L1328" s="11" t="s">
        <v>82</v>
      </c>
      <c r="M1328" s="11" t="s">
        <v>73</v>
      </c>
      <c r="N1328" s="11" t="s">
        <v>123</v>
      </c>
      <c r="O1328" s="11" t="s">
        <v>60</v>
      </c>
      <c r="P1328" s="11" t="s">
        <v>106</v>
      </c>
      <c r="Q1328" s="13" t="n">
        <f aca="false">F1328*H1328</f>
        <v>108108993</v>
      </c>
      <c r="R1328" s="13" t="n">
        <f aca="false">G1328*H1328</f>
        <v>99465000</v>
      </c>
      <c r="S1328" s="13" t="n">
        <f aca="false">Q1328-R1328</f>
        <v>8643993</v>
      </c>
      <c r="T1328" s="14" t="n">
        <f aca="false">IFERROR(S1328/Q1328,0)</f>
        <v>0.0799562807878527</v>
      </c>
      <c r="U1328" s="15" t="str">
        <f aca="false">TEXT(A1328,"yyyy-mm")</f>
        <v>2022-05</v>
      </c>
    </row>
    <row r="1329" customFormat="false" ht="15" hidden="false" customHeight="false" outlineLevel="0" collapsed="false">
      <c r="A1329" s="10" t="n">
        <v>44693</v>
      </c>
      <c r="B1329" s="11" t="s">
        <v>1461</v>
      </c>
      <c r="C1329" s="11" t="s">
        <v>137</v>
      </c>
      <c r="D1329" s="11" t="s">
        <v>138</v>
      </c>
      <c r="E1329" s="11" t="s">
        <v>139</v>
      </c>
      <c r="F1329" s="12" t="n">
        <v>5171827</v>
      </c>
      <c r="G1329" s="12" t="n">
        <v>4890000</v>
      </c>
      <c r="H1329" s="11" t="n">
        <v>11</v>
      </c>
      <c r="I1329" s="11" t="s">
        <v>69</v>
      </c>
      <c r="J1329" s="11" t="s">
        <v>80</v>
      </c>
      <c r="K1329" s="11" t="s">
        <v>81</v>
      </c>
      <c r="L1329" s="11" t="s">
        <v>82</v>
      </c>
      <c r="M1329" s="11" t="s">
        <v>73</v>
      </c>
      <c r="N1329" s="11" t="s">
        <v>74</v>
      </c>
      <c r="O1329" s="11" t="s">
        <v>75</v>
      </c>
      <c r="P1329" s="11" t="s">
        <v>76</v>
      </c>
      <c r="Q1329" s="13" t="n">
        <f aca="false">F1329*H1329</f>
        <v>56890097</v>
      </c>
      <c r="R1329" s="13" t="n">
        <f aca="false">G1329*H1329</f>
        <v>53790000</v>
      </c>
      <c r="S1329" s="13" t="n">
        <f aca="false">Q1329-R1329</f>
        <v>3100097</v>
      </c>
      <c r="T1329" s="14" t="n">
        <f aca="false">IFERROR(S1329/Q1329,0)</f>
        <v>0.0544927353525166</v>
      </c>
      <c r="U1329" s="15" t="str">
        <f aca="false">TEXT(A1329,"yyyy-mm")</f>
        <v>2022-05</v>
      </c>
    </row>
    <row r="1330" customFormat="false" ht="15" hidden="false" customHeight="false" outlineLevel="0" collapsed="false">
      <c r="A1330" s="10" t="n">
        <v>44693</v>
      </c>
      <c r="B1330" s="11" t="s">
        <v>1462</v>
      </c>
      <c r="C1330" s="11" t="s">
        <v>141</v>
      </c>
      <c r="D1330" s="11" t="s">
        <v>138</v>
      </c>
      <c r="E1330" s="11" t="s">
        <v>142</v>
      </c>
      <c r="F1330" s="12" t="n">
        <v>2805124</v>
      </c>
      <c r="G1330" s="12" t="n">
        <v>2178000</v>
      </c>
      <c r="H1330" s="11" t="n">
        <v>5</v>
      </c>
      <c r="I1330" s="11" t="s">
        <v>69</v>
      </c>
      <c r="J1330" s="11" t="s">
        <v>80</v>
      </c>
      <c r="K1330" s="11" t="s">
        <v>81</v>
      </c>
      <c r="L1330" s="11" t="s">
        <v>82</v>
      </c>
      <c r="M1330" s="11" t="s">
        <v>73</v>
      </c>
      <c r="N1330" s="11" t="s">
        <v>99</v>
      </c>
      <c r="O1330" s="11" t="s">
        <v>100</v>
      </c>
      <c r="P1330" s="11" t="s">
        <v>101</v>
      </c>
      <c r="Q1330" s="13" t="n">
        <f aca="false">F1330*H1330</f>
        <v>14025620</v>
      </c>
      <c r="R1330" s="13" t="n">
        <f aca="false">G1330*H1330</f>
        <v>10890000</v>
      </c>
      <c r="S1330" s="13" t="n">
        <f aca="false">Q1330-R1330</f>
        <v>3135620</v>
      </c>
      <c r="T1330" s="14" t="n">
        <f aca="false">IFERROR(S1330/Q1330,0)</f>
        <v>0.22356373550688</v>
      </c>
      <c r="U1330" s="15" t="str">
        <f aca="false">TEXT(A1330,"yyyy-mm")</f>
        <v>2022-05</v>
      </c>
    </row>
    <row r="1331" customFormat="false" ht="15" hidden="false" customHeight="false" outlineLevel="0" collapsed="false">
      <c r="A1331" s="10" t="n">
        <v>44694</v>
      </c>
      <c r="B1331" s="11" t="s">
        <v>1463</v>
      </c>
      <c r="C1331" s="11" t="s">
        <v>146</v>
      </c>
      <c r="D1331" s="11" t="s">
        <v>138</v>
      </c>
      <c r="E1331" s="11" t="s">
        <v>139</v>
      </c>
      <c r="F1331" s="12" t="n">
        <v>2728100</v>
      </c>
      <c r="G1331" s="12" t="n">
        <v>2321000</v>
      </c>
      <c r="H1331" s="11" t="n">
        <v>20</v>
      </c>
      <c r="I1331" s="11" t="s">
        <v>69</v>
      </c>
      <c r="J1331" s="11" t="s">
        <v>70</v>
      </c>
      <c r="K1331" s="11" t="s">
        <v>71</v>
      </c>
      <c r="L1331" s="11" t="s">
        <v>72</v>
      </c>
      <c r="M1331" s="11" t="s">
        <v>73</v>
      </c>
      <c r="N1331" s="11" t="s">
        <v>123</v>
      </c>
      <c r="O1331" s="11" t="s">
        <v>60</v>
      </c>
      <c r="P1331" s="11" t="s">
        <v>106</v>
      </c>
      <c r="Q1331" s="13" t="n">
        <f aca="false">F1331*H1331</f>
        <v>54562000</v>
      </c>
      <c r="R1331" s="13" t="n">
        <f aca="false">G1331*H1331</f>
        <v>46420000</v>
      </c>
      <c r="S1331" s="13" t="n">
        <f aca="false">Q1331-R1331</f>
        <v>8142000</v>
      </c>
      <c r="T1331" s="14" t="n">
        <f aca="false">IFERROR(S1331/Q1331,0)</f>
        <v>0.149224735163667</v>
      </c>
      <c r="U1331" s="15" t="str">
        <f aca="false">TEXT(A1331,"yyyy-mm")</f>
        <v>2022-05</v>
      </c>
    </row>
    <row r="1332" customFormat="false" ht="15" hidden="false" customHeight="false" outlineLevel="0" collapsed="false">
      <c r="A1332" s="10" t="n">
        <v>44694</v>
      </c>
      <c r="B1332" s="11" t="s">
        <v>1464</v>
      </c>
      <c r="C1332" s="11" t="s">
        <v>148</v>
      </c>
      <c r="D1332" s="11" t="s">
        <v>138</v>
      </c>
      <c r="E1332" s="11" t="s">
        <v>122</v>
      </c>
      <c r="F1332" s="12" t="n">
        <v>4941716</v>
      </c>
      <c r="G1332" s="12" t="n">
        <v>4456000</v>
      </c>
      <c r="H1332" s="11" t="n">
        <v>26</v>
      </c>
      <c r="I1332" s="11" t="s">
        <v>86</v>
      </c>
      <c r="J1332" s="11" t="s">
        <v>87</v>
      </c>
      <c r="K1332" s="11" t="s">
        <v>88</v>
      </c>
      <c r="L1332" s="11" t="s">
        <v>89</v>
      </c>
      <c r="M1332" s="11" t="s">
        <v>90</v>
      </c>
      <c r="N1332" s="11" t="s">
        <v>173</v>
      </c>
      <c r="O1332" s="11" t="s">
        <v>174</v>
      </c>
      <c r="P1332" s="11" t="s">
        <v>95</v>
      </c>
      <c r="Q1332" s="13" t="n">
        <f aca="false">F1332*H1332</f>
        <v>128484616</v>
      </c>
      <c r="R1332" s="13" t="n">
        <f aca="false">G1332*H1332</f>
        <v>115856000</v>
      </c>
      <c r="S1332" s="13" t="n">
        <f aca="false">Q1332-R1332</f>
        <v>12628616</v>
      </c>
      <c r="T1332" s="14" t="n">
        <f aca="false">IFERROR(S1332/Q1332,0)</f>
        <v>0.0982889344511097</v>
      </c>
      <c r="U1332" s="15" t="str">
        <f aca="false">TEXT(A1332,"yyyy-mm")</f>
        <v>2022-05</v>
      </c>
    </row>
    <row r="1333" customFormat="false" ht="15" hidden="false" customHeight="false" outlineLevel="0" collapsed="false">
      <c r="A1333" s="10" t="n">
        <v>44694</v>
      </c>
      <c r="B1333" s="11" t="s">
        <v>1465</v>
      </c>
      <c r="C1333" s="11" t="s">
        <v>66</v>
      </c>
      <c r="D1333" s="11" t="s">
        <v>67</v>
      </c>
      <c r="E1333" s="11" t="s">
        <v>68</v>
      </c>
      <c r="F1333" s="12" t="n">
        <v>3048952</v>
      </c>
      <c r="G1333" s="12" t="n">
        <v>2560000</v>
      </c>
      <c r="H1333" s="11" t="n">
        <v>4</v>
      </c>
      <c r="I1333" s="11" t="s">
        <v>86</v>
      </c>
      <c r="J1333" s="11" t="s">
        <v>87</v>
      </c>
      <c r="K1333" s="11" t="s">
        <v>88</v>
      </c>
      <c r="L1333" s="11" t="s">
        <v>89</v>
      </c>
      <c r="M1333" s="11" t="s">
        <v>90</v>
      </c>
      <c r="N1333" s="11" t="s">
        <v>143</v>
      </c>
      <c r="O1333" s="11" t="s">
        <v>144</v>
      </c>
      <c r="P1333" s="11" t="s">
        <v>101</v>
      </c>
      <c r="Q1333" s="13" t="n">
        <f aca="false">F1333*H1333</f>
        <v>12195808</v>
      </c>
      <c r="R1333" s="13" t="n">
        <f aca="false">G1333*H1333</f>
        <v>10240000</v>
      </c>
      <c r="S1333" s="13" t="n">
        <f aca="false">Q1333-R1333</f>
        <v>1955808</v>
      </c>
      <c r="T1333" s="14" t="n">
        <f aca="false">IFERROR(S1333/Q1333,0)</f>
        <v>0.160367234380863</v>
      </c>
      <c r="U1333" s="15" t="str">
        <f aca="false">TEXT(A1333,"yyyy-mm")</f>
        <v>2022-05</v>
      </c>
    </row>
    <row r="1334" customFormat="false" ht="15" hidden="false" customHeight="false" outlineLevel="0" collapsed="false">
      <c r="A1334" s="10" t="n">
        <v>44694</v>
      </c>
      <c r="B1334" s="11" t="s">
        <v>1466</v>
      </c>
      <c r="C1334" s="11" t="s">
        <v>78</v>
      </c>
      <c r="D1334" s="11" t="s">
        <v>67</v>
      </c>
      <c r="E1334" s="11" t="s">
        <v>79</v>
      </c>
      <c r="F1334" s="12" t="n">
        <v>1870000</v>
      </c>
      <c r="G1334" s="12" t="n">
        <v>1650000</v>
      </c>
      <c r="H1334" s="11" t="n">
        <v>10</v>
      </c>
      <c r="I1334" s="11" t="s">
        <v>69</v>
      </c>
      <c r="J1334" s="11" t="s">
        <v>112</v>
      </c>
      <c r="K1334" s="11" t="s">
        <v>113</v>
      </c>
      <c r="L1334" s="11" t="s">
        <v>82</v>
      </c>
      <c r="M1334" s="11" t="s">
        <v>157</v>
      </c>
      <c r="N1334" s="11" t="s">
        <v>143</v>
      </c>
      <c r="O1334" s="11" t="s">
        <v>144</v>
      </c>
      <c r="P1334" s="11" t="s">
        <v>101</v>
      </c>
      <c r="Q1334" s="13" t="n">
        <f aca="false">F1334*H1334</f>
        <v>18700000</v>
      </c>
      <c r="R1334" s="13" t="n">
        <f aca="false">G1334*H1334</f>
        <v>16500000</v>
      </c>
      <c r="S1334" s="13" t="n">
        <f aca="false">Q1334-R1334</f>
        <v>2200000</v>
      </c>
      <c r="T1334" s="14" t="n">
        <f aca="false">IFERROR(S1334/Q1334,0)</f>
        <v>0.117647058823529</v>
      </c>
      <c r="U1334" s="15" t="str">
        <f aca="false">TEXT(A1334,"yyyy-mm")</f>
        <v>2022-05</v>
      </c>
    </row>
    <row r="1335" customFormat="false" ht="15" hidden="false" customHeight="false" outlineLevel="0" collapsed="false">
      <c r="A1335" s="10" t="n">
        <v>44694</v>
      </c>
      <c r="B1335" s="11" t="s">
        <v>1467</v>
      </c>
      <c r="C1335" s="11" t="s">
        <v>84</v>
      </c>
      <c r="D1335" s="11" t="s">
        <v>67</v>
      </c>
      <c r="E1335" s="11" t="s">
        <v>85</v>
      </c>
      <c r="F1335" s="12" t="n">
        <v>2600000</v>
      </c>
      <c r="G1335" s="12" t="n">
        <v>2300000</v>
      </c>
      <c r="H1335" s="11" t="n">
        <v>19</v>
      </c>
      <c r="I1335" s="11" t="s">
        <v>69</v>
      </c>
      <c r="J1335" s="11" t="s">
        <v>112</v>
      </c>
      <c r="K1335" s="11" t="s">
        <v>113</v>
      </c>
      <c r="L1335" s="11" t="s">
        <v>82</v>
      </c>
      <c r="M1335" s="11" t="s">
        <v>157</v>
      </c>
      <c r="N1335" s="11" t="s">
        <v>104</v>
      </c>
      <c r="O1335" s="11" t="s">
        <v>105</v>
      </c>
      <c r="P1335" s="11" t="s">
        <v>106</v>
      </c>
      <c r="Q1335" s="13" t="n">
        <f aca="false">F1335*H1335</f>
        <v>49400000</v>
      </c>
      <c r="R1335" s="13" t="n">
        <f aca="false">G1335*H1335</f>
        <v>43700000</v>
      </c>
      <c r="S1335" s="13" t="n">
        <f aca="false">Q1335-R1335</f>
        <v>5700000</v>
      </c>
      <c r="T1335" s="14" t="n">
        <f aca="false">IFERROR(S1335/Q1335,0)</f>
        <v>0.115384615384615</v>
      </c>
      <c r="U1335" s="15" t="str">
        <f aca="false">TEXT(A1335,"yyyy-mm")</f>
        <v>2022-05</v>
      </c>
    </row>
    <row r="1336" customFormat="false" ht="15" hidden="false" customHeight="false" outlineLevel="0" collapsed="false">
      <c r="A1336" s="10" t="n">
        <v>44694</v>
      </c>
      <c r="B1336" s="11" t="s">
        <v>1468</v>
      </c>
      <c r="C1336" s="11" t="s">
        <v>92</v>
      </c>
      <c r="D1336" s="11" t="s">
        <v>67</v>
      </c>
      <c r="E1336" s="11" t="s">
        <v>79</v>
      </c>
      <c r="F1336" s="12" t="n">
        <v>3577480</v>
      </c>
      <c r="G1336" s="12" t="n">
        <v>3100000</v>
      </c>
      <c r="H1336" s="11" t="n">
        <v>17</v>
      </c>
      <c r="I1336" s="11" t="s">
        <v>86</v>
      </c>
      <c r="J1336" s="11" t="s">
        <v>87</v>
      </c>
      <c r="K1336" s="11" t="s">
        <v>88</v>
      </c>
      <c r="L1336" s="11" t="s">
        <v>89</v>
      </c>
      <c r="M1336" s="11" t="s">
        <v>90</v>
      </c>
      <c r="N1336" s="11" t="s">
        <v>143</v>
      </c>
      <c r="O1336" s="11" t="s">
        <v>144</v>
      </c>
      <c r="P1336" s="11" t="s">
        <v>101</v>
      </c>
      <c r="Q1336" s="13" t="n">
        <f aca="false">F1336*H1336</f>
        <v>60817160</v>
      </c>
      <c r="R1336" s="13" t="n">
        <f aca="false">G1336*H1336</f>
        <v>52700000</v>
      </c>
      <c r="S1336" s="13" t="n">
        <f aca="false">Q1336-R1336</f>
        <v>8117160</v>
      </c>
      <c r="T1336" s="14" t="n">
        <f aca="false">IFERROR(S1336/Q1336,0)</f>
        <v>0.133468251394837</v>
      </c>
      <c r="U1336" s="15" t="str">
        <f aca="false">TEXT(A1336,"yyyy-mm")</f>
        <v>2022-05</v>
      </c>
    </row>
    <row r="1337" customFormat="false" ht="15" hidden="false" customHeight="false" outlineLevel="0" collapsed="false">
      <c r="A1337" s="10" t="n">
        <v>44694</v>
      </c>
      <c r="B1337" s="11" t="s">
        <v>1469</v>
      </c>
      <c r="C1337" s="11" t="s">
        <v>97</v>
      </c>
      <c r="D1337" s="11" t="s">
        <v>67</v>
      </c>
      <c r="E1337" s="11" t="s">
        <v>98</v>
      </c>
      <c r="F1337" s="12" t="n">
        <v>4969724</v>
      </c>
      <c r="G1337" s="12" t="n">
        <v>4121560</v>
      </c>
      <c r="H1337" s="11" t="n">
        <v>9</v>
      </c>
      <c r="I1337" s="11" t="s">
        <v>69</v>
      </c>
      <c r="J1337" s="11" t="s">
        <v>70</v>
      </c>
      <c r="K1337" s="11" t="s">
        <v>71</v>
      </c>
      <c r="L1337" s="11" t="s">
        <v>72</v>
      </c>
      <c r="M1337" s="11" t="s">
        <v>73</v>
      </c>
      <c r="N1337" s="11" t="s">
        <v>109</v>
      </c>
      <c r="O1337" s="11" t="s">
        <v>75</v>
      </c>
      <c r="P1337" s="11" t="s">
        <v>95</v>
      </c>
      <c r="Q1337" s="13" t="n">
        <f aca="false">F1337*H1337</f>
        <v>44727516</v>
      </c>
      <c r="R1337" s="13" t="n">
        <f aca="false">G1337*H1337</f>
        <v>37094040</v>
      </c>
      <c r="S1337" s="13" t="n">
        <f aca="false">Q1337-R1337</f>
        <v>7633476</v>
      </c>
      <c r="T1337" s="14" t="n">
        <f aca="false">IFERROR(S1337/Q1337,0)</f>
        <v>0.170666218083741</v>
      </c>
      <c r="U1337" s="15" t="str">
        <f aca="false">TEXT(A1337,"yyyy-mm")</f>
        <v>2022-05</v>
      </c>
    </row>
    <row r="1338" customFormat="false" ht="15" hidden="false" customHeight="false" outlineLevel="0" collapsed="false">
      <c r="A1338" s="10" t="n">
        <v>44695</v>
      </c>
      <c r="B1338" s="11" t="s">
        <v>1470</v>
      </c>
      <c r="C1338" s="11" t="s">
        <v>103</v>
      </c>
      <c r="D1338" s="11" t="s">
        <v>67</v>
      </c>
      <c r="E1338" s="11" t="s">
        <v>68</v>
      </c>
      <c r="F1338" s="12" t="n">
        <v>3319925</v>
      </c>
      <c r="G1338" s="12" t="n">
        <v>2800000</v>
      </c>
      <c r="H1338" s="11" t="n">
        <v>6</v>
      </c>
      <c r="I1338" s="11" t="s">
        <v>69</v>
      </c>
      <c r="J1338" s="11" t="s">
        <v>80</v>
      </c>
      <c r="K1338" s="11" t="s">
        <v>81</v>
      </c>
      <c r="L1338" s="11" t="s">
        <v>82</v>
      </c>
      <c r="M1338" s="11" t="s">
        <v>73</v>
      </c>
      <c r="N1338" s="11" t="s">
        <v>93</v>
      </c>
      <c r="O1338" s="11" t="s">
        <v>94</v>
      </c>
      <c r="P1338" s="11" t="s">
        <v>95</v>
      </c>
      <c r="Q1338" s="13" t="n">
        <f aca="false">F1338*H1338</f>
        <v>19919550</v>
      </c>
      <c r="R1338" s="13" t="n">
        <f aca="false">G1338*H1338</f>
        <v>16800000</v>
      </c>
      <c r="S1338" s="13" t="n">
        <f aca="false">Q1338-R1338</f>
        <v>3119550</v>
      </c>
      <c r="T1338" s="14" t="n">
        <f aca="false">IFERROR(S1338/Q1338,0)</f>
        <v>0.15660745348163</v>
      </c>
      <c r="U1338" s="15" t="str">
        <f aca="false">TEXT(A1338,"yyyy-mm")</f>
        <v>2022-05</v>
      </c>
    </row>
    <row r="1339" customFormat="false" ht="15" hidden="false" customHeight="false" outlineLevel="0" collapsed="false">
      <c r="A1339" s="10" t="n">
        <v>44695</v>
      </c>
      <c r="B1339" s="11" t="s">
        <v>1471</v>
      </c>
      <c r="C1339" s="11" t="s">
        <v>108</v>
      </c>
      <c r="D1339" s="11" t="s">
        <v>67</v>
      </c>
      <c r="E1339" s="11" t="s">
        <v>68</v>
      </c>
      <c r="F1339" s="12" t="n">
        <v>4757880</v>
      </c>
      <c r="G1339" s="12" t="n">
        <v>3450000</v>
      </c>
      <c r="H1339" s="11" t="n">
        <v>9</v>
      </c>
      <c r="I1339" s="11" t="s">
        <v>69</v>
      </c>
      <c r="J1339" s="11" t="s">
        <v>80</v>
      </c>
      <c r="K1339" s="11" t="s">
        <v>81</v>
      </c>
      <c r="L1339" s="11" t="s">
        <v>82</v>
      </c>
      <c r="M1339" s="11" t="s">
        <v>73</v>
      </c>
      <c r="N1339" s="11" t="s">
        <v>173</v>
      </c>
      <c r="O1339" s="11" t="s">
        <v>174</v>
      </c>
      <c r="P1339" s="11" t="s">
        <v>95</v>
      </c>
      <c r="Q1339" s="13" t="n">
        <f aca="false">F1339*H1339</f>
        <v>42820920</v>
      </c>
      <c r="R1339" s="13" t="n">
        <f aca="false">G1339*H1339</f>
        <v>31050000</v>
      </c>
      <c r="S1339" s="13" t="n">
        <f aca="false">Q1339-R1339</f>
        <v>11770920</v>
      </c>
      <c r="T1339" s="14" t="n">
        <f aca="false">IFERROR(S1339/Q1339,0)</f>
        <v>0.274887134606169</v>
      </c>
      <c r="U1339" s="15" t="str">
        <f aca="false">TEXT(A1339,"yyyy-mm")</f>
        <v>2022-05</v>
      </c>
    </row>
    <row r="1340" customFormat="false" ht="15" hidden="false" customHeight="false" outlineLevel="0" collapsed="false">
      <c r="A1340" s="10" t="n">
        <v>44695</v>
      </c>
      <c r="B1340" s="11" t="s">
        <v>1472</v>
      </c>
      <c r="C1340" s="11" t="s">
        <v>111</v>
      </c>
      <c r="D1340" s="11" t="s">
        <v>67</v>
      </c>
      <c r="E1340" s="11" t="s">
        <v>79</v>
      </c>
      <c r="F1340" s="12" t="n">
        <v>3545808</v>
      </c>
      <c r="G1340" s="12" t="n">
        <v>3350000</v>
      </c>
      <c r="H1340" s="11" t="n">
        <v>20</v>
      </c>
      <c r="I1340" s="11" t="s">
        <v>69</v>
      </c>
      <c r="J1340" s="11" t="s">
        <v>112</v>
      </c>
      <c r="K1340" s="11" t="s">
        <v>113</v>
      </c>
      <c r="L1340" s="11" t="s">
        <v>82</v>
      </c>
      <c r="M1340" s="11" t="s">
        <v>157</v>
      </c>
      <c r="N1340" s="11" t="s">
        <v>99</v>
      </c>
      <c r="O1340" s="11" t="s">
        <v>100</v>
      </c>
      <c r="P1340" s="11" t="s">
        <v>101</v>
      </c>
      <c r="Q1340" s="13" t="n">
        <f aca="false">F1340*H1340</f>
        <v>70916160</v>
      </c>
      <c r="R1340" s="13" t="n">
        <f aca="false">G1340*H1340</f>
        <v>67000000</v>
      </c>
      <c r="S1340" s="13" t="n">
        <f aca="false">Q1340-R1340</f>
        <v>3916160</v>
      </c>
      <c r="T1340" s="14" t="n">
        <f aca="false">IFERROR(S1340/Q1340,0)</f>
        <v>0.0552223921881839</v>
      </c>
      <c r="U1340" s="15" t="str">
        <f aca="false">TEXT(A1340,"yyyy-mm")</f>
        <v>2022-05</v>
      </c>
    </row>
    <row r="1341" customFormat="false" ht="15" hidden="false" customHeight="false" outlineLevel="0" collapsed="false">
      <c r="A1341" s="10" t="n">
        <v>44695</v>
      </c>
      <c r="B1341" s="11" t="s">
        <v>1473</v>
      </c>
      <c r="C1341" s="11" t="s">
        <v>115</v>
      </c>
      <c r="D1341" s="11" t="s">
        <v>67</v>
      </c>
      <c r="E1341" s="11" t="s">
        <v>98</v>
      </c>
      <c r="F1341" s="12" t="n">
        <v>4200743</v>
      </c>
      <c r="G1341" s="12" t="n">
        <v>4101000</v>
      </c>
      <c r="H1341" s="11" t="n">
        <v>9</v>
      </c>
      <c r="I1341" s="11" t="s">
        <v>69</v>
      </c>
      <c r="J1341" s="11" t="s">
        <v>70</v>
      </c>
      <c r="K1341" s="11" t="s">
        <v>71</v>
      </c>
      <c r="L1341" s="11" t="s">
        <v>72</v>
      </c>
      <c r="M1341" s="11" t="s">
        <v>73</v>
      </c>
      <c r="N1341" s="11" t="s">
        <v>123</v>
      </c>
      <c r="O1341" s="11" t="s">
        <v>60</v>
      </c>
      <c r="P1341" s="11" t="s">
        <v>106</v>
      </c>
      <c r="Q1341" s="13" t="n">
        <f aca="false">F1341*H1341</f>
        <v>37806687</v>
      </c>
      <c r="R1341" s="13" t="n">
        <f aca="false">G1341*H1341</f>
        <v>36909000</v>
      </c>
      <c r="S1341" s="13" t="n">
        <f aca="false">Q1341-R1341</f>
        <v>897687</v>
      </c>
      <c r="T1341" s="14" t="n">
        <f aca="false">IFERROR(S1341/Q1341,0)</f>
        <v>0.023744132883159</v>
      </c>
      <c r="U1341" s="15" t="str">
        <f aca="false">TEXT(A1341,"yyyy-mm")</f>
        <v>2022-05</v>
      </c>
    </row>
    <row r="1342" customFormat="false" ht="15" hidden="false" customHeight="false" outlineLevel="0" collapsed="false">
      <c r="A1342" s="10" t="n">
        <v>44695</v>
      </c>
      <c r="B1342" s="11" t="s">
        <v>1474</v>
      </c>
      <c r="C1342" s="11" t="s">
        <v>117</v>
      </c>
      <c r="D1342" s="11" t="s">
        <v>118</v>
      </c>
      <c r="E1342" s="11" t="s">
        <v>119</v>
      </c>
      <c r="F1342" s="12" t="n">
        <v>8220549</v>
      </c>
      <c r="G1342" s="12" t="n">
        <v>6500000</v>
      </c>
      <c r="H1342" s="11" t="n">
        <v>9</v>
      </c>
      <c r="I1342" s="11" t="s">
        <v>69</v>
      </c>
      <c r="J1342" s="11" t="s">
        <v>80</v>
      </c>
      <c r="K1342" s="11" t="s">
        <v>81</v>
      </c>
      <c r="L1342" s="11" t="s">
        <v>82</v>
      </c>
      <c r="M1342" s="11" t="s">
        <v>73</v>
      </c>
      <c r="N1342" s="11" t="s">
        <v>99</v>
      </c>
      <c r="O1342" s="11" t="s">
        <v>100</v>
      </c>
      <c r="P1342" s="11" t="s">
        <v>101</v>
      </c>
      <c r="Q1342" s="13" t="n">
        <f aca="false">F1342*H1342</f>
        <v>73984941</v>
      </c>
      <c r="R1342" s="13" t="n">
        <f aca="false">G1342*H1342</f>
        <v>58500000</v>
      </c>
      <c r="S1342" s="13" t="n">
        <f aca="false">Q1342-R1342</f>
        <v>15484941</v>
      </c>
      <c r="T1342" s="14" t="n">
        <f aca="false">IFERROR(S1342/Q1342,0)</f>
        <v>0.209298551714733</v>
      </c>
      <c r="U1342" s="15" t="str">
        <f aca="false">TEXT(A1342,"yyyy-mm")</f>
        <v>2022-05</v>
      </c>
    </row>
    <row r="1343" customFormat="false" ht="15" hidden="false" customHeight="false" outlineLevel="0" collapsed="false">
      <c r="A1343" s="10" t="n">
        <v>44696</v>
      </c>
      <c r="B1343" s="11" t="s">
        <v>1475</v>
      </c>
      <c r="C1343" s="11" t="s">
        <v>121</v>
      </c>
      <c r="D1343" s="11" t="s">
        <v>118</v>
      </c>
      <c r="E1343" s="11" t="s">
        <v>122</v>
      </c>
      <c r="F1343" s="12" t="n">
        <v>7687274</v>
      </c>
      <c r="G1343" s="12" t="n">
        <v>6500000</v>
      </c>
      <c r="H1343" s="11" t="n">
        <v>20</v>
      </c>
      <c r="I1343" s="11" t="s">
        <v>86</v>
      </c>
      <c r="J1343" s="11" t="s">
        <v>87</v>
      </c>
      <c r="K1343" s="11" t="s">
        <v>88</v>
      </c>
      <c r="L1343" s="11" t="s">
        <v>89</v>
      </c>
      <c r="M1343" s="11" t="s">
        <v>90</v>
      </c>
      <c r="N1343" s="11" t="s">
        <v>133</v>
      </c>
      <c r="O1343" s="11" t="s">
        <v>60</v>
      </c>
      <c r="P1343" s="11" t="s">
        <v>76</v>
      </c>
      <c r="Q1343" s="13" t="n">
        <f aca="false">F1343*H1343</f>
        <v>153745480</v>
      </c>
      <c r="R1343" s="13" t="n">
        <f aca="false">G1343*H1343</f>
        <v>130000000</v>
      </c>
      <c r="S1343" s="13" t="n">
        <f aca="false">Q1343-R1343</f>
        <v>23745480</v>
      </c>
      <c r="T1343" s="14" t="n">
        <f aca="false">IFERROR(S1343/Q1343,0)</f>
        <v>0.154446686822923</v>
      </c>
      <c r="U1343" s="15" t="str">
        <f aca="false">TEXT(A1343,"yyyy-mm")</f>
        <v>2022-05</v>
      </c>
    </row>
    <row r="1344" customFormat="false" ht="15" hidden="false" customHeight="false" outlineLevel="0" collapsed="false">
      <c r="A1344" s="10" t="n">
        <v>44696</v>
      </c>
      <c r="B1344" s="11" t="s">
        <v>1476</v>
      </c>
      <c r="C1344" s="11" t="s">
        <v>125</v>
      </c>
      <c r="D1344" s="11" t="s">
        <v>118</v>
      </c>
      <c r="E1344" s="11" t="s">
        <v>126</v>
      </c>
      <c r="F1344" s="12" t="n">
        <v>5684211</v>
      </c>
      <c r="G1344" s="12" t="n">
        <v>4300000</v>
      </c>
      <c r="H1344" s="11" t="n">
        <v>3</v>
      </c>
      <c r="I1344" s="11" t="s">
        <v>69</v>
      </c>
      <c r="J1344" s="11" t="s">
        <v>70</v>
      </c>
      <c r="K1344" s="11" t="s">
        <v>71</v>
      </c>
      <c r="L1344" s="11" t="s">
        <v>72</v>
      </c>
      <c r="M1344" s="11" t="s">
        <v>73</v>
      </c>
      <c r="N1344" s="11" t="s">
        <v>74</v>
      </c>
      <c r="O1344" s="11" t="s">
        <v>75</v>
      </c>
      <c r="P1344" s="11" t="s">
        <v>76</v>
      </c>
      <c r="Q1344" s="13" t="n">
        <f aca="false">F1344*H1344</f>
        <v>17052633</v>
      </c>
      <c r="R1344" s="13" t="n">
        <f aca="false">G1344*H1344</f>
        <v>12900000</v>
      </c>
      <c r="S1344" s="13" t="n">
        <f aca="false">Q1344-R1344</f>
        <v>4152633</v>
      </c>
      <c r="T1344" s="14" t="n">
        <f aca="false">IFERROR(S1344/Q1344,0)</f>
        <v>0.243518581558637</v>
      </c>
      <c r="U1344" s="15" t="str">
        <f aca="false">TEXT(A1344,"yyyy-mm")</f>
        <v>2022-05</v>
      </c>
    </row>
    <row r="1345" customFormat="false" ht="15" hidden="false" customHeight="false" outlineLevel="0" collapsed="false">
      <c r="A1345" s="10" t="n">
        <v>44696</v>
      </c>
      <c r="B1345" s="11" t="s">
        <v>1477</v>
      </c>
      <c r="C1345" s="11" t="s">
        <v>128</v>
      </c>
      <c r="D1345" s="11" t="s">
        <v>118</v>
      </c>
      <c r="E1345" s="11" t="s">
        <v>119</v>
      </c>
      <c r="F1345" s="12" t="n">
        <v>3370302</v>
      </c>
      <c r="G1345" s="12" t="n">
        <v>2100000</v>
      </c>
      <c r="H1345" s="11" t="n">
        <v>25</v>
      </c>
      <c r="I1345" s="11" t="s">
        <v>86</v>
      </c>
      <c r="J1345" s="11" t="s">
        <v>87</v>
      </c>
      <c r="K1345" s="11" t="s">
        <v>88</v>
      </c>
      <c r="L1345" s="11" t="s">
        <v>89</v>
      </c>
      <c r="M1345" s="11" t="s">
        <v>90</v>
      </c>
      <c r="N1345" s="11" t="s">
        <v>173</v>
      </c>
      <c r="O1345" s="11" t="s">
        <v>174</v>
      </c>
      <c r="P1345" s="11" t="s">
        <v>95</v>
      </c>
      <c r="Q1345" s="13" t="n">
        <f aca="false">F1345*H1345</f>
        <v>84257550</v>
      </c>
      <c r="R1345" s="13" t="n">
        <f aca="false">G1345*H1345</f>
        <v>52500000</v>
      </c>
      <c r="S1345" s="13" t="n">
        <f aca="false">Q1345-R1345</f>
        <v>31757550</v>
      </c>
      <c r="T1345" s="14" t="n">
        <f aca="false">IFERROR(S1345/Q1345,0)</f>
        <v>0.37691043710623</v>
      </c>
      <c r="U1345" s="15" t="str">
        <f aca="false">TEXT(A1345,"yyyy-mm")</f>
        <v>2022-05</v>
      </c>
    </row>
    <row r="1346" customFormat="false" ht="15" hidden="false" customHeight="false" outlineLevel="0" collapsed="false">
      <c r="A1346" s="10" t="n">
        <v>44696</v>
      </c>
      <c r="B1346" s="11" t="s">
        <v>1478</v>
      </c>
      <c r="C1346" s="11" t="s">
        <v>130</v>
      </c>
      <c r="D1346" s="11" t="s">
        <v>118</v>
      </c>
      <c r="E1346" s="11" t="s">
        <v>68</v>
      </c>
      <c r="F1346" s="12" t="n">
        <v>2852897</v>
      </c>
      <c r="G1346" s="12" t="n">
        <v>2450000</v>
      </c>
      <c r="H1346" s="11" t="n">
        <v>1</v>
      </c>
      <c r="I1346" s="11" t="s">
        <v>69</v>
      </c>
      <c r="J1346" s="11" t="s">
        <v>80</v>
      </c>
      <c r="K1346" s="11" t="s">
        <v>81</v>
      </c>
      <c r="L1346" s="11" t="s">
        <v>82</v>
      </c>
      <c r="M1346" s="11" t="s">
        <v>73</v>
      </c>
      <c r="N1346" s="11" t="s">
        <v>143</v>
      </c>
      <c r="O1346" s="11" t="s">
        <v>144</v>
      </c>
      <c r="P1346" s="11" t="s">
        <v>101</v>
      </c>
      <c r="Q1346" s="13" t="n">
        <f aca="false">F1346*H1346</f>
        <v>2852897</v>
      </c>
      <c r="R1346" s="13" t="n">
        <f aca="false">G1346*H1346</f>
        <v>2450000</v>
      </c>
      <c r="S1346" s="13" t="n">
        <f aca="false">Q1346-R1346</f>
        <v>402897</v>
      </c>
      <c r="T1346" s="14" t="n">
        <f aca="false">IFERROR(S1346/Q1346,0)</f>
        <v>0.141223815651249</v>
      </c>
      <c r="U1346" s="15" t="str">
        <f aca="false">TEXT(A1346,"yyyy-mm")</f>
        <v>2022-05</v>
      </c>
    </row>
    <row r="1347" customFormat="false" ht="15" hidden="false" customHeight="false" outlineLevel="0" collapsed="false">
      <c r="A1347" s="10" t="n">
        <v>44697</v>
      </c>
      <c r="B1347" s="11" t="s">
        <v>1479</v>
      </c>
      <c r="C1347" s="11" t="s">
        <v>132</v>
      </c>
      <c r="D1347" s="11" t="s">
        <v>118</v>
      </c>
      <c r="E1347" s="11" t="s">
        <v>68</v>
      </c>
      <c r="F1347" s="12" t="n">
        <v>4803603</v>
      </c>
      <c r="G1347" s="12" t="n">
        <v>4121000</v>
      </c>
      <c r="H1347" s="11" t="n">
        <v>18</v>
      </c>
      <c r="I1347" s="11" t="s">
        <v>69</v>
      </c>
      <c r="J1347" s="11" t="s">
        <v>112</v>
      </c>
      <c r="K1347" s="11" t="s">
        <v>113</v>
      </c>
      <c r="L1347" s="11" t="s">
        <v>82</v>
      </c>
      <c r="M1347" s="11" t="s">
        <v>157</v>
      </c>
      <c r="N1347" s="11" t="s">
        <v>104</v>
      </c>
      <c r="O1347" s="11" t="s">
        <v>105</v>
      </c>
      <c r="P1347" s="11" t="s">
        <v>106</v>
      </c>
      <c r="Q1347" s="13" t="n">
        <f aca="false">F1347*H1347</f>
        <v>86464854</v>
      </c>
      <c r="R1347" s="13" t="n">
        <f aca="false">G1347*H1347</f>
        <v>74178000</v>
      </c>
      <c r="S1347" s="13" t="n">
        <f aca="false">Q1347-R1347</f>
        <v>12286854</v>
      </c>
      <c r="T1347" s="14" t="n">
        <f aca="false">IFERROR(S1347/Q1347,0)</f>
        <v>0.142102292799801</v>
      </c>
      <c r="U1347" s="15" t="str">
        <f aca="false">TEXT(A1347,"yyyy-mm")</f>
        <v>2022-05</v>
      </c>
    </row>
    <row r="1348" customFormat="false" ht="15" hidden="false" customHeight="false" outlineLevel="0" collapsed="false">
      <c r="A1348" s="10" t="n">
        <v>44697</v>
      </c>
      <c r="B1348" s="11" t="s">
        <v>1480</v>
      </c>
      <c r="C1348" s="11" t="s">
        <v>135</v>
      </c>
      <c r="D1348" s="11" t="s">
        <v>118</v>
      </c>
      <c r="E1348" s="11" t="s">
        <v>68</v>
      </c>
      <c r="F1348" s="12" t="n">
        <v>5689947</v>
      </c>
      <c r="G1348" s="12" t="n">
        <v>5235000</v>
      </c>
      <c r="H1348" s="11" t="n">
        <v>14</v>
      </c>
      <c r="I1348" s="11" t="s">
        <v>69</v>
      </c>
      <c r="J1348" s="11" t="s">
        <v>70</v>
      </c>
      <c r="K1348" s="11" t="s">
        <v>71</v>
      </c>
      <c r="L1348" s="11" t="s">
        <v>72</v>
      </c>
      <c r="M1348" s="11" t="s">
        <v>73</v>
      </c>
      <c r="N1348" s="11" t="s">
        <v>149</v>
      </c>
      <c r="O1348" s="11" t="s">
        <v>150</v>
      </c>
      <c r="P1348" s="11" t="s">
        <v>151</v>
      </c>
      <c r="Q1348" s="13" t="n">
        <f aca="false">F1348*H1348</f>
        <v>79659258</v>
      </c>
      <c r="R1348" s="13" t="n">
        <f aca="false">G1348*H1348</f>
        <v>73290000</v>
      </c>
      <c r="S1348" s="13" t="n">
        <f aca="false">Q1348-R1348</f>
        <v>6369258</v>
      </c>
      <c r="T1348" s="14" t="n">
        <f aca="false">IFERROR(S1348/Q1348,0)</f>
        <v>0.0799562807878527</v>
      </c>
      <c r="U1348" s="15" t="str">
        <f aca="false">TEXT(A1348,"yyyy-mm")</f>
        <v>2022-05</v>
      </c>
    </row>
    <row r="1349" customFormat="false" ht="15" hidden="false" customHeight="false" outlineLevel="0" collapsed="false">
      <c r="A1349" s="10" t="n">
        <v>44697</v>
      </c>
      <c r="B1349" s="11" t="s">
        <v>1481</v>
      </c>
      <c r="C1349" s="11" t="s">
        <v>137</v>
      </c>
      <c r="D1349" s="11" t="s">
        <v>138</v>
      </c>
      <c r="E1349" s="11" t="s">
        <v>139</v>
      </c>
      <c r="F1349" s="12" t="n">
        <v>5171827</v>
      </c>
      <c r="G1349" s="12" t="n">
        <v>4890000</v>
      </c>
      <c r="H1349" s="11" t="n">
        <v>5</v>
      </c>
      <c r="I1349" s="11" t="s">
        <v>86</v>
      </c>
      <c r="J1349" s="11" t="s">
        <v>87</v>
      </c>
      <c r="K1349" s="11" t="s">
        <v>88</v>
      </c>
      <c r="L1349" s="11" t="s">
        <v>89</v>
      </c>
      <c r="M1349" s="11" t="s">
        <v>90</v>
      </c>
      <c r="N1349" s="11" t="s">
        <v>74</v>
      </c>
      <c r="O1349" s="11" t="s">
        <v>75</v>
      </c>
      <c r="P1349" s="11" t="s">
        <v>76</v>
      </c>
      <c r="Q1349" s="13" t="n">
        <f aca="false">F1349*H1349</f>
        <v>25859135</v>
      </c>
      <c r="R1349" s="13" t="n">
        <f aca="false">G1349*H1349</f>
        <v>24450000</v>
      </c>
      <c r="S1349" s="13" t="n">
        <f aca="false">Q1349-R1349</f>
        <v>1409135</v>
      </c>
      <c r="T1349" s="14" t="n">
        <f aca="false">IFERROR(S1349/Q1349,0)</f>
        <v>0.0544927353525166</v>
      </c>
      <c r="U1349" s="15" t="str">
        <f aca="false">TEXT(A1349,"yyyy-mm")</f>
        <v>2022-05</v>
      </c>
    </row>
    <row r="1350" customFormat="false" ht="15" hidden="false" customHeight="false" outlineLevel="0" collapsed="false">
      <c r="A1350" s="10" t="n">
        <v>44698</v>
      </c>
      <c r="B1350" s="11" t="s">
        <v>1482</v>
      </c>
      <c r="C1350" s="11" t="s">
        <v>141</v>
      </c>
      <c r="D1350" s="11" t="s">
        <v>138</v>
      </c>
      <c r="E1350" s="11" t="s">
        <v>142</v>
      </c>
      <c r="F1350" s="12" t="n">
        <v>2805124</v>
      </c>
      <c r="G1350" s="12" t="n">
        <v>2178000</v>
      </c>
      <c r="H1350" s="11" t="n">
        <v>22</v>
      </c>
      <c r="I1350" s="11" t="s">
        <v>69</v>
      </c>
      <c r="J1350" s="11" t="s">
        <v>80</v>
      </c>
      <c r="K1350" s="11" t="s">
        <v>81</v>
      </c>
      <c r="L1350" s="11" t="s">
        <v>82</v>
      </c>
      <c r="M1350" s="11" t="s">
        <v>73</v>
      </c>
      <c r="N1350" s="11" t="s">
        <v>133</v>
      </c>
      <c r="O1350" s="11" t="s">
        <v>60</v>
      </c>
      <c r="P1350" s="11" t="s">
        <v>76</v>
      </c>
      <c r="Q1350" s="13" t="n">
        <f aca="false">F1350*H1350</f>
        <v>61712728</v>
      </c>
      <c r="R1350" s="13" t="n">
        <f aca="false">G1350*H1350</f>
        <v>47916000</v>
      </c>
      <c r="S1350" s="13" t="n">
        <f aca="false">Q1350-R1350</f>
        <v>13796728</v>
      </c>
      <c r="T1350" s="14" t="n">
        <f aca="false">IFERROR(S1350/Q1350,0)</f>
        <v>0.22356373550688</v>
      </c>
      <c r="U1350" s="15" t="str">
        <f aca="false">TEXT(A1350,"yyyy-mm")</f>
        <v>2022-05</v>
      </c>
    </row>
    <row r="1351" customFormat="false" ht="15" hidden="false" customHeight="false" outlineLevel="0" collapsed="false">
      <c r="A1351" s="10" t="n">
        <v>44698</v>
      </c>
      <c r="B1351" s="11" t="s">
        <v>1483</v>
      </c>
      <c r="C1351" s="11" t="s">
        <v>146</v>
      </c>
      <c r="D1351" s="11" t="s">
        <v>138</v>
      </c>
      <c r="E1351" s="11" t="s">
        <v>139</v>
      </c>
      <c r="F1351" s="12" t="n">
        <v>2728100</v>
      </c>
      <c r="G1351" s="12" t="n">
        <v>2321000</v>
      </c>
      <c r="H1351" s="11" t="n">
        <v>30</v>
      </c>
      <c r="I1351" s="11" t="s">
        <v>86</v>
      </c>
      <c r="J1351" s="11" t="s">
        <v>87</v>
      </c>
      <c r="K1351" s="11" t="s">
        <v>88</v>
      </c>
      <c r="L1351" s="11" t="s">
        <v>89</v>
      </c>
      <c r="M1351" s="11" t="s">
        <v>90</v>
      </c>
      <c r="N1351" s="11" t="s">
        <v>133</v>
      </c>
      <c r="O1351" s="11" t="s">
        <v>60</v>
      </c>
      <c r="P1351" s="11" t="s">
        <v>76</v>
      </c>
      <c r="Q1351" s="13" t="n">
        <f aca="false">F1351*H1351</f>
        <v>81843000</v>
      </c>
      <c r="R1351" s="13" t="n">
        <f aca="false">G1351*H1351</f>
        <v>69630000</v>
      </c>
      <c r="S1351" s="13" t="n">
        <f aca="false">Q1351-R1351</f>
        <v>12213000</v>
      </c>
      <c r="T1351" s="14" t="n">
        <f aca="false">IFERROR(S1351/Q1351,0)</f>
        <v>0.149224735163667</v>
      </c>
      <c r="U1351" s="15" t="str">
        <f aca="false">TEXT(A1351,"yyyy-mm")</f>
        <v>2022-05</v>
      </c>
    </row>
    <row r="1352" customFormat="false" ht="15" hidden="false" customHeight="false" outlineLevel="0" collapsed="false">
      <c r="A1352" s="10" t="n">
        <v>44698</v>
      </c>
      <c r="B1352" s="11" t="s">
        <v>1484</v>
      </c>
      <c r="C1352" s="11" t="s">
        <v>148</v>
      </c>
      <c r="D1352" s="11" t="s">
        <v>138</v>
      </c>
      <c r="E1352" s="11" t="s">
        <v>122</v>
      </c>
      <c r="F1352" s="12" t="n">
        <v>4941716</v>
      </c>
      <c r="G1352" s="12" t="n">
        <v>4456000</v>
      </c>
      <c r="H1352" s="11" t="n">
        <v>24</v>
      </c>
      <c r="I1352" s="11" t="s">
        <v>69</v>
      </c>
      <c r="J1352" s="11" t="s">
        <v>70</v>
      </c>
      <c r="K1352" s="11" t="s">
        <v>71</v>
      </c>
      <c r="L1352" s="11" t="s">
        <v>72</v>
      </c>
      <c r="M1352" s="11" t="s">
        <v>73</v>
      </c>
      <c r="N1352" s="11" t="s">
        <v>143</v>
      </c>
      <c r="O1352" s="11" t="s">
        <v>144</v>
      </c>
      <c r="P1352" s="11" t="s">
        <v>101</v>
      </c>
      <c r="Q1352" s="13" t="n">
        <f aca="false">F1352*H1352</f>
        <v>118601184</v>
      </c>
      <c r="R1352" s="13" t="n">
        <f aca="false">G1352*H1352</f>
        <v>106944000</v>
      </c>
      <c r="S1352" s="13" t="n">
        <f aca="false">Q1352-R1352</f>
        <v>11657184</v>
      </c>
      <c r="T1352" s="14" t="n">
        <f aca="false">IFERROR(S1352/Q1352,0)</f>
        <v>0.0982889344511097</v>
      </c>
      <c r="U1352" s="15" t="str">
        <f aca="false">TEXT(A1352,"yyyy-mm")</f>
        <v>2022-05</v>
      </c>
    </row>
    <row r="1353" customFormat="false" ht="15" hidden="false" customHeight="false" outlineLevel="0" collapsed="false">
      <c r="A1353" s="10" t="n">
        <v>44698</v>
      </c>
      <c r="B1353" s="11" t="s">
        <v>1485</v>
      </c>
      <c r="C1353" s="11" t="s">
        <v>66</v>
      </c>
      <c r="D1353" s="11" t="s">
        <v>67</v>
      </c>
      <c r="E1353" s="11" t="s">
        <v>68</v>
      </c>
      <c r="F1353" s="12" t="n">
        <v>3048952</v>
      </c>
      <c r="G1353" s="12" t="n">
        <v>2560000</v>
      </c>
      <c r="H1353" s="11" t="n">
        <v>1</v>
      </c>
      <c r="I1353" s="11" t="s">
        <v>69</v>
      </c>
      <c r="J1353" s="11" t="s">
        <v>80</v>
      </c>
      <c r="K1353" s="11" t="s">
        <v>81</v>
      </c>
      <c r="L1353" s="11" t="s">
        <v>82</v>
      </c>
      <c r="M1353" s="11" t="s">
        <v>73</v>
      </c>
      <c r="N1353" s="11" t="s">
        <v>123</v>
      </c>
      <c r="O1353" s="11" t="s">
        <v>60</v>
      </c>
      <c r="P1353" s="11" t="s">
        <v>106</v>
      </c>
      <c r="Q1353" s="13" t="n">
        <f aca="false">F1353*H1353</f>
        <v>3048952</v>
      </c>
      <c r="R1353" s="13" t="n">
        <f aca="false">G1353*H1353</f>
        <v>2560000</v>
      </c>
      <c r="S1353" s="13" t="n">
        <f aca="false">Q1353-R1353</f>
        <v>488952</v>
      </c>
      <c r="T1353" s="14" t="n">
        <f aca="false">IFERROR(S1353/Q1353,0)</f>
        <v>0.160367234380863</v>
      </c>
      <c r="U1353" s="15" t="str">
        <f aca="false">TEXT(A1353,"yyyy-mm")</f>
        <v>2022-05</v>
      </c>
    </row>
    <row r="1354" customFormat="false" ht="15" hidden="false" customHeight="false" outlineLevel="0" collapsed="false">
      <c r="A1354" s="10" t="n">
        <v>44699</v>
      </c>
      <c r="B1354" s="11" t="s">
        <v>1486</v>
      </c>
      <c r="C1354" s="11" t="s">
        <v>78</v>
      </c>
      <c r="D1354" s="11" t="s">
        <v>67</v>
      </c>
      <c r="E1354" s="11" t="s">
        <v>79</v>
      </c>
      <c r="F1354" s="12" t="n">
        <v>1870000</v>
      </c>
      <c r="G1354" s="12" t="n">
        <v>1650000</v>
      </c>
      <c r="H1354" s="11" t="n">
        <v>14</v>
      </c>
      <c r="I1354" s="11" t="s">
        <v>69</v>
      </c>
      <c r="J1354" s="11" t="s">
        <v>112</v>
      </c>
      <c r="K1354" s="11" t="s">
        <v>113</v>
      </c>
      <c r="L1354" s="11" t="s">
        <v>82</v>
      </c>
      <c r="M1354" s="11" t="s">
        <v>157</v>
      </c>
      <c r="N1354" s="11" t="s">
        <v>104</v>
      </c>
      <c r="O1354" s="11" t="s">
        <v>105</v>
      </c>
      <c r="P1354" s="11" t="s">
        <v>106</v>
      </c>
      <c r="Q1354" s="13" t="n">
        <f aca="false">F1354*H1354</f>
        <v>26180000</v>
      </c>
      <c r="R1354" s="13" t="n">
        <f aca="false">G1354*H1354</f>
        <v>23100000</v>
      </c>
      <c r="S1354" s="13" t="n">
        <f aca="false">Q1354-R1354</f>
        <v>3080000</v>
      </c>
      <c r="T1354" s="14" t="n">
        <f aca="false">IFERROR(S1354/Q1354,0)</f>
        <v>0.117647058823529</v>
      </c>
      <c r="U1354" s="15" t="str">
        <f aca="false">TEXT(A1354,"yyyy-mm")</f>
        <v>2022-05</v>
      </c>
    </row>
    <row r="1355" customFormat="false" ht="15" hidden="false" customHeight="false" outlineLevel="0" collapsed="false">
      <c r="A1355" s="10" t="n">
        <v>44699</v>
      </c>
      <c r="B1355" s="11" t="s">
        <v>1487</v>
      </c>
      <c r="C1355" s="11" t="s">
        <v>84</v>
      </c>
      <c r="D1355" s="11" t="s">
        <v>67</v>
      </c>
      <c r="E1355" s="11" t="s">
        <v>85</v>
      </c>
      <c r="F1355" s="12" t="n">
        <v>2600000</v>
      </c>
      <c r="G1355" s="12" t="n">
        <v>2300000</v>
      </c>
      <c r="H1355" s="11" t="n">
        <v>2</v>
      </c>
      <c r="I1355" s="11" t="s">
        <v>69</v>
      </c>
      <c r="J1355" s="11" t="s">
        <v>80</v>
      </c>
      <c r="K1355" s="11" t="s">
        <v>81</v>
      </c>
      <c r="L1355" s="11" t="s">
        <v>82</v>
      </c>
      <c r="M1355" s="11" t="s">
        <v>73</v>
      </c>
      <c r="N1355" s="11" t="s">
        <v>133</v>
      </c>
      <c r="O1355" s="11" t="s">
        <v>60</v>
      </c>
      <c r="P1355" s="11" t="s">
        <v>76</v>
      </c>
      <c r="Q1355" s="13" t="n">
        <f aca="false">F1355*H1355</f>
        <v>5200000</v>
      </c>
      <c r="R1355" s="13" t="n">
        <f aca="false">G1355*H1355</f>
        <v>4600000</v>
      </c>
      <c r="S1355" s="13" t="n">
        <f aca="false">Q1355-R1355</f>
        <v>600000</v>
      </c>
      <c r="T1355" s="14" t="n">
        <f aca="false">IFERROR(S1355/Q1355,0)</f>
        <v>0.115384615384615</v>
      </c>
      <c r="U1355" s="15" t="str">
        <f aca="false">TEXT(A1355,"yyyy-mm")</f>
        <v>2022-05</v>
      </c>
    </row>
    <row r="1356" customFormat="false" ht="15" hidden="false" customHeight="false" outlineLevel="0" collapsed="false">
      <c r="A1356" s="10" t="n">
        <v>44699</v>
      </c>
      <c r="B1356" s="11" t="s">
        <v>1488</v>
      </c>
      <c r="C1356" s="11" t="s">
        <v>92</v>
      </c>
      <c r="D1356" s="11" t="s">
        <v>67</v>
      </c>
      <c r="E1356" s="11" t="s">
        <v>79</v>
      </c>
      <c r="F1356" s="12" t="n">
        <v>3577480</v>
      </c>
      <c r="G1356" s="12" t="n">
        <v>3100000</v>
      </c>
      <c r="H1356" s="11" t="n">
        <v>28</v>
      </c>
      <c r="I1356" s="11" t="s">
        <v>69</v>
      </c>
      <c r="J1356" s="11" t="s">
        <v>112</v>
      </c>
      <c r="K1356" s="11" t="s">
        <v>113</v>
      </c>
      <c r="L1356" s="11" t="s">
        <v>82</v>
      </c>
      <c r="M1356" s="11" t="s">
        <v>157</v>
      </c>
      <c r="N1356" s="11" t="s">
        <v>173</v>
      </c>
      <c r="O1356" s="11" t="s">
        <v>174</v>
      </c>
      <c r="P1356" s="11" t="s">
        <v>95</v>
      </c>
      <c r="Q1356" s="13" t="n">
        <f aca="false">F1356*H1356</f>
        <v>100169440</v>
      </c>
      <c r="R1356" s="13" t="n">
        <f aca="false">G1356*H1356</f>
        <v>86800000</v>
      </c>
      <c r="S1356" s="13" t="n">
        <f aca="false">Q1356-R1356</f>
        <v>13369440</v>
      </c>
      <c r="T1356" s="14" t="n">
        <f aca="false">IFERROR(S1356/Q1356,0)</f>
        <v>0.133468251394837</v>
      </c>
      <c r="U1356" s="15" t="str">
        <f aca="false">TEXT(A1356,"yyyy-mm")</f>
        <v>2022-05</v>
      </c>
    </row>
    <row r="1357" customFormat="false" ht="15" hidden="false" customHeight="false" outlineLevel="0" collapsed="false">
      <c r="A1357" s="10" t="n">
        <v>44699</v>
      </c>
      <c r="B1357" s="11" t="s">
        <v>1489</v>
      </c>
      <c r="C1357" s="11" t="s">
        <v>97</v>
      </c>
      <c r="D1357" s="11" t="s">
        <v>67</v>
      </c>
      <c r="E1357" s="11" t="s">
        <v>98</v>
      </c>
      <c r="F1357" s="12" t="n">
        <v>4969724</v>
      </c>
      <c r="G1357" s="12" t="n">
        <v>4121560</v>
      </c>
      <c r="H1357" s="11" t="n">
        <v>13</v>
      </c>
      <c r="I1357" s="11" t="s">
        <v>69</v>
      </c>
      <c r="J1357" s="11" t="s">
        <v>112</v>
      </c>
      <c r="K1357" s="11" t="s">
        <v>113</v>
      </c>
      <c r="L1357" s="11" t="s">
        <v>82</v>
      </c>
      <c r="M1357" s="11" t="s">
        <v>157</v>
      </c>
      <c r="N1357" s="11" t="s">
        <v>109</v>
      </c>
      <c r="O1357" s="11" t="s">
        <v>75</v>
      </c>
      <c r="P1357" s="11" t="s">
        <v>95</v>
      </c>
      <c r="Q1357" s="13" t="n">
        <f aca="false">F1357*H1357</f>
        <v>64606412</v>
      </c>
      <c r="R1357" s="13" t="n">
        <f aca="false">G1357*H1357</f>
        <v>53580280</v>
      </c>
      <c r="S1357" s="13" t="n">
        <f aca="false">Q1357-R1357</f>
        <v>11026132</v>
      </c>
      <c r="T1357" s="14" t="n">
        <f aca="false">IFERROR(S1357/Q1357,0)</f>
        <v>0.170666218083741</v>
      </c>
      <c r="U1357" s="15" t="str">
        <f aca="false">TEXT(A1357,"yyyy-mm")</f>
        <v>2022-05</v>
      </c>
    </row>
    <row r="1358" customFormat="false" ht="15" hidden="false" customHeight="false" outlineLevel="0" collapsed="false">
      <c r="A1358" s="10" t="n">
        <v>44699</v>
      </c>
      <c r="B1358" s="11" t="s">
        <v>1490</v>
      </c>
      <c r="C1358" s="11" t="s">
        <v>103</v>
      </c>
      <c r="D1358" s="11" t="s">
        <v>67</v>
      </c>
      <c r="E1358" s="11" t="s">
        <v>68</v>
      </c>
      <c r="F1358" s="12" t="n">
        <v>3319925</v>
      </c>
      <c r="G1358" s="12" t="n">
        <v>2800000</v>
      </c>
      <c r="H1358" s="11" t="n">
        <v>9</v>
      </c>
      <c r="I1358" s="11" t="s">
        <v>69</v>
      </c>
      <c r="J1358" s="11" t="s">
        <v>80</v>
      </c>
      <c r="K1358" s="11" t="s">
        <v>81</v>
      </c>
      <c r="L1358" s="11" t="s">
        <v>82</v>
      </c>
      <c r="M1358" s="11" t="s">
        <v>73</v>
      </c>
      <c r="N1358" s="11" t="s">
        <v>104</v>
      </c>
      <c r="O1358" s="11" t="s">
        <v>105</v>
      </c>
      <c r="P1358" s="11" t="s">
        <v>106</v>
      </c>
      <c r="Q1358" s="13" t="n">
        <f aca="false">F1358*H1358</f>
        <v>29879325</v>
      </c>
      <c r="R1358" s="13" t="n">
        <f aca="false">G1358*H1358</f>
        <v>25200000</v>
      </c>
      <c r="S1358" s="13" t="n">
        <f aca="false">Q1358-R1358</f>
        <v>4679325</v>
      </c>
      <c r="T1358" s="14" t="n">
        <f aca="false">IFERROR(S1358/Q1358,0)</f>
        <v>0.15660745348163</v>
      </c>
      <c r="U1358" s="15" t="str">
        <f aca="false">TEXT(A1358,"yyyy-mm")</f>
        <v>2022-05</v>
      </c>
    </row>
    <row r="1359" customFormat="false" ht="15" hidden="false" customHeight="false" outlineLevel="0" collapsed="false">
      <c r="A1359" s="10" t="n">
        <v>44700</v>
      </c>
      <c r="B1359" s="11" t="s">
        <v>1491</v>
      </c>
      <c r="C1359" s="11" t="s">
        <v>108</v>
      </c>
      <c r="D1359" s="11" t="s">
        <v>67</v>
      </c>
      <c r="E1359" s="11" t="s">
        <v>68</v>
      </c>
      <c r="F1359" s="12" t="n">
        <v>4757880</v>
      </c>
      <c r="G1359" s="12" t="n">
        <v>3450000</v>
      </c>
      <c r="H1359" s="11" t="n">
        <v>6</v>
      </c>
      <c r="I1359" s="11" t="s">
        <v>69</v>
      </c>
      <c r="J1359" s="11" t="s">
        <v>80</v>
      </c>
      <c r="K1359" s="11" t="s">
        <v>81</v>
      </c>
      <c r="L1359" s="11" t="s">
        <v>82</v>
      </c>
      <c r="M1359" s="11" t="s">
        <v>73</v>
      </c>
      <c r="N1359" s="11" t="s">
        <v>149</v>
      </c>
      <c r="O1359" s="11" t="s">
        <v>150</v>
      </c>
      <c r="P1359" s="11" t="s">
        <v>151</v>
      </c>
      <c r="Q1359" s="13" t="n">
        <f aca="false">F1359*H1359</f>
        <v>28547280</v>
      </c>
      <c r="R1359" s="13" t="n">
        <f aca="false">G1359*H1359</f>
        <v>20700000</v>
      </c>
      <c r="S1359" s="13" t="n">
        <f aca="false">Q1359-R1359</f>
        <v>7847280</v>
      </c>
      <c r="T1359" s="14" t="n">
        <f aca="false">IFERROR(S1359/Q1359,0)</f>
        <v>0.274887134606169</v>
      </c>
      <c r="U1359" s="15" t="str">
        <f aca="false">TEXT(A1359,"yyyy-mm")</f>
        <v>2022-05</v>
      </c>
    </row>
    <row r="1360" customFormat="false" ht="15" hidden="false" customHeight="false" outlineLevel="0" collapsed="false">
      <c r="A1360" s="10" t="n">
        <v>44700</v>
      </c>
      <c r="B1360" s="11" t="s">
        <v>1492</v>
      </c>
      <c r="C1360" s="11" t="s">
        <v>111</v>
      </c>
      <c r="D1360" s="11" t="s">
        <v>67</v>
      </c>
      <c r="E1360" s="11" t="s">
        <v>79</v>
      </c>
      <c r="F1360" s="12" t="n">
        <v>3545808</v>
      </c>
      <c r="G1360" s="12" t="n">
        <v>3350000</v>
      </c>
      <c r="H1360" s="11" t="n">
        <v>15</v>
      </c>
      <c r="I1360" s="11" t="s">
        <v>69</v>
      </c>
      <c r="J1360" s="11" t="s">
        <v>80</v>
      </c>
      <c r="K1360" s="11" t="s">
        <v>81</v>
      </c>
      <c r="L1360" s="11" t="s">
        <v>82</v>
      </c>
      <c r="M1360" s="11" t="s">
        <v>73</v>
      </c>
      <c r="N1360" s="11" t="s">
        <v>143</v>
      </c>
      <c r="O1360" s="11" t="s">
        <v>144</v>
      </c>
      <c r="P1360" s="11" t="s">
        <v>101</v>
      </c>
      <c r="Q1360" s="13" t="n">
        <f aca="false">F1360*H1360</f>
        <v>53187120</v>
      </c>
      <c r="R1360" s="13" t="n">
        <f aca="false">G1360*H1360</f>
        <v>50250000</v>
      </c>
      <c r="S1360" s="13" t="n">
        <f aca="false">Q1360-R1360</f>
        <v>2937120</v>
      </c>
      <c r="T1360" s="14" t="n">
        <f aca="false">IFERROR(S1360/Q1360,0)</f>
        <v>0.0552223921881839</v>
      </c>
      <c r="U1360" s="15" t="str">
        <f aca="false">TEXT(A1360,"yyyy-mm")</f>
        <v>2022-05</v>
      </c>
    </row>
    <row r="1361" customFormat="false" ht="15" hidden="false" customHeight="false" outlineLevel="0" collapsed="false">
      <c r="A1361" s="10" t="n">
        <v>44700</v>
      </c>
      <c r="B1361" s="11" t="s">
        <v>1493</v>
      </c>
      <c r="C1361" s="11" t="s">
        <v>115</v>
      </c>
      <c r="D1361" s="11" t="s">
        <v>67</v>
      </c>
      <c r="E1361" s="11" t="s">
        <v>98</v>
      </c>
      <c r="F1361" s="12" t="n">
        <v>4200743</v>
      </c>
      <c r="G1361" s="12" t="n">
        <v>4101000</v>
      </c>
      <c r="H1361" s="11" t="n">
        <v>12</v>
      </c>
      <c r="I1361" s="11" t="s">
        <v>69</v>
      </c>
      <c r="J1361" s="11" t="s">
        <v>80</v>
      </c>
      <c r="K1361" s="11" t="s">
        <v>81</v>
      </c>
      <c r="L1361" s="11" t="s">
        <v>82</v>
      </c>
      <c r="M1361" s="11" t="s">
        <v>73</v>
      </c>
      <c r="N1361" s="11" t="s">
        <v>104</v>
      </c>
      <c r="O1361" s="11" t="s">
        <v>105</v>
      </c>
      <c r="P1361" s="11" t="s">
        <v>106</v>
      </c>
      <c r="Q1361" s="13" t="n">
        <f aca="false">F1361*H1361</f>
        <v>50408916</v>
      </c>
      <c r="R1361" s="13" t="n">
        <f aca="false">G1361*H1361</f>
        <v>49212000</v>
      </c>
      <c r="S1361" s="13" t="n">
        <f aca="false">Q1361-R1361</f>
        <v>1196916</v>
      </c>
      <c r="T1361" s="14" t="n">
        <f aca="false">IFERROR(S1361/Q1361,0)</f>
        <v>0.023744132883159</v>
      </c>
      <c r="U1361" s="15" t="str">
        <f aca="false">TEXT(A1361,"yyyy-mm")</f>
        <v>2022-05</v>
      </c>
    </row>
    <row r="1362" customFormat="false" ht="15" hidden="false" customHeight="false" outlineLevel="0" collapsed="false">
      <c r="A1362" s="10" t="n">
        <v>44700</v>
      </c>
      <c r="B1362" s="11" t="s">
        <v>1494</v>
      </c>
      <c r="C1362" s="11" t="s">
        <v>117</v>
      </c>
      <c r="D1362" s="11" t="s">
        <v>118</v>
      </c>
      <c r="E1362" s="11" t="s">
        <v>119</v>
      </c>
      <c r="F1362" s="12" t="n">
        <v>8220549</v>
      </c>
      <c r="G1362" s="12" t="n">
        <v>6500000</v>
      </c>
      <c r="H1362" s="11" t="n">
        <v>1</v>
      </c>
      <c r="I1362" s="11" t="s">
        <v>69</v>
      </c>
      <c r="J1362" s="11" t="s">
        <v>80</v>
      </c>
      <c r="K1362" s="11" t="s">
        <v>81</v>
      </c>
      <c r="L1362" s="11" t="s">
        <v>82</v>
      </c>
      <c r="M1362" s="11" t="s">
        <v>73</v>
      </c>
      <c r="N1362" s="11" t="s">
        <v>149</v>
      </c>
      <c r="O1362" s="11" t="s">
        <v>150</v>
      </c>
      <c r="P1362" s="11" t="s">
        <v>151</v>
      </c>
      <c r="Q1362" s="13" t="n">
        <f aca="false">F1362*H1362</f>
        <v>8220549</v>
      </c>
      <c r="R1362" s="13" t="n">
        <f aca="false">G1362*H1362</f>
        <v>6500000</v>
      </c>
      <c r="S1362" s="13" t="n">
        <f aca="false">Q1362-R1362</f>
        <v>1720549</v>
      </c>
      <c r="T1362" s="14" t="n">
        <f aca="false">IFERROR(S1362/Q1362,0)</f>
        <v>0.209298551714733</v>
      </c>
      <c r="U1362" s="15" t="str">
        <f aca="false">TEXT(A1362,"yyyy-mm")</f>
        <v>2022-05</v>
      </c>
    </row>
    <row r="1363" customFormat="false" ht="15" hidden="false" customHeight="false" outlineLevel="0" collapsed="false">
      <c r="A1363" s="10" t="n">
        <v>44701</v>
      </c>
      <c r="B1363" s="11" t="s">
        <v>1495</v>
      </c>
      <c r="C1363" s="11" t="s">
        <v>121</v>
      </c>
      <c r="D1363" s="11" t="s">
        <v>118</v>
      </c>
      <c r="E1363" s="11" t="s">
        <v>122</v>
      </c>
      <c r="F1363" s="12" t="n">
        <v>7687274</v>
      </c>
      <c r="G1363" s="12" t="n">
        <v>6500000</v>
      </c>
      <c r="H1363" s="11" t="n">
        <v>18</v>
      </c>
      <c r="I1363" s="11" t="s">
        <v>69</v>
      </c>
      <c r="J1363" s="11" t="s">
        <v>80</v>
      </c>
      <c r="K1363" s="11" t="s">
        <v>81</v>
      </c>
      <c r="L1363" s="11" t="s">
        <v>82</v>
      </c>
      <c r="M1363" s="11" t="s">
        <v>73</v>
      </c>
      <c r="N1363" s="11" t="s">
        <v>149</v>
      </c>
      <c r="O1363" s="11" t="s">
        <v>150</v>
      </c>
      <c r="P1363" s="11" t="s">
        <v>151</v>
      </c>
      <c r="Q1363" s="13" t="n">
        <f aca="false">F1363*H1363</f>
        <v>138370932</v>
      </c>
      <c r="R1363" s="13" t="n">
        <f aca="false">G1363*H1363</f>
        <v>117000000</v>
      </c>
      <c r="S1363" s="13" t="n">
        <f aca="false">Q1363-R1363</f>
        <v>21370932</v>
      </c>
      <c r="T1363" s="14" t="n">
        <f aca="false">IFERROR(S1363/Q1363,0)</f>
        <v>0.154446686822923</v>
      </c>
      <c r="U1363" s="15" t="str">
        <f aca="false">TEXT(A1363,"yyyy-mm")</f>
        <v>2022-05</v>
      </c>
    </row>
    <row r="1364" customFormat="false" ht="15" hidden="false" customHeight="false" outlineLevel="0" collapsed="false">
      <c r="A1364" s="10" t="n">
        <v>44701</v>
      </c>
      <c r="B1364" s="11" t="s">
        <v>1496</v>
      </c>
      <c r="C1364" s="11" t="s">
        <v>125</v>
      </c>
      <c r="D1364" s="11" t="s">
        <v>118</v>
      </c>
      <c r="E1364" s="11" t="s">
        <v>126</v>
      </c>
      <c r="F1364" s="12" t="n">
        <v>5684211</v>
      </c>
      <c r="G1364" s="12" t="n">
        <v>4300000</v>
      </c>
      <c r="H1364" s="11" t="n">
        <v>14</v>
      </c>
      <c r="I1364" s="11" t="s">
        <v>69</v>
      </c>
      <c r="J1364" s="11" t="s">
        <v>70</v>
      </c>
      <c r="K1364" s="11" t="s">
        <v>71</v>
      </c>
      <c r="L1364" s="11" t="s">
        <v>72</v>
      </c>
      <c r="M1364" s="11" t="s">
        <v>73</v>
      </c>
      <c r="N1364" s="11" t="s">
        <v>109</v>
      </c>
      <c r="O1364" s="11" t="s">
        <v>75</v>
      </c>
      <c r="P1364" s="11" t="s">
        <v>95</v>
      </c>
      <c r="Q1364" s="13" t="n">
        <f aca="false">F1364*H1364</f>
        <v>79578954</v>
      </c>
      <c r="R1364" s="13" t="n">
        <f aca="false">G1364*H1364</f>
        <v>60200000</v>
      </c>
      <c r="S1364" s="13" t="n">
        <f aca="false">Q1364-R1364</f>
        <v>19378954</v>
      </c>
      <c r="T1364" s="14" t="n">
        <f aca="false">IFERROR(S1364/Q1364,0)</f>
        <v>0.243518581558637</v>
      </c>
      <c r="U1364" s="15" t="str">
        <f aca="false">TEXT(A1364,"yyyy-mm")</f>
        <v>2022-05</v>
      </c>
    </row>
    <row r="1365" customFormat="false" ht="15" hidden="false" customHeight="false" outlineLevel="0" collapsed="false">
      <c r="A1365" s="10" t="n">
        <v>44701</v>
      </c>
      <c r="B1365" s="11" t="s">
        <v>1497</v>
      </c>
      <c r="C1365" s="11" t="s">
        <v>128</v>
      </c>
      <c r="D1365" s="11" t="s">
        <v>118</v>
      </c>
      <c r="E1365" s="11" t="s">
        <v>119</v>
      </c>
      <c r="F1365" s="12" t="n">
        <v>3370302</v>
      </c>
      <c r="G1365" s="12" t="n">
        <v>2100000</v>
      </c>
      <c r="H1365" s="11" t="n">
        <v>11</v>
      </c>
      <c r="I1365" s="11" t="s">
        <v>69</v>
      </c>
      <c r="J1365" s="11" t="s">
        <v>80</v>
      </c>
      <c r="K1365" s="11" t="s">
        <v>81</v>
      </c>
      <c r="L1365" s="11" t="s">
        <v>82</v>
      </c>
      <c r="M1365" s="11" t="s">
        <v>73</v>
      </c>
      <c r="N1365" s="11" t="s">
        <v>99</v>
      </c>
      <c r="O1365" s="11" t="s">
        <v>100</v>
      </c>
      <c r="P1365" s="11" t="s">
        <v>101</v>
      </c>
      <c r="Q1365" s="13" t="n">
        <f aca="false">F1365*H1365</f>
        <v>37073322</v>
      </c>
      <c r="R1365" s="13" t="n">
        <f aca="false">G1365*H1365</f>
        <v>23100000</v>
      </c>
      <c r="S1365" s="13" t="n">
        <f aca="false">Q1365-R1365</f>
        <v>13973322</v>
      </c>
      <c r="T1365" s="14" t="n">
        <f aca="false">IFERROR(S1365/Q1365,0)</f>
        <v>0.37691043710623</v>
      </c>
      <c r="U1365" s="15" t="str">
        <f aca="false">TEXT(A1365,"yyyy-mm")</f>
        <v>2022-05</v>
      </c>
    </row>
    <row r="1366" customFormat="false" ht="15" hidden="false" customHeight="false" outlineLevel="0" collapsed="false">
      <c r="A1366" s="10" t="n">
        <v>44701</v>
      </c>
      <c r="B1366" s="11" t="s">
        <v>1498</v>
      </c>
      <c r="C1366" s="11" t="s">
        <v>130</v>
      </c>
      <c r="D1366" s="11" t="s">
        <v>118</v>
      </c>
      <c r="E1366" s="11" t="s">
        <v>68</v>
      </c>
      <c r="F1366" s="12" t="n">
        <v>2852897</v>
      </c>
      <c r="G1366" s="12" t="n">
        <v>2450000</v>
      </c>
      <c r="H1366" s="11" t="n">
        <v>6</v>
      </c>
      <c r="I1366" s="11" t="s">
        <v>86</v>
      </c>
      <c r="J1366" s="11" t="s">
        <v>87</v>
      </c>
      <c r="K1366" s="11" t="s">
        <v>88</v>
      </c>
      <c r="L1366" s="11" t="s">
        <v>89</v>
      </c>
      <c r="M1366" s="11" t="s">
        <v>90</v>
      </c>
      <c r="N1366" s="11" t="s">
        <v>93</v>
      </c>
      <c r="O1366" s="11" t="s">
        <v>94</v>
      </c>
      <c r="P1366" s="11" t="s">
        <v>95</v>
      </c>
      <c r="Q1366" s="13" t="n">
        <f aca="false">F1366*H1366</f>
        <v>17117382</v>
      </c>
      <c r="R1366" s="13" t="n">
        <f aca="false">G1366*H1366</f>
        <v>14700000</v>
      </c>
      <c r="S1366" s="13" t="n">
        <f aca="false">Q1366-R1366</f>
        <v>2417382</v>
      </c>
      <c r="T1366" s="14" t="n">
        <f aca="false">IFERROR(S1366/Q1366,0)</f>
        <v>0.141223815651249</v>
      </c>
      <c r="U1366" s="15" t="str">
        <f aca="false">TEXT(A1366,"yyyy-mm")</f>
        <v>2022-05</v>
      </c>
    </row>
    <row r="1367" customFormat="false" ht="15" hidden="false" customHeight="false" outlineLevel="0" collapsed="false">
      <c r="A1367" s="10" t="n">
        <v>44701</v>
      </c>
      <c r="B1367" s="11" t="s">
        <v>1499</v>
      </c>
      <c r="C1367" s="11" t="s">
        <v>132</v>
      </c>
      <c r="D1367" s="11" t="s">
        <v>118</v>
      </c>
      <c r="E1367" s="11" t="s">
        <v>68</v>
      </c>
      <c r="F1367" s="12" t="n">
        <v>4803603</v>
      </c>
      <c r="G1367" s="12" t="n">
        <v>4121000</v>
      </c>
      <c r="H1367" s="11" t="n">
        <v>5</v>
      </c>
      <c r="I1367" s="11" t="s">
        <v>86</v>
      </c>
      <c r="J1367" s="11" t="s">
        <v>87</v>
      </c>
      <c r="K1367" s="11" t="s">
        <v>88</v>
      </c>
      <c r="L1367" s="11" t="s">
        <v>89</v>
      </c>
      <c r="M1367" s="11" t="s">
        <v>90</v>
      </c>
      <c r="N1367" s="11" t="s">
        <v>149</v>
      </c>
      <c r="O1367" s="11" t="s">
        <v>150</v>
      </c>
      <c r="P1367" s="11" t="s">
        <v>151</v>
      </c>
      <c r="Q1367" s="13" t="n">
        <f aca="false">F1367*H1367</f>
        <v>24018015</v>
      </c>
      <c r="R1367" s="13" t="n">
        <f aca="false">G1367*H1367</f>
        <v>20605000</v>
      </c>
      <c r="S1367" s="13" t="n">
        <f aca="false">Q1367-R1367</f>
        <v>3413015</v>
      </c>
      <c r="T1367" s="14" t="n">
        <f aca="false">IFERROR(S1367/Q1367,0)</f>
        <v>0.142102292799801</v>
      </c>
      <c r="U1367" s="15" t="str">
        <f aca="false">TEXT(A1367,"yyyy-mm")</f>
        <v>2022-05</v>
      </c>
    </row>
    <row r="1368" customFormat="false" ht="15" hidden="false" customHeight="false" outlineLevel="0" collapsed="false">
      <c r="A1368" s="10" t="n">
        <v>44701</v>
      </c>
      <c r="B1368" s="11" t="s">
        <v>1500</v>
      </c>
      <c r="C1368" s="11" t="s">
        <v>135</v>
      </c>
      <c r="D1368" s="11" t="s">
        <v>118</v>
      </c>
      <c r="E1368" s="11" t="s">
        <v>68</v>
      </c>
      <c r="F1368" s="12" t="n">
        <v>5689947</v>
      </c>
      <c r="G1368" s="12" t="n">
        <v>5235000</v>
      </c>
      <c r="H1368" s="11" t="n">
        <v>20</v>
      </c>
      <c r="I1368" s="11" t="s">
        <v>69</v>
      </c>
      <c r="J1368" s="11" t="s">
        <v>70</v>
      </c>
      <c r="K1368" s="11" t="s">
        <v>71</v>
      </c>
      <c r="L1368" s="11" t="s">
        <v>72</v>
      </c>
      <c r="M1368" s="11" t="s">
        <v>73</v>
      </c>
      <c r="N1368" s="11" t="s">
        <v>143</v>
      </c>
      <c r="O1368" s="11" t="s">
        <v>144</v>
      </c>
      <c r="P1368" s="11" t="s">
        <v>101</v>
      </c>
      <c r="Q1368" s="13" t="n">
        <f aca="false">F1368*H1368</f>
        <v>113798940</v>
      </c>
      <c r="R1368" s="13" t="n">
        <f aca="false">G1368*H1368</f>
        <v>104700000</v>
      </c>
      <c r="S1368" s="13" t="n">
        <f aca="false">Q1368-R1368</f>
        <v>9098940</v>
      </c>
      <c r="T1368" s="14" t="n">
        <f aca="false">IFERROR(S1368/Q1368,0)</f>
        <v>0.0799562807878527</v>
      </c>
      <c r="U1368" s="15" t="str">
        <f aca="false">TEXT(A1368,"yyyy-mm")</f>
        <v>2022-05</v>
      </c>
    </row>
    <row r="1369" customFormat="false" ht="15" hidden="false" customHeight="false" outlineLevel="0" collapsed="false">
      <c r="A1369" s="10" t="n">
        <v>44702</v>
      </c>
      <c r="B1369" s="11" t="s">
        <v>1501</v>
      </c>
      <c r="C1369" s="11" t="s">
        <v>137</v>
      </c>
      <c r="D1369" s="11" t="s">
        <v>138</v>
      </c>
      <c r="E1369" s="11" t="s">
        <v>139</v>
      </c>
      <c r="F1369" s="12" t="n">
        <v>5171827</v>
      </c>
      <c r="G1369" s="12" t="n">
        <v>4890000</v>
      </c>
      <c r="H1369" s="11" t="n">
        <v>4</v>
      </c>
      <c r="I1369" s="11" t="s">
        <v>69</v>
      </c>
      <c r="J1369" s="11" t="s">
        <v>80</v>
      </c>
      <c r="K1369" s="11" t="s">
        <v>81</v>
      </c>
      <c r="L1369" s="11" t="s">
        <v>82</v>
      </c>
      <c r="M1369" s="11" t="s">
        <v>73</v>
      </c>
      <c r="N1369" s="11" t="s">
        <v>109</v>
      </c>
      <c r="O1369" s="11" t="s">
        <v>75</v>
      </c>
      <c r="P1369" s="11" t="s">
        <v>95</v>
      </c>
      <c r="Q1369" s="13" t="n">
        <f aca="false">F1369*H1369</f>
        <v>20687308</v>
      </c>
      <c r="R1369" s="13" t="n">
        <f aca="false">G1369*H1369</f>
        <v>19560000</v>
      </c>
      <c r="S1369" s="13" t="n">
        <f aca="false">Q1369-R1369</f>
        <v>1127308</v>
      </c>
      <c r="T1369" s="14" t="n">
        <f aca="false">IFERROR(S1369/Q1369,0)</f>
        <v>0.0544927353525166</v>
      </c>
      <c r="U1369" s="15" t="str">
        <f aca="false">TEXT(A1369,"yyyy-mm")</f>
        <v>2022-05</v>
      </c>
    </row>
    <row r="1370" customFormat="false" ht="15" hidden="false" customHeight="false" outlineLevel="0" collapsed="false">
      <c r="A1370" s="10" t="n">
        <v>44702</v>
      </c>
      <c r="B1370" s="11" t="s">
        <v>1502</v>
      </c>
      <c r="C1370" s="11" t="s">
        <v>141</v>
      </c>
      <c r="D1370" s="11" t="s">
        <v>138</v>
      </c>
      <c r="E1370" s="11" t="s">
        <v>142</v>
      </c>
      <c r="F1370" s="12" t="n">
        <v>2805124</v>
      </c>
      <c r="G1370" s="12" t="n">
        <v>2178000</v>
      </c>
      <c r="H1370" s="11" t="n">
        <v>21</v>
      </c>
      <c r="I1370" s="11" t="s">
        <v>86</v>
      </c>
      <c r="J1370" s="11" t="s">
        <v>87</v>
      </c>
      <c r="K1370" s="11" t="s">
        <v>88</v>
      </c>
      <c r="L1370" s="11" t="s">
        <v>89</v>
      </c>
      <c r="M1370" s="11" t="s">
        <v>90</v>
      </c>
      <c r="N1370" s="11" t="s">
        <v>109</v>
      </c>
      <c r="O1370" s="11" t="s">
        <v>75</v>
      </c>
      <c r="P1370" s="11" t="s">
        <v>95</v>
      </c>
      <c r="Q1370" s="13" t="n">
        <f aca="false">F1370*H1370</f>
        <v>58907604</v>
      </c>
      <c r="R1370" s="13" t="n">
        <f aca="false">G1370*H1370</f>
        <v>45738000</v>
      </c>
      <c r="S1370" s="13" t="n">
        <f aca="false">Q1370-R1370</f>
        <v>13169604</v>
      </c>
      <c r="T1370" s="14" t="n">
        <f aca="false">IFERROR(S1370/Q1370,0)</f>
        <v>0.22356373550688</v>
      </c>
      <c r="U1370" s="15" t="str">
        <f aca="false">TEXT(A1370,"yyyy-mm")</f>
        <v>2022-05</v>
      </c>
    </row>
    <row r="1371" customFormat="false" ht="15" hidden="false" customHeight="false" outlineLevel="0" collapsed="false">
      <c r="A1371" s="10" t="n">
        <v>44702</v>
      </c>
      <c r="B1371" s="11" t="s">
        <v>1503</v>
      </c>
      <c r="C1371" s="11" t="s">
        <v>146</v>
      </c>
      <c r="D1371" s="11" t="s">
        <v>138</v>
      </c>
      <c r="E1371" s="11" t="s">
        <v>139</v>
      </c>
      <c r="F1371" s="12" t="n">
        <v>2728100</v>
      </c>
      <c r="G1371" s="12" t="n">
        <v>2321000</v>
      </c>
      <c r="H1371" s="11" t="n">
        <v>17</v>
      </c>
      <c r="I1371" s="11" t="s">
        <v>69</v>
      </c>
      <c r="J1371" s="11" t="s">
        <v>70</v>
      </c>
      <c r="K1371" s="11" t="s">
        <v>71</v>
      </c>
      <c r="L1371" s="11" t="s">
        <v>72</v>
      </c>
      <c r="M1371" s="11" t="s">
        <v>73</v>
      </c>
      <c r="N1371" s="11" t="s">
        <v>173</v>
      </c>
      <c r="O1371" s="11" t="s">
        <v>174</v>
      </c>
      <c r="P1371" s="11" t="s">
        <v>95</v>
      </c>
      <c r="Q1371" s="13" t="n">
        <f aca="false">F1371*H1371</f>
        <v>46377700</v>
      </c>
      <c r="R1371" s="13" t="n">
        <f aca="false">G1371*H1371</f>
        <v>39457000</v>
      </c>
      <c r="S1371" s="13" t="n">
        <f aca="false">Q1371-R1371</f>
        <v>6920700</v>
      </c>
      <c r="T1371" s="14" t="n">
        <f aca="false">IFERROR(S1371/Q1371,0)</f>
        <v>0.149224735163667</v>
      </c>
      <c r="U1371" s="15" t="str">
        <f aca="false">TEXT(A1371,"yyyy-mm")</f>
        <v>2022-05</v>
      </c>
    </row>
    <row r="1372" customFormat="false" ht="15" hidden="false" customHeight="false" outlineLevel="0" collapsed="false">
      <c r="A1372" s="10" t="n">
        <v>44702</v>
      </c>
      <c r="B1372" s="11" t="s">
        <v>1504</v>
      </c>
      <c r="C1372" s="11" t="s">
        <v>148</v>
      </c>
      <c r="D1372" s="11" t="s">
        <v>138</v>
      </c>
      <c r="E1372" s="11" t="s">
        <v>122</v>
      </c>
      <c r="F1372" s="12" t="n">
        <v>4941716</v>
      </c>
      <c r="G1372" s="12" t="n">
        <v>4456000</v>
      </c>
      <c r="H1372" s="11" t="n">
        <v>23</v>
      </c>
      <c r="I1372" s="11" t="s">
        <v>86</v>
      </c>
      <c r="J1372" s="11" t="s">
        <v>87</v>
      </c>
      <c r="K1372" s="11" t="s">
        <v>88</v>
      </c>
      <c r="L1372" s="11" t="s">
        <v>89</v>
      </c>
      <c r="M1372" s="11" t="s">
        <v>90</v>
      </c>
      <c r="N1372" s="11" t="s">
        <v>123</v>
      </c>
      <c r="O1372" s="11" t="s">
        <v>60</v>
      </c>
      <c r="P1372" s="11" t="s">
        <v>106</v>
      </c>
      <c r="Q1372" s="13" t="n">
        <f aca="false">F1372*H1372</f>
        <v>113659468</v>
      </c>
      <c r="R1372" s="13" t="n">
        <f aca="false">G1372*H1372</f>
        <v>102488000</v>
      </c>
      <c r="S1372" s="13" t="n">
        <f aca="false">Q1372-R1372</f>
        <v>11171468</v>
      </c>
      <c r="T1372" s="14" t="n">
        <f aca="false">IFERROR(S1372/Q1372,0)</f>
        <v>0.0982889344511097</v>
      </c>
      <c r="U1372" s="15" t="str">
        <f aca="false">TEXT(A1372,"yyyy-mm")</f>
        <v>2022-05</v>
      </c>
    </row>
    <row r="1373" customFormat="false" ht="15" hidden="false" customHeight="false" outlineLevel="0" collapsed="false">
      <c r="A1373" s="10" t="n">
        <v>44702</v>
      </c>
      <c r="B1373" s="11" t="s">
        <v>1505</v>
      </c>
      <c r="C1373" s="11" t="s">
        <v>66</v>
      </c>
      <c r="D1373" s="11" t="s">
        <v>67</v>
      </c>
      <c r="E1373" s="11" t="s">
        <v>68</v>
      </c>
      <c r="F1373" s="12" t="n">
        <v>3048952</v>
      </c>
      <c r="G1373" s="12" t="n">
        <v>2560000</v>
      </c>
      <c r="H1373" s="11" t="n">
        <v>2</v>
      </c>
      <c r="I1373" s="11" t="s">
        <v>69</v>
      </c>
      <c r="J1373" s="11" t="s">
        <v>80</v>
      </c>
      <c r="K1373" s="11" t="s">
        <v>81</v>
      </c>
      <c r="L1373" s="11" t="s">
        <v>82</v>
      </c>
      <c r="M1373" s="11" t="s">
        <v>73</v>
      </c>
      <c r="N1373" s="11" t="s">
        <v>93</v>
      </c>
      <c r="O1373" s="11" t="s">
        <v>94</v>
      </c>
      <c r="P1373" s="11" t="s">
        <v>95</v>
      </c>
      <c r="Q1373" s="13" t="n">
        <f aca="false">F1373*H1373</f>
        <v>6097904</v>
      </c>
      <c r="R1373" s="13" t="n">
        <f aca="false">G1373*H1373</f>
        <v>5120000</v>
      </c>
      <c r="S1373" s="13" t="n">
        <f aca="false">Q1373-R1373</f>
        <v>977904</v>
      </c>
      <c r="T1373" s="14" t="n">
        <f aca="false">IFERROR(S1373/Q1373,0)</f>
        <v>0.160367234380863</v>
      </c>
      <c r="U1373" s="15" t="str">
        <f aca="false">TEXT(A1373,"yyyy-mm")</f>
        <v>2022-05</v>
      </c>
    </row>
    <row r="1374" customFormat="false" ht="15" hidden="false" customHeight="false" outlineLevel="0" collapsed="false">
      <c r="A1374" s="10" t="n">
        <v>44702</v>
      </c>
      <c r="B1374" s="11" t="s">
        <v>1506</v>
      </c>
      <c r="C1374" s="11" t="s">
        <v>78</v>
      </c>
      <c r="D1374" s="11" t="s">
        <v>67</v>
      </c>
      <c r="E1374" s="11" t="s">
        <v>79</v>
      </c>
      <c r="F1374" s="12" t="n">
        <v>1870000</v>
      </c>
      <c r="G1374" s="12" t="n">
        <v>1650000</v>
      </c>
      <c r="H1374" s="11" t="n">
        <v>17</v>
      </c>
      <c r="I1374" s="11" t="s">
        <v>69</v>
      </c>
      <c r="J1374" s="11" t="s">
        <v>70</v>
      </c>
      <c r="K1374" s="11" t="s">
        <v>71</v>
      </c>
      <c r="L1374" s="11" t="s">
        <v>72</v>
      </c>
      <c r="M1374" s="11" t="s">
        <v>73</v>
      </c>
      <c r="N1374" s="11" t="s">
        <v>99</v>
      </c>
      <c r="O1374" s="11" t="s">
        <v>100</v>
      </c>
      <c r="P1374" s="11" t="s">
        <v>101</v>
      </c>
      <c r="Q1374" s="13" t="n">
        <f aca="false">F1374*H1374</f>
        <v>31790000</v>
      </c>
      <c r="R1374" s="13" t="n">
        <f aca="false">G1374*H1374</f>
        <v>28050000</v>
      </c>
      <c r="S1374" s="13" t="n">
        <f aca="false">Q1374-R1374</f>
        <v>3740000</v>
      </c>
      <c r="T1374" s="14" t="n">
        <f aca="false">IFERROR(S1374/Q1374,0)</f>
        <v>0.117647058823529</v>
      </c>
      <c r="U1374" s="15" t="str">
        <f aca="false">TEXT(A1374,"yyyy-mm")</f>
        <v>2022-05</v>
      </c>
    </row>
    <row r="1375" customFormat="false" ht="15" hidden="false" customHeight="false" outlineLevel="0" collapsed="false">
      <c r="A1375" s="10" t="n">
        <v>44704</v>
      </c>
      <c r="B1375" s="11" t="s">
        <v>1507</v>
      </c>
      <c r="C1375" s="11" t="s">
        <v>84</v>
      </c>
      <c r="D1375" s="11" t="s">
        <v>67</v>
      </c>
      <c r="E1375" s="11" t="s">
        <v>85</v>
      </c>
      <c r="F1375" s="12" t="n">
        <v>2600000</v>
      </c>
      <c r="G1375" s="12" t="n">
        <v>2300000</v>
      </c>
      <c r="H1375" s="11" t="n">
        <v>7</v>
      </c>
      <c r="I1375" s="11" t="s">
        <v>69</v>
      </c>
      <c r="J1375" s="11" t="s">
        <v>80</v>
      </c>
      <c r="K1375" s="11" t="s">
        <v>81</v>
      </c>
      <c r="L1375" s="11" t="s">
        <v>82</v>
      </c>
      <c r="M1375" s="11" t="s">
        <v>73</v>
      </c>
      <c r="N1375" s="11" t="s">
        <v>109</v>
      </c>
      <c r="O1375" s="11" t="s">
        <v>75</v>
      </c>
      <c r="P1375" s="11" t="s">
        <v>95</v>
      </c>
      <c r="Q1375" s="13" t="n">
        <f aca="false">F1375*H1375</f>
        <v>18200000</v>
      </c>
      <c r="R1375" s="13" t="n">
        <f aca="false">G1375*H1375</f>
        <v>16100000</v>
      </c>
      <c r="S1375" s="13" t="n">
        <f aca="false">Q1375-R1375</f>
        <v>2100000</v>
      </c>
      <c r="T1375" s="14" t="n">
        <f aca="false">IFERROR(S1375/Q1375,0)</f>
        <v>0.115384615384615</v>
      </c>
      <c r="U1375" s="15" t="str">
        <f aca="false">TEXT(A1375,"yyyy-mm")</f>
        <v>2022-05</v>
      </c>
    </row>
    <row r="1376" customFormat="false" ht="15" hidden="false" customHeight="false" outlineLevel="0" collapsed="false">
      <c r="A1376" s="10" t="n">
        <v>44704</v>
      </c>
      <c r="B1376" s="11" t="s">
        <v>1508</v>
      </c>
      <c r="C1376" s="11" t="s">
        <v>92</v>
      </c>
      <c r="D1376" s="11" t="s">
        <v>67</v>
      </c>
      <c r="E1376" s="11" t="s">
        <v>79</v>
      </c>
      <c r="F1376" s="12" t="n">
        <v>3577480</v>
      </c>
      <c r="G1376" s="12" t="n">
        <v>3100000</v>
      </c>
      <c r="H1376" s="11" t="n">
        <v>17</v>
      </c>
      <c r="I1376" s="11" t="s">
        <v>86</v>
      </c>
      <c r="J1376" s="11" t="s">
        <v>87</v>
      </c>
      <c r="K1376" s="11" t="s">
        <v>88</v>
      </c>
      <c r="L1376" s="11" t="s">
        <v>89</v>
      </c>
      <c r="M1376" s="11" t="s">
        <v>90</v>
      </c>
      <c r="N1376" s="11" t="s">
        <v>93</v>
      </c>
      <c r="O1376" s="11" t="s">
        <v>94</v>
      </c>
      <c r="P1376" s="11" t="s">
        <v>95</v>
      </c>
      <c r="Q1376" s="13" t="n">
        <f aca="false">F1376*H1376</f>
        <v>60817160</v>
      </c>
      <c r="R1376" s="13" t="n">
        <f aca="false">G1376*H1376</f>
        <v>52700000</v>
      </c>
      <c r="S1376" s="13" t="n">
        <f aca="false">Q1376-R1376</f>
        <v>8117160</v>
      </c>
      <c r="T1376" s="14" t="n">
        <f aca="false">IFERROR(S1376/Q1376,0)</f>
        <v>0.133468251394837</v>
      </c>
      <c r="U1376" s="15" t="str">
        <f aca="false">TEXT(A1376,"yyyy-mm")</f>
        <v>2022-05</v>
      </c>
    </row>
    <row r="1377" customFormat="false" ht="15" hidden="false" customHeight="false" outlineLevel="0" collapsed="false">
      <c r="A1377" s="10" t="n">
        <v>44704</v>
      </c>
      <c r="B1377" s="11" t="s">
        <v>1509</v>
      </c>
      <c r="C1377" s="11" t="s">
        <v>97</v>
      </c>
      <c r="D1377" s="11" t="s">
        <v>67</v>
      </c>
      <c r="E1377" s="11" t="s">
        <v>98</v>
      </c>
      <c r="F1377" s="12" t="n">
        <v>4969724</v>
      </c>
      <c r="G1377" s="12" t="n">
        <v>4121560</v>
      </c>
      <c r="H1377" s="11" t="n">
        <v>8</v>
      </c>
      <c r="I1377" s="11" t="s">
        <v>69</v>
      </c>
      <c r="J1377" s="11" t="s">
        <v>80</v>
      </c>
      <c r="K1377" s="11" t="s">
        <v>81</v>
      </c>
      <c r="L1377" s="11" t="s">
        <v>82</v>
      </c>
      <c r="M1377" s="11" t="s">
        <v>73</v>
      </c>
      <c r="N1377" s="11" t="s">
        <v>123</v>
      </c>
      <c r="O1377" s="11" t="s">
        <v>60</v>
      </c>
      <c r="P1377" s="11" t="s">
        <v>106</v>
      </c>
      <c r="Q1377" s="13" t="n">
        <f aca="false">F1377*H1377</f>
        <v>39757792</v>
      </c>
      <c r="R1377" s="13" t="n">
        <f aca="false">G1377*H1377</f>
        <v>32972480</v>
      </c>
      <c r="S1377" s="13" t="n">
        <f aca="false">Q1377-R1377</f>
        <v>6785312</v>
      </c>
      <c r="T1377" s="14" t="n">
        <f aca="false">IFERROR(S1377/Q1377,0)</f>
        <v>0.170666218083741</v>
      </c>
      <c r="U1377" s="15" t="str">
        <f aca="false">TEXT(A1377,"yyyy-mm")</f>
        <v>2022-05</v>
      </c>
    </row>
    <row r="1378" customFormat="false" ht="15" hidden="false" customHeight="false" outlineLevel="0" collapsed="false">
      <c r="A1378" s="10" t="n">
        <v>44704</v>
      </c>
      <c r="B1378" s="11" t="s">
        <v>1510</v>
      </c>
      <c r="C1378" s="11" t="s">
        <v>103</v>
      </c>
      <c r="D1378" s="11" t="s">
        <v>67</v>
      </c>
      <c r="E1378" s="11" t="s">
        <v>68</v>
      </c>
      <c r="F1378" s="12" t="n">
        <v>3319925</v>
      </c>
      <c r="G1378" s="12" t="n">
        <v>2800000</v>
      </c>
      <c r="H1378" s="11" t="n">
        <v>16</v>
      </c>
      <c r="I1378" s="11" t="s">
        <v>69</v>
      </c>
      <c r="J1378" s="11" t="s">
        <v>70</v>
      </c>
      <c r="K1378" s="11" t="s">
        <v>71</v>
      </c>
      <c r="L1378" s="11" t="s">
        <v>72</v>
      </c>
      <c r="M1378" s="11" t="s">
        <v>73</v>
      </c>
      <c r="N1378" s="11" t="s">
        <v>149</v>
      </c>
      <c r="O1378" s="11" t="s">
        <v>150</v>
      </c>
      <c r="P1378" s="11" t="s">
        <v>151</v>
      </c>
      <c r="Q1378" s="13" t="n">
        <f aca="false">F1378*H1378</f>
        <v>53118800</v>
      </c>
      <c r="R1378" s="13" t="n">
        <f aca="false">G1378*H1378</f>
        <v>44800000</v>
      </c>
      <c r="S1378" s="13" t="n">
        <f aca="false">Q1378-R1378</f>
        <v>8318800</v>
      </c>
      <c r="T1378" s="14" t="n">
        <f aca="false">IFERROR(S1378/Q1378,0)</f>
        <v>0.15660745348163</v>
      </c>
      <c r="U1378" s="15" t="str">
        <f aca="false">TEXT(A1378,"yyyy-mm")</f>
        <v>2022-05</v>
      </c>
    </row>
    <row r="1379" customFormat="false" ht="15" hidden="false" customHeight="false" outlineLevel="0" collapsed="false">
      <c r="A1379" s="10" t="n">
        <v>44704</v>
      </c>
      <c r="B1379" s="11" t="s">
        <v>1511</v>
      </c>
      <c r="C1379" s="11" t="s">
        <v>108</v>
      </c>
      <c r="D1379" s="11" t="s">
        <v>67</v>
      </c>
      <c r="E1379" s="11" t="s">
        <v>68</v>
      </c>
      <c r="F1379" s="12" t="n">
        <v>4757880</v>
      </c>
      <c r="G1379" s="12" t="n">
        <v>3450000</v>
      </c>
      <c r="H1379" s="11" t="n">
        <v>13</v>
      </c>
      <c r="I1379" s="11" t="s">
        <v>69</v>
      </c>
      <c r="J1379" s="11" t="s">
        <v>112</v>
      </c>
      <c r="K1379" s="11" t="s">
        <v>113</v>
      </c>
      <c r="L1379" s="11" t="s">
        <v>82</v>
      </c>
      <c r="M1379" s="11" t="s">
        <v>157</v>
      </c>
      <c r="N1379" s="11" t="s">
        <v>109</v>
      </c>
      <c r="O1379" s="11" t="s">
        <v>75</v>
      </c>
      <c r="P1379" s="11" t="s">
        <v>95</v>
      </c>
      <c r="Q1379" s="13" t="n">
        <f aca="false">F1379*H1379</f>
        <v>61852440</v>
      </c>
      <c r="R1379" s="13" t="n">
        <f aca="false">G1379*H1379</f>
        <v>44850000</v>
      </c>
      <c r="S1379" s="13" t="n">
        <f aca="false">Q1379-R1379</f>
        <v>17002440</v>
      </c>
      <c r="T1379" s="14" t="n">
        <f aca="false">IFERROR(S1379/Q1379,0)</f>
        <v>0.274887134606169</v>
      </c>
      <c r="U1379" s="15" t="str">
        <f aca="false">TEXT(A1379,"yyyy-mm")</f>
        <v>2022-05</v>
      </c>
    </row>
    <row r="1380" customFormat="false" ht="15" hidden="false" customHeight="false" outlineLevel="0" collapsed="false">
      <c r="A1380" s="10" t="n">
        <v>44705</v>
      </c>
      <c r="B1380" s="11" t="s">
        <v>1512</v>
      </c>
      <c r="C1380" s="11" t="s">
        <v>111</v>
      </c>
      <c r="D1380" s="11" t="s">
        <v>67</v>
      </c>
      <c r="E1380" s="11" t="s">
        <v>79</v>
      </c>
      <c r="F1380" s="12" t="n">
        <v>3545808</v>
      </c>
      <c r="G1380" s="12" t="n">
        <v>3350000</v>
      </c>
      <c r="H1380" s="11" t="n">
        <v>13</v>
      </c>
      <c r="I1380" s="11" t="s">
        <v>69</v>
      </c>
      <c r="J1380" s="11" t="s">
        <v>80</v>
      </c>
      <c r="K1380" s="11" t="s">
        <v>81</v>
      </c>
      <c r="L1380" s="11" t="s">
        <v>82</v>
      </c>
      <c r="M1380" s="11" t="s">
        <v>73</v>
      </c>
      <c r="N1380" s="11" t="s">
        <v>173</v>
      </c>
      <c r="O1380" s="11" t="s">
        <v>174</v>
      </c>
      <c r="P1380" s="11" t="s">
        <v>95</v>
      </c>
      <c r="Q1380" s="13" t="n">
        <f aca="false">F1380*H1380</f>
        <v>46095504</v>
      </c>
      <c r="R1380" s="13" t="n">
        <f aca="false">G1380*H1380</f>
        <v>43550000</v>
      </c>
      <c r="S1380" s="13" t="n">
        <f aca="false">Q1380-R1380</f>
        <v>2545504</v>
      </c>
      <c r="T1380" s="14" t="n">
        <f aca="false">IFERROR(S1380/Q1380,0)</f>
        <v>0.0552223921881839</v>
      </c>
      <c r="U1380" s="15" t="str">
        <f aca="false">TEXT(A1380,"yyyy-mm")</f>
        <v>2022-05</v>
      </c>
    </row>
    <row r="1381" customFormat="false" ht="15" hidden="false" customHeight="false" outlineLevel="0" collapsed="false">
      <c r="A1381" s="10" t="n">
        <v>44705</v>
      </c>
      <c r="B1381" s="11" t="s">
        <v>1513</v>
      </c>
      <c r="C1381" s="11" t="s">
        <v>115</v>
      </c>
      <c r="D1381" s="11" t="s">
        <v>67</v>
      </c>
      <c r="E1381" s="11" t="s">
        <v>98</v>
      </c>
      <c r="F1381" s="12" t="n">
        <v>4200743</v>
      </c>
      <c r="G1381" s="12" t="n">
        <v>4101000</v>
      </c>
      <c r="H1381" s="11" t="n">
        <v>6</v>
      </c>
      <c r="I1381" s="11" t="s">
        <v>69</v>
      </c>
      <c r="J1381" s="11" t="s">
        <v>80</v>
      </c>
      <c r="K1381" s="11" t="s">
        <v>81</v>
      </c>
      <c r="L1381" s="11" t="s">
        <v>82</v>
      </c>
      <c r="M1381" s="11" t="s">
        <v>73</v>
      </c>
      <c r="N1381" s="11" t="s">
        <v>149</v>
      </c>
      <c r="O1381" s="11" t="s">
        <v>150</v>
      </c>
      <c r="P1381" s="11" t="s">
        <v>151</v>
      </c>
      <c r="Q1381" s="13" t="n">
        <f aca="false">F1381*H1381</f>
        <v>25204458</v>
      </c>
      <c r="R1381" s="13" t="n">
        <f aca="false">G1381*H1381</f>
        <v>24606000</v>
      </c>
      <c r="S1381" s="13" t="n">
        <f aca="false">Q1381-R1381</f>
        <v>598458</v>
      </c>
      <c r="T1381" s="14" t="n">
        <f aca="false">IFERROR(S1381/Q1381,0)</f>
        <v>0.023744132883159</v>
      </c>
      <c r="U1381" s="15" t="str">
        <f aca="false">TEXT(A1381,"yyyy-mm")</f>
        <v>2022-05</v>
      </c>
    </row>
    <row r="1382" customFormat="false" ht="15" hidden="false" customHeight="false" outlineLevel="0" collapsed="false">
      <c r="A1382" s="10" t="n">
        <v>44705</v>
      </c>
      <c r="B1382" s="11" t="s">
        <v>1514</v>
      </c>
      <c r="C1382" s="11" t="s">
        <v>117</v>
      </c>
      <c r="D1382" s="11" t="s">
        <v>118</v>
      </c>
      <c r="E1382" s="11" t="s">
        <v>119</v>
      </c>
      <c r="F1382" s="12" t="n">
        <v>8220549</v>
      </c>
      <c r="G1382" s="12" t="n">
        <v>6500000</v>
      </c>
      <c r="H1382" s="11" t="n">
        <v>11</v>
      </c>
      <c r="I1382" s="11" t="s">
        <v>69</v>
      </c>
      <c r="J1382" s="11" t="s">
        <v>70</v>
      </c>
      <c r="K1382" s="11" t="s">
        <v>71</v>
      </c>
      <c r="L1382" s="11" t="s">
        <v>72</v>
      </c>
      <c r="M1382" s="11" t="s">
        <v>73</v>
      </c>
      <c r="N1382" s="11" t="s">
        <v>173</v>
      </c>
      <c r="O1382" s="11" t="s">
        <v>174</v>
      </c>
      <c r="P1382" s="11" t="s">
        <v>95</v>
      </c>
      <c r="Q1382" s="13" t="n">
        <f aca="false">F1382*H1382</f>
        <v>90426039</v>
      </c>
      <c r="R1382" s="13" t="n">
        <f aca="false">G1382*H1382</f>
        <v>71500000</v>
      </c>
      <c r="S1382" s="13" t="n">
        <f aca="false">Q1382-R1382</f>
        <v>18926039</v>
      </c>
      <c r="T1382" s="14" t="n">
        <f aca="false">IFERROR(S1382/Q1382,0)</f>
        <v>0.209298551714733</v>
      </c>
      <c r="U1382" s="15" t="str">
        <f aca="false">TEXT(A1382,"yyyy-mm")</f>
        <v>2022-05</v>
      </c>
    </row>
    <row r="1383" customFormat="false" ht="15" hidden="false" customHeight="false" outlineLevel="0" collapsed="false">
      <c r="A1383" s="10" t="n">
        <v>44705</v>
      </c>
      <c r="B1383" s="11" t="s">
        <v>1515</v>
      </c>
      <c r="C1383" s="11" t="s">
        <v>121</v>
      </c>
      <c r="D1383" s="11" t="s">
        <v>118</v>
      </c>
      <c r="E1383" s="11" t="s">
        <v>122</v>
      </c>
      <c r="F1383" s="12" t="n">
        <v>7687274</v>
      </c>
      <c r="G1383" s="12" t="n">
        <v>6500000</v>
      </c>
      <c r="H1383" s="11" t="n">
        <v>20</v>
      </c>
      <c r="I1383" s="11" t="s">
        <v>86</v>
      </c>
      <c r="J1383" s="11" t="s">
        <v>87</v>
      </c>
      <c r="K1383" s="11" t="s">
        <v>88</v>
      </c>
      <c r="L1383" s="11" t="s">
        <v>89</v>
      </c>
      <c r="M1383" s="11" t="s">
        <v>90</v>
      </c>
      <c r="N1383" s="11" t="s">
        <v>74</v>
      </c>
      <c r="O1383" s="11" t="s">
        <v>75</v>
      </c>
      <c r="P1383" s="11" t="s">
        <v>76</v>
      </c>
      <c r="Q1383" s="13" t="n">
        <f aca="false">F1383*H1383</f>
        <v>153745480</v>
      </c>
      <c r="R1383" s="13" t="n">
        <f aca="false">G1383*H1383</f>
        <v>130000000</v>
      </c>
      <c r="S1383" s="13" t="n">
        <f aca="false">Q1383-R1383</f>
        <v>23745480</v>
      </c>
      <c r="T1383" s="14" t="n">
        <f aca="false">IFERROR(S1383/Q1383,0)</f>
        <v>0.154446686822923</v>
      </c>
      <c r="U1383" s="15" t="str">
        <f aca="false">TEXT(A1383,"yyyy-mm")</f>
        <v>2022-05</v>
      </c>
    </row>
    <row r="1384" customFormat="false" ht="15" hidden="false" customHeight="false" outlineLevel="0" collapsed="false">
      <c r="A1384" s="10" t="n">
        <v>44705</v>
      </c>
      <c r="B1384" s="11" t="s">
        <v>1516</v>
      </c>
      <c r="C1384" s="11" t="s">
        <v>125</v>
      </c>
      <c r="D1384" s="11" t="s">
        <v>118</v>
      </c>
      <c r="E1384" s="11" t="s">
        <v>126</v>
      </c>
      <c r="F1384" s="12" t="n">
        <v>5684211</v>
      </c>
      <c r="G1384" s="12" t="n">
        <v>4300000</v>
      </c>
      <c r="H1384" s="11" t="n">
        <v>12</v>
      </c>
      <c r="I1384" s="11" t="s">
        <v>69</v>
      </c>
      <c r="J1384" s="11" t="s">
        <v>112</v>
      </c>
      <c r="K1384" s="11" t="s">
        <v>113</v>
      </c>
      <c r="L1384" s="11" t="s">
        <v>82</v>
      </c>
      <c r="M1384" s="11" t="s">
        <v>157</v>
      </c>
      <c r="N1384" s="11" t="s">
        <v>74</v>
      </c>
      <c r="O1384" s="11" t="s">
        <v>75</v>
      </c>
      <c r="P1384" s="11" t="s">
        <v>76</v>
      </c>
      <c r="Q1384" s="13" t="n">
        <f aca="false">F1384*H1384</f>
        <v>68210532</v>
      </c>
      <c r="R1384" s="13" t="n">
        <f aca="false">G1384*H1384</f>
        <v>51600000</v>
      </c>
      <c r="S1384" s="13" t="n">
        <f aca="false">Q1384-R1384</f>
        <v>16610532</v>
      </c>
      <c r="T1384" s="14" t="n">
        <f aca="false">IFERROR(S1384/Q1384,0)</f>
        <v>0.243518581558637</v>
      </c>
      <c r="U1384" s="15" t="str">
        <f aca="false">TEXT(A1384,"yyyy-mm")</f>
        <v>2022-05</v>
      </c>
    </row>
    <row r="1385" customFormat="false" ht="15" hidden="false" customHeight="false" outlineLevel="0" collapsed="false">
      <c r="A1385" s="10" t="n">
        <v>44706</v>
      </c>
      <c r="B1385" s="11" t="s">
        <v>1517</v>
      </c>
      <c r="C1385" s="11" t="s">
        <v>128</v>
      </c>
      <c r="D1385" s="11" t="s">
        <v>118</v>
      </c>
      <c r="E1385" s="11" t="s">
        <v>119</v>
      </c>
      <c r="F1385" s="12" t="n">
        <v>3370302</v>
      </c>
      <c r="G1385" s="12" t="n">
        <v>2100000</v>
      </c>
      <c r="H1385" s="11" t="n">
        <v>26</v>
      </c>
      <c r="I1385" s="11" t="s">
        <v>69</v>
      </c>
      <c r="J1385" s="11" t="s">
        <v>80</v>
      </c>
      <c r="K1385" s="11" t="s">
        <v>81</v>
      </c>
      <c r="L1385" s="11" t="s">
        <v>82</v>
      </c>
      <c r="M1385" s="11" t="s">
        <v>73</v>
      </c>
      <c r="N1385" s="11" t="s">
        <v>149</v>
      </c>
      <c r="O1385" s="11" t="s">
        <v>150</v>
      </c>
      <c r="P1385" s="11" t="s">
        <v>151</v>
      </c>
      <c r="Q1385" s="13" t="n">
        <f aca="false">F1385*H1385</f>
        <v>87627852</v>
      </c>
      <c r="R1385" s="13" t="n">
        <f aca="false">G1385*H1385</f>
        <v>54600000</v>
      </c>
      <c r="S1385" s="13" t="n">
        <f aca="false">Q1385-R1385</f>
        <v>33027852</v>
      </c>
      <c r="T1385" s="14" t="n">
        <f aca="false">IFERROR(S1385/Q1385,0)</f>
        <v>0.37691043710623</v>
      </c>
      <c r="U1385" s="15" t="str">
        <f aca="false">TEXT(A1385,"yyyy-mm")</f>
        <v>2022-05</v>
      </c>
    </row>
    <row r="1386" customFormat="false" ht="15" hidden="false" customHeight="false" outlineLevel="0" collapsed="false">
      <c r="A1386" s="10" t="n">
        <v>44706</v>
      </c>
      <c r="B1386" s="11" t="s">
        <v>1518</v>
      </c>
      <c r="C1386" s="11" t="s">
        <v>130</v>
      </c>
      <c r="D1386" s="11" t="s">
        <v>118</v>
      </c>
      <c r="E1386" s="11" t="s">
        <v>68</v>
      </c>
      <c r="F1386" s="12" t="n">
        <v>2852897</v>
      </c>
      <c r="G1386" s="12" t="n">
        <v>2450000</v>
      </c>
      <c r="H1386" s="11" t="n">
        <v>1</v>
      </c>
      <c r="I1386" s="11" t="s">
        <v>86</v>
      </c>
      <c r="J1386" s="11" t="s">
        <v>87</v>
      </c>
      <c r="K1386" s="11" t="s">
        <v>88</v>
      </c>
      <c r="L1386" s="11" t="s">
        <v>89</v>
      </c>
      <c r="M1386" s="11" t="s">
        <v>90</v>
      </c>
      <c r="N1386" s="11" t="s">
        <v>173</v>
      </c>
      <c r="O1386" s="11" t="s">
        <v>174</v>
      </c>
      <c r="P1386" s="11" t="s">
        <v>95</v>
      </c>
      <c r="Q1386" s="13" t="n">
        <f aca="false">F1386*H1386</f>
        <v>2852897</v>
      </c>
      <c r="R1386" s="13" t="n">
        <f aca="false">G1386*H1386</f>
        <v>2450000</v>
      </c>
      <c r="S1386" s="13" t="n">
        <f aca="false">Q1386-R1386</f>
        <v>402897</v>
      </c>
      <c r="T1386" s="14" t="n">
        <f aca="false">IFERROR(S1386/Q1386,0)</f>
        <v>0.141223815651249</v>
      </c>
      <c r="U1386" s="15" t="str">
        <f aca="false">TEXT(A1386,"yyyy-mm")</f>
        <v>2022-05</v>
      </c>
    </row>
    <row r="1387" customFormat="false" ht="15" hidden="false" customHeight="false" outlineLevel="0" collapsed="false">
      <c r="A1387" s="10" t="n">
        <v>44706</v>
      </c>
      <c r="B1387" s="11" t="s">
        <v>1519</v>
      </c>
      <c r="C1387" s="11" t="s">
        <v>132</v>
      </c>
      <c r="D1387" s="11" t="s">
        <v>118</v>
      </c>
      <c r="E1387" s="11" t="s">
        <v>68</v>
      </c>
      <c r="F1387" s="12" t="n">
        <v>4803603</v>
      </c>
      <c r="G1387" s="12" t="n">
        <v>4121000</v>
      </c>
      <c r="H1387" s="11" t="n">
        <v>24</v>
      </c>
      <c r="I1387" s="11" t="s">
        <v>69</v>
      </c>
      <c r="J1387" s="11" t="s">
        <v>80</v>
      </c>
      <c r="K1387" s="11" t="s">
        <v>81</v>
      </c>
      <c r="L1387" s="11" t="s">
        <v>82</v>
      </c>
      <c r="M1387" s="11" t="s">
        <v>73</v>
      </c>
      <c r="N1387" s="11" t="s">
        <v>143</v>
      </c>
      <c r="O1387" s="11" t="s">
        <v>144</v>
      </c>
      <c r="P1387" s="11" t="s">
        <v>101</v>
      </c>
      <c r="Q1387" s="13" t="n">
        <f aca="false">F1387*H1387</f>
        <v>115286472</v>
      </c>
      <c r="R1387" s="13" t="n">
        <f aca="false">G1387*H1387</f>
        <v>98904000</v>
      </c>
      <c r="S1387" s="13" t="n">
        <f aca="false">Q1387-R1387</f>
        <v>16382472</v>
      </c>
      <c r="T1387" s="14" t="n">
        <f aca="false">IFERROR(S1387/Q1387,0)</f>
        <v>0.142102292799801</v>
      </c>
      <c r="U1387" s="15" t="str">
        <f aca="false">TEXT(A1387,"yyyy-mm")</f>
        <v>2022-05</v>
      </c>
    </row>
    <row r="1388" customFormat="false" ht="15" hidden="false" customHeight="false" outlineLevel="0" collapsed="false">
      <c r="A1388" s="10" t="n">
        <v>44706</v>
      </c>
      <c r="B1388" s="11" t="s">
        <v>1520</v>
      </c>
      <c r="C1388" s="11" t="s">
        <v>135</v>
      </c>
      <c r="D1388" s="11" t="s">
        <v>118</v>
      </c>
      <c r="E1388" s="11" t="s">
        <v>68</v>
      </c>
      <c r="F1388" s="12" t="n">
        <v>5689947</v>
      </c>
      <c r="G1388" s="12" t="n">
        <v>5235000</v>
      </c>
      <c r="H1388" s="11" t="n">
        <v>8</v>
      </c>
      <c r="I1388" s="11" t="s">
        <v>69</v>
      </c>
      <c r="J1388" s="11" t="s">
        <v>112</v>
      </c>
      <c r="K1388" s="11" t="s">
        <v>113</v>
      </c>
      <c r="L1388" s="11" t="s">
        <v>82</v>
      </c>
      <c r="M1388" s="11" t="s">
        <v>157</v>
      </c>
      <c r="N1388" s="11" t="s">
        <v>109</v>
      </c>
      <c r="O1388" s="11" t="s">
        <v>75</v>
      </c>
      <c r="P1388" s="11" t="s">
        <v>95</v>
      </c>
      <c r="Q1388" s="13" t="n">
        <f aca="false">F1388*H1388</f>
        <v>45519576</v>
      </c>
      <c r="R1388" s="13" t="n">
        <f aca="false">G1388*H1388</f>
        <v>41880000</v>
      </c>
      <c r="S1388" s="13" t="n">
        <f aca="false">Q1388-R1388</f>
        <v>3639576</v>
      </c>
      <c r="T1388" s="14" t="n">
        <f aca="false">IFERROR(S1388/Q1388,0)</f>
        <v>0.0799562807878527</v>
      </c>
      <c r="U1388" s="15" t="str">
        <f aca="false">TEXT(A1388,"yyyy-mm")</f>
        <v>2022-05</v>
      </c>
    </row>
    <row r="1389" customFormat="false" ht="15" hidden="false" customHeight="false" outlineLevel="0" collapsed="false">
      <c r="A1389" s="10" t="n">
        <v>44706</v>
      </c>
      <c r="B1389" s="11" t="s">
        <v>1521</v>
      </c>
      <c r="C1389" s="11" t="s">
        <v>137</v>
      </c>
      <c r="D1389" s="11" t="s">
        <v>138</v>
      </c>
      <c r="E1389" s="11" t="s">
        <v>139</v>
      </c>
      <c r="F1389" s="12" t="n">
        <v>5171827</v>
      </c>
      <c r="G1389" s="12" t="n">
        <v>4890000</v>
      </c>
      <c r="H1389" s="11" t="n">
        <v>4</v>
      </c>
      <c r="I1389" s="11" t="s">
        <v>69</v>
      </c>
      <c r="J1389" s="11" t="s">
        <v>70</v>
      </c>
      <c r="K1389" s="11" t="s">
        <v>71</v>
      </c>
      <c r="L1389" s="11" t="s">
        <v>72</v>
      </c>
      <c r="M1389" s="11" t="s">
        <v>73</v>
      </c>
      <c r="N1389" s="11" t="s">
        <v>74</v>
      </c>
      <c r="O1389" s="11" t="s">
        <v>75</v>
      </c>
      <c r="P1389" s="11" t="s">
        <v>76</v>
      </c>
      <c r="Q1389" s="13" t="n">
        <f aca="false">F1389*H1389</f>
        <v>20687308</v>
      </c>
      <c r="R1389" s="13" t="n">
        <f aca="false">G1389*H1389</f>
        <v>19560000</v>
      </c>
      <c r="S1389" s="13" t="n">
        <f aca="false">Q1389-R1389</f>
        <v>1127308</v>
      </c>
      <c r="T1389" s="14" t="n">
        <f aca="false">IFERROR(S1389/Q1389,0)</f>
        <v>0.0544927353525166</v>
      </c>
      <c r="U1389" s="15" t="str">
        <f aca="false">TEXT(A1389,"yyyy-mm")</f>
        <v>2022-05</v>
      </c>
    </row>
    <row r="1390" customFormat="false" ht="15" hidden="false" customHeight="false" outlineLevel="0" collapsed="false">
      <c r="A1390" s="10" t="n">
        <v>44706</v>
      </c>
      <c r="B1390" s="11" t="s">
        <v>1522</v>
      </c>
      <c r="C1390" s="11" t="s">
        <v>141</v>
      </c>
      <c r="D1390" s="11" t="s">
        <v>138</v>
      </c>
      <c r="E1390" s="11" t="s">
        <v>142</v>
      </c>
      <c r="F1390" s="12" t="n">
        <v>2805124</v>
      </c>
      <c r="G1390" s="12" t="n">
        <v>2178000</v>
      </c>
      <c r="H1390" s="11" t="n">
        <v>11</v>
      </c>
      <c r="I1390" s="11" t="s">
        <v>69</v>
      </c>
      <c r="J1390" s="11" t="s">
        <v>70</v>
      </c>
      <c r="K1390" s="11" t="s">
        <v>71</v>
      </c>
      <c r="L1390" s="11" t="s">
        <v>72</v>
      </c>
      <c r="M1390" s="11" t="s">
        <v>73</v>
      </c>
      <c r="N1390" s="11" t="s">
        <v>93</v>
      </c>
      <c r="O1390" s="11" t="s">
        <v>94</v>
      </c>
      <c r="P1390" s="11" t="s">
        <v>95</v>
      </c>
      <c r="Q1390" s="13" t="n">
        <f aca="false">F1390*H1390</f>
        <v>30856364</v>
      </c>
      <c r="R1390" s="13" t="n">
        <f aca="false">G1390*H1390</f>
        <v>23958000</v>
      </c>
      <c r="S1390" s="13" t="n">
        <f aca="false">Q1390-R1390</f>
        <v>6898364</v>
      </c>
      <c r="T1390" s="14" t="n">
        <f aca="false">IFERROR(S1390/Q1390,0)</f>
        <v>0.22356373550688</v>
      </c>
      <c r="U1390" s="15" t="str">
        <f aca="false">TEXT(A1390,"yyyy-mm")</f>
        <v>2022-05</v>
      </c>
    </row>
    <row r="1391" customFormat="false" ht="15" hidden="false" customHeight="false" outlineLevel="0" collapsed="false">
      <c r="A1391" s="10" t="n">
        <v>44706</v>
      </c>
      <c r="B1391" s="11" t="s">
        <v>1523</v>
      </c>
      <c r="C1391" s="11" t="s">
        <v>146</v>
      </c>
      <c r="D1391" s="11" t="s">
        <v>138</v>
      </c>
      <c r="E1391" s="11" t="s">
        <v>139</v>
      </c>
      <c r="F1391" s="12" t="n">
        <v>2728100</v>
      </c>
      <c r="G1391" s="12" t="n">
        <v>2321000</v>
      </c>
      <c r="H1391" s="11" t="n">
        <v>21</v>
      </c>
      <c r="I1391" s="11" t="s">
        <v>86</v>
      </c>
      <c r="J1391" s="11" t="s">
        <v>87</v>
      </c>
      <c r="K1391" s="11" t="s">
        <v>88</v>
      </c>
      <c r="L1391" s="11" t="s">
        <v>89</v>
      </c>
      <c r="M1391" s="11" t="s">
        <v>90</v>
      </c>
      <c r="N1391" s="11" t="s">
        <v>99</v>
      </c>
      <c r="O1391" s="11" t="s">
        <v>100</v>
      </c>
      <c r="P1391" s="11" t="s">
        <v>101</v>
      </c>
      <c r="Q1391" s="13" t="n">
        <f aca="false">F1391*H1391</f>
        <v>57290100</v>
      </c>
      <c r="R1391" s="13" t="n">
        <f aca="false">G1391*H1391</f>
        <v>48741000</v>
      </c>
      <c r="S1391" s="13" t="n">
        <f aca="false">Q1391-R1391</f>
        <v>8549100</v>
      </c>
      <c r="T1391" s="14" t="n">
        <f aca="false">IFERROR(S1391/Q1391,0)</f>
        <v>0.149224735163667</v>
      </c>
      <c r="U1391" s="15" t="str">
        <f aca="false">TEXT(A1391,"yyyy-mm")</f>
        <v>2022-05</v>
      </c>
    </row>
    <row r="1392" customFormat="false" ht="15" hidden="false" customHeight="false" outlineLevel="0" collapsed="false">
      <c r="A1392" s="10" t="n">
        <v>44706</v>
      </c>
      <c r="B1392" s="11" t="s">
        <v>1524</v>
      </c>
      <c r="C1392" s="11" t="s">
        <v>148</v>
      </c>
      <c r="D1392" s="11" t="s">
        <v>138</v>
      </c>
      <c r="E1392" s="11" t="s">
        <v>122</v>
      </c>
      <c r="F1392" s="12" t="n">
        <v>4941716</v>
      </c>
      <c r="G1392" s="12" t="n">
        <v>4456000</v>
      </c>
      <c r="H1392" s="11" t="n">
        <v>16</v>
      </c>
      <c r="I1392" s="11" t="s">
        <v>69</v>
      </c>
      <c r="J1392" s="11" t="s">
        <v>70</v>
      </c>
      <c r="K1392" s="11" t="s">
        <v>71</v>
      </c>
      <c r="L1392" s="11" t="s">
        <v>72</v>
      </c>
      <c r="M1392" s="11" t="s">
        <v>73</v>
      </c>
      <c r="N1392" s="11" t="s">
        <v>123</v>
      </c>
      <c r="O1392" s="11" t="s">
        <v>60</v>
      </c>
      <c r="P1392" s="11" t="s">
        <v>106</v>
      </c>
      <c r="Q1392" s="13" t="n">
        <f aca="false">F1392*H1392</f>
        <v>79067456</v>
      </c>
      <c r="R1392" s="13" t="n">
        <f aca="false">G1392*H1392</f>
        <v>71296000</v>
      </c>
      <c r="S1392" s="13" t="n">
        <f aca="false">Q1392-R1392</f>
        <v>7771456</v>
      </c>
      <c r="T1392" s="14" t="n">
        <f aca="false">IFERROR(S1392/Q1392,0)</f>
        <v>0.0982889344511097</v>
      </c>
      <c r="U1392" s="15" t="str">
        <f aca="false">TEXT(A1392,"yyyy-mm")</f>
        <v>2022-05</v>
      </c>
    </row>
    <row r="1393" customFormat="false" ht="15" hidden="false" customHeight="false" outlineLevel="0" collapsed="false">
      <c r="A1393" s="10" t="n">
        <v>44707</v>
      </c>
      <c r="B1393" s="11" t="s">
        <v>1525</v>
      </c>
      <c r="C1393" s="11" t="s">
        <v>66</v>
      </c>
      <c r="D1393" s="11" t="s">
        <v>67</v>
      </c>
      <c r="E1393" s="11" t="s">
        <v>68</v>
      </c>
      <c r="F1393" s="12" t="n">
        <v>3048952</v>
      </c>
      <c r="G1393" s="12" t="n">
        <v>2560000</v>
      </c>
      <c r="H1393" s="11" t="n">
        <v>15</v>
      </c>
      <c r="I1393" s="11" t="s">
        <v>69</v>
      </c>
      <c r="J1393" s="11" t="s">
        <v>80</v>
      </c>
      <c r="K1393" s="11" t="s">
        <v>81</v>
      </c>
      <c r="L1393" s="11" t="s">
        <v>82</v>
      </c>
      <c r="M1393" s="11" t="s">
        <v>73</v>
      </c>
      <c r="N1393" s="11" t="s">
        <v>143</v>
      </c>
      <c r="O1393" s="11" t="s">
        <v>144</v>
      </c>
      <c r="P1393" s="11" t="s">
        <v>101</v>
      </c>
      <c r="Q1393" s="13" t="n">
        <f aca="false">F1393*H1393</f>
        <v>45734280</v>
      </c>
      <c r="R1393" s="13" t="n">
        <f aca="false">G1393*H1393</f>
        <v>38400000</v>
      </c>
      <c r="S1393" s="13" t="n">
        <f aca="false">Q1393-R1393</f>
        <v>7334280</v>
      </c>
      <c r="T1393" s="14" t="n">
        <f aca="false">IFERROR(S1393/Q1393,0)</f>
        <v>0.160367234380863</v>
      </c>
      <c r="U1393" s="15" t="str">
        <f aca="false">TEXT(A1393,"yyyy-mm")</f>
        <v>2022-05</v>
      </c>
    </row>
    <row r="1394" customFormat="false" ht="15" hidden="false" customHeight="false" outlineLevel="0" collapsed="false">
      <c r="A1394" s="10" t="n">
        <v>44707</v>
      </c>
      <c r="B1394" s="11" t="s">
        <v>1526</v>
      </c>
      <c r="C1394" s="11" t="s">
        <v>78</v>
      </c>
      <c r="D1394" s="11" t="s">
        <v>67</v>
      </c>
      <c r="E1394" s="11" t="s">
        <v>79</v>
      </c>
      <c r="F1394" s="12" t="n">
        <v>1870000</v>
      </c>
      <c r="G1394" s="12" t="n">
        <v>1650000</v>
      </c>
      <c r="H1394" s="11" t="n">
        <v>5</v>
      </c>
      <c r="I1394" s="11" t="s">
        <v>86</v>
      </c>
      <c r="J1394" s="11" t="s">
        <v>87</v>
      </c>
      <c r="K1394" s="11" t="s">
        <v>88</v>
      </c>
      <c r="L1394" s="11" t="s">
        <v>89</v>
      </c>
      <c r="M1394" s="11" t="s">
        <v>90</v>
      </c>
      <c r="N1394" s="11" t="s">
        <v>133</v>
      </c>
      <c r="O1394" s="11" t="s">
        <v>60</v>
      </c>
      <c r="P1394" s="11" t="s">
        <v>76</v>
      </c>
      <c r="Q1394" s="13" t="n">
        <f aca="false">F1394*H1394</f>
        <v>9350000</v>
      </c>
      <c r="R1394" s="13" t="n">
        <f aca="false">G1394*H1394</f>
        <v>8250000</v>
      </c>
      <c r="S1394" s="13" t="n">
        <f aca="false">Q1394-R1394</f>
        <v>1100000</v>
      </c>
      <c r="T1394" s="14" t="n">
        <f aca="false">IFERROR(S1394/Q1394,0)</f>
        <v>0.117647058823529</v>
      </c>
      <c r="U1394" s="15" t="str">
        <f aca="false">TEXT(A1394,"yyyy-mm")</f>
        <v>2022-05</v>
      </c>
    </row>
    <row r="1395" customFormat="false" ht="15" hidden="false" customHeight="false" outlineLevel="0" collapsed="false">
      <c r="A1395" s="10" t="n">
        <v>44707</v>
      </c>
      <c r="B1395" s="11" t="s">
        <v>1527</v>
      </c>
      <c r="C1395" s="11" t="s">
        <v>84</v>
      </c>
      <c r="D1395" s="11" t="s">
        <v>67</v>
      </c>
      <c r="E1395" s="11" t="s">
        <v>85</v>
      </c>
      <c r="F1395" s="12" t="n">
        <v>2600000</v>
      </c>
      <c r="G1395" s="12" t="n">
        <v>2300000</v>
      </c>
      <c r="H1395" s="11" t="n">
        <v>10</v>
      </c>
      <c r="I1395" s="11" t="s">
        <v>69</v>
      </c>
      <c r="J1395" s="11" t="s">
        <v>80</v>
      </c>
      <c r="K1395" s="11" t="s">
        <v>81</v>
      </c>
      <c r="L1395" s="11" t="s">
        <v>82</v>
      </c>
      <c r="M1395" s="11" t="s">
        <v>73</v>
      </c>
      <c r="N1395" s="11" t="s">
        <v>109</v>
      </c>
      <c r="O1395" s="11" t="s">
        <v>75</v>
      </c>
      <c r="P1395" s="11" t="s">
        <v>95</v>
      </c>
      <c r="Q1395" s="13" t="n">
        <f aca="false">F1395*H1395</f>
        <v>26000000</v>
      </c>
      <c r="R1395" s="13" t="n">
        <f aca="false">G1395*H1395</f>
        <v>23000000</v>
      </c>
      <c r="S1395" s="13" t="n">
        <f aca="false">Q1395-R1395</f>
        <v>3000000</v>
      </c>
      <c r="T1395" s="14" t="n">
        <f aca="false">IFERROR(S1395/Q1395,0)</f>
        <v>0.115384615384615</v>
      </c>
      <c r="U1395" s="15" t="str">
        <f aca="false">TEXT(A1395,"yyyy-mm")</f>
        <v>2022-05</v>
      </c>
    </row>
    <row r="1396" customFormat="false" ht="15" hidden="false" customHeight="false" outlineLevel="0" collapsed="false">
      <c r="A1396" s="10" t="n">
        <v>44707</v>
      </c>
      <c r="B1396" s="11" t="s">
        <v>1528</v>
      </c>
      <c r="C1396" s="11" t="s">
        <v>92</v>
      </c>
      <c r="D1396" s="11" t="s">
        <v>67</v>
      </c>
      <c r="E1396" s="11" t="s">
        <v>79</v>
      </c>
      <c r="F1396" s="12" t="n">
        <v>3577480</v>
      </c>
      <c r="G1396" s="12" t="n">
        <v>3100000</v>
      </c>
      <c r="H1396" s="11" t="n">
        <v>28</v>
      </c>
      <c r="I1396" s="11" t="s">
        <v>69</v>
      </c>
      <c r="J1396" s="11" t="s">
        <v>112</v>
      </c>
      <c r="K1396" s="11" t="s">
        <v>113</v>
      </c>
      <c r="L1396" s="11" t="s">
        <v>82</v>
      </c>
      <c r="M1396" s="11" t="s">
        <v>157</v>
      </c>
      <c r="N1396" s="11" t="s">
        <v>173</v>
      </c>
      <c r="O1396" s="11" t="s">
        <v>174</v>
      </c>
      <c r="P1396" s="11" t="s">
        <v>95</v>
      </c>
      <c r="Q1396" s="13" t="n">
        <f aca="false">F1396*H1396</f>
        <v>100169440</v>
      </c>
      <c r="R1396" s="13" t="n">
        <f aca="false">G1396*H1396</f>
        <v>86800000</v>
      </c>
      <c r="S1396" s="13" t="n">
        <f aca="false">Q1396-R1396</f>
        <v>13369440</v>
      </c>
      <c r="T1396" s="14" t="n">
        <f aca="false">IFERROR(S1396/Q1396,0)</f>
        <v>0.133468251394837</v>
      </c>
      <c r="U1396" s="15" t="str">
        <f aca="false">TEXT(A1396,"yyyy-mm")</f>
        <v>2022-05</v>
      </c>
    </row>
    <row r="1397" customFormat="false" ht="15" hidden="false" customHeight="false" outlineLevel="0" collapsed="false">
      <c r="A1397" s="10" t="n">
        <v>44708</v>
      </c>
      <c r="B1397" s="11" t="s">
        <v>1529</v>
      </c>
      <c r="C1397" s="11" t="s">
        <v>97</v>
      </c>
      <c r="D1397" s="11" t="s">
        <v>67</v>
      </c>
      <c r="E1397" s="11" t="s">
        <v>98</v>
      </c>
      <c r="F1397" s="12" t="n">
        <v>4969724</v>
      </c>
      <c r="G1397" s="12" t="n">
        <v>4121560</v>
      </c>
      <c r="H1397" s="11" t="n">
        <v>20</v>
      </c>
      <c r="I1397" s="11" t="s">
        <v>69</v>
      </c>
      <c r="J1397" s="11" t="s">
        <v>80</v>
      </c>
      <c r="K1397" s="11" t="s">
        <v>81</v>
      </c>
      <c r="L1397" s="11" t="s">
        <v>82</v>
      </c>
      <c r="M1397" s="11" t="s">
        <v>73</v>
      </c>
      <c r="N1397" s="11" t="s">
        <v>143</v>
      </c>
      <c r="O1397" s="11" t="s">
        <v>144</v>
      </c>
      <c r="P1397" s="11" t="s">
        <v>101</v>
      </c>
      <c r="Q1397" s="13" t="n">
        <f aca="false">F1397*H1397</f>
        <v>99394480</v>
      </c>
      <c r="R1397" s="13" t="n">
        <f aca="false">G1397*H1397</f>
        <v>82431200</v>
      </c>
      <c r="S1397" s="13" t="n">
        <f aca="false">Q1397-R1397</f>
        <v>16963280</v>
      </c>
      <c r="T1397" s="14" t="n">
        <f aca="false">IFERROR(S1397/Q1397,0)</f>
        <v>0.170666218083741</v>
      </c>
      <c r="U1397" s="15" t="str">
        <f aca="false">TEXT(A1397,"yyyy-mm")</f>
        <v>2022-05</v>
      </c>
    </row>
    <row r="1398" customFormat="false" ht="15" hidden="false" customHeight="false" outlineLevel="0" collapsed="false">
      <c r="A1398" s="10" t="n">
        <v>44709</v>
      </c>
      <c r="B1398" s="11" t="s">
        <v>1530</v>
      </c>
      <c r="C1398" s="11" t="s">
        <v>103</v>
      </c>
      <c r="D1398" s="11" t="s">
        <v>67</v>
      </c>
      <c r="E1398" s="11" t="s">
        <v>68</v>
      </c>
      <c r="F1398" s="12" t="n">
        <v>3319925</v>
      </c>
      <c r="G1398" s="12" t="n">
        <v>2800000</v>
      </c>
      <c r="H1398" s="11" t="n">
        <v>2</v>
      </c>
      <c r="I1398" s="11" t="s">
        <v>86</v>
      </c>
      <c r="J1398" s="11" t="s">
        <v>87</v>
      </c>
      <c r="K1398" s="11" t="s">
        <v>88</v>
      </c>
      <c r="L1398" s="11" t="s">
        <v>89</v>
      </c>
      <c r="M1398" s="11" t="s">
        <v>90</v>
      </c>
      <c r="N1398" s="11" t="s">
        <v>133</v>
      </c>
      <c r="O1398" s="11" t="s">
        <v>60</v>
      </c>
      <c r="P1398" s="11" t="s">
        <v>76</v>
      </c>
      <c r="Q1398" s="13" t="n">
        <f aca="false">F1398*H1398</f>
        <v>6639850</v>
      </c>
      <c r="R1398" s="13" t="n">
        <f aca="false">G1398*H1398</f>
        <v>5600000</v>
      </c>
      <c r="S1398" s="13" t="n">
        <f aca="false">Q1398-R1398</f>
        <v>1039850</v>
      </c>
      <c r="T1398" s="14" t="n">
        <f aca="false">IFERROR(S1398/Q1398,0)</f>
        <v>0.15660745348163</v>
      </c>
      <c r="U1398" s="15" t="str">
        <f aca="false">TEXT(A1398,"yyyy-mm")</f>
        <v>2022-05</v>
      </c>
    </row>
    <row r="1399" customFormat="false" ht="15" hidden="false" customHeight="false" outlineLevel="0" collapsed="false">
      <c r="A1399" s="10" t="n">
        <v>44709</v>
      </c>
      <c r="B1399" s="11" t="s">
        <v>1531</v>
      </c>
      <c r="C1399" s="11" t="s">
        <v>108</v>
      </c>
      <c r="D1399" s="11" t="s">
        <v>67</v>
      </c>
      <c r="E1399" s="11" t="s">
        <v>68</v>
      </c>
      <c r="F1399" s="12" t="n">
        <v>4757880</v>
      </c>
      <c r="G1399" s="12" t="n">
        <v>3450000</v>
      </c>
      <c r="H1399" s="11" t="n">
        <v>3</v>
      </c>
      <c r="I1399" s="11" t="s">
        <v>69</v>
      </c>
      <c r="J1399" s="11" t="s">
        <v>70</v>
      </c>
      <c r="K1399" s="11" t="s">
        <v>71</v>
      </c>
      <c r="L1399" s="11" t="s">
        <v>72</v>
      </c>
      <c r="M1399" s="11" t="s">
        <v>73</v>
      </c>
      <c r="N1399" s="11" t="s">
        <v>143</v>
      </c>
      <c r="O1399" s="11" t="s">
        <v>144</v>
      </c>
      <c r="P1399" s="11" t="s">
        <v>101</v>
      </c>
      <c r="Q1399" s="13" t="n">
        <f aca="false">F1399*H1399</f>
        <v>14273640</v>
      </c>
      <c r="R1399" s="13" t="n">
        <f aca="false">G1399*H1399</f>
        <v>10350000</v>
      </c>
      <c r="S1399" s="13" t="n">
        <f aca="false">Q1399-R1399</f>
        <v>3923640</v>
      </c>
      <c r="T1399" s="14" t="n">
        <f aca="false">IFERROR(S1399/Q1399,0)</f>
        <v>0.274887134606169</v>
      </c>
      <c r="U1399" s="15" t="str">
        <f aca="false">TEXT(A1399,"yyyy-mm")</f>
        <v>2022-05</v>
      </c>
    </row>
    <row r="1400" customFormat="false" ht="15" hidden="false" customHeight="false" outlineLevel="0" collapsed="false">
      <c r="A1400" s="10" t="n">
        <v>44709</v>
      </c>
      <c r="B1400" s="11" t="s">
        <v>1532</v>
      </c>
      <c r="C1400" s="11" t="s">
        <v>111</v>
      </c>
      <c r="D1400" s="11" t="s">
        <v>67</v>
      </c>
      <c r="E1400" s="11" t="s">
        <v>79</v>
      </c>
      <c r="F1400" s="12" t="n">
        <v>3545808</v>
      </c>
      <c r="G1400" s="12" t="n">
        <v>3350000</v>
      </c>
      <c r="H1400" s="11" t="n">
        <v>14</v>
      </c>
      <c r="I1400" s="11" t="s">
        <v>86</v>
      </c>
      <c r="J1400" s="11" t="s">
        <v>87</v>
      </c>
      <c r="K1400" s="11" t="s">
        <v>88</v>
      </c>
      <c r="L1400" s="11" t="s">
        <v>89</v>
      </c>
      <c r="M1400" s="11" t="s">
        <v>90</v>
      </c>
      <c r="N1400" s="11" t="s">
        <v>123</v>
      </c>
      <c r="O1400" s="11" t="s">
        <v>60</v>
      </c>
      <c r="P1400" s="11" t="s">
        <v>106</v>
      </c>
      <c r="Q1400" s="13" t="n">
        <f aca="false">F1400*H1400</f>
        <v>49641312</v>
      </c>
      <c r="R1400" s="13" t="n">
        <f aca="false">G1400*H1400</f>
        <v>46900000</v>
      </c>
      <c r="S1400" s="13" t="n">
        <f aca="false">Q1400-R1400</f>
        <v>2741312</v>
      </c>
      <c r="T1400" s="14" t="n">
        <f aca="false">IFERROR(S1400/Q1400,0)</f>
        <v>0.0552223921881839</v>
      </c>
      <c r="U1400" s="15" t="str">
        <f aca="false">TEXT(A1400,"yyyy-mm")</f>
        <v>2022-05</v>
      </c>
    </row>
    <row r="1401" customFormat="false" ht="15" hidden="false" customHeight="false" outlineLevel="0" collapsed="false">
      <c r="A1401" s="10" t="n">
        <v>44709</v>
      </c>
      <c r="B1401" s="11" t="s">
        <v>1533</v>
      </c>
      <c r="C1401" s="11" t="s">
        <v>115</v>
      </c>
      <c r="D1401" s="11" t="s">
        <v>67</v>
      </c>
      <c r="E1401" s="11" t="s">
        <v>98</v>
      </c>
      <c r="F1401" s="12" t="n">
        <v>4200743</v>
      </c>
      <c r="G1401" s="12" t="n">
        <v>4101000</v>
      </c>
      <c r="H1401" s="11" t="n">
        <v>14</v>
      </c>
      <c r="I1401" s="11" t="s">
        <v>69</v>
      </c>
      <c r="J1401" s="11" t="s">
        <v>80</v>
      </c>
      <c r="K1401" s="11" t="s">
        <v>81</v>
      </c>
      <c r="L1401" s="11" t="s">
        <v>82</v>
      </c>
      <c r="M1401" s="11" t="s">
        <v>73</v>
      </c>
      <c r="N1401" s="11" t="s">
        <v>104</v>
      </c>
      <c r="O1401" s="11" t="s">
        <v>105</v>
      </c>
      <c r="P1401" s="11" t="s">
        <v>106</v>
      </c>
      <c r="Q1401" s="13" t="n">
        <f aca="false">F1401*H1401</f>
        <v>58810402</v>
      </c>
      <c r="R1401" s="13" t="n">
        <f aca="false">G1401*H1401</f>
        <v>57414000</v>
      </c>
      <c r="S1401" s="13" t="n">
        <f aca="false">Q1401-R1401</f>
        <v>1396402</v>
      </c>
      <c r="T1401" s="14" t="n">
        <f aca="false">IFERROR(S1401/Q1401,0)</f>
        <v>0.023744132883159</v>
      </c>
      <c r="U1401" s="15" t="str">
        <f aca="false">TEXT(A1401,"yyyy-mm")</f>
        <v>2022-05</v>
      </c>
    </row>
    <row r="1402" customFormat="false" ht="15" hidden="false" customHeight="false" outlineLevel="0" collapsed="false">
      <c r="A1402" s="10" t="n">
        <v>44710</v>
      </c>
      <c r="B1402" s="11" t="s">
        <v>1534</v>
      </c>
      <c r="C1402" s="11" t="s">
        <v>117</v>
      </c>
      <c r="D1402" s="11" t="s">
        <v>118</v>
      </c>
      <c r="E1402" s="11" t="s">
        <v>119</v>
      </c>
      <c r="F1402" s="12" t="n">
        <v>8220549</v>
      </c>
      <c r="G1402" s="12" t="n">
        <v>6500000</v>
      </c>
      <c r="H1402" s="11" t="n">
        <v>24</v>
      </c>
      <c r="I1402" s="11" t="s">
        <v>69</v>
      </c>
      <c r="J1402" s="11" t="s">
        <v>112</v>
      </c>
      <c r="K1402" s="11" t="s">
        <v>113</v>
      </c>
      <c r="L1402" s="11" t="s">
        <v>82</v>
      </c>
      <c r="M1402" s="11" t="s">
        <v>157</v>
      </c>
      <c r="N1402" s="11" t="s">
        <v>74</v>
      </c>
      <c r="O1402" s="11" t="s">
        <v>75</v>
      </c>
      <c r="P1402" s="11" t="s">
        <v>76</v>
      </c>
      <c r="Q1402" s="13" t="n">
        <f aca="false">F1402*H1402</f>
        <v>197293176</v>
      </c>
      <c r="R1402" s="13" t="n">
        <f aca="false">G1402*H1402</f>
        <v>156000000</v>
      </c>
      <c r="S1402" s="13" t="n">
        <f aca="false">Q1402-R1402</f>
        <v>41293176</v>
      </c>
      <c r="T1402" s="14" t="n">
        <f aca="false">IFERROR(S1402/Q1402,0)</f>
        <v>0.209298551714733</v>
      </c>
      <c r="U1402" s="15" t="str">
        <f aca="false">TEXT(A1402,"yyyy-mm")</f>
        <v>2022-05</v>
      </c>
    </row>
    <row r="1403" customFormat="false" ht="15" hidden="false" customHeight="false" outlineLevel="0" collapsed="false">
      <c r="A1403" s="10" t="n">
        <v>44711</v>
      </c>
      <c r="B1403" s="11" t="s">
        <v>1535</v>
      </c>
      <c r="C1403" s="11" t="s">
        <v>121</v>
      </c>
      <c r="D1403" s="11" t="s">
        <v>118</v>
      </c>
      <c r="E1403" s="11" t="s">
        <v>122</v>
      </c>
      <c r="F1403" s="12" t="n">
        <v>7687274</v>
      </c>
      <c r="G1403" s="12" t="n">
        <v>6500000</v>
      </c>
      <c r="H1403" s="11" t="n">
        <v>16</v>
      </c>
      <c r="I1403" s="11" t="s">
        <v>69</v>
      </c>
      <c r="J1403" s="11" t="s">
        <v>70</v>
      </c>
      <c r="K1403" s="11" t="s">
        <v>71</v>
      </c>
      <c r="L1403" s="11" t="s">
        <v>72</v>
      </c>
      <c r="M1403" s="11" t="s">
        <v>73</v>
      </c>
      <c r="N1403" s="11" t="s">
        <v>74</v>
      </c>
      <c r="O1403" s="11" t="s">
        <v>75</v>
      </c>
      <c r="P1403" s="11" t="s">
        <v>76</v>
      </c>
      <c r="Q1403" s="13" t="n">
        <f aca="false">F1403*H1403</f>
        <v>122996384</v>
      </c>
      <c r="R1403" s="13" t="n">
        <f aca="false">G1403*H1403</f>
        <v>104000000</v>
      </c>
      <c r="S1403" s="13" t="n">
        <f aca="false">Q1403-R1403</f>
        <v>18996384</v>
      </c>
      <c r="T1403" s="14" t="n">
        <f aca="false">IFERROR(S1403/Q1403,0)</f>
        <v>0.154446686822923</v>
      </c>
      <c r="U1403" s="15" t="str">
        <f aca="false">TEXT(A1403,"yyyy-mm")</f>
        <v>2022-05</v>
      </c>
    </row>
    <row r="1404" customFormat="false" ht="15" hidden="false" customHeight="false" outlineLevel="0" collapsed="false">
      <c r="A1404" s="10" t="n">
        <v>44711</v>
      </c>
      <c r="B1404" s="11" t="s">
        <v>1536</v>
      </c>
      <c r="C1404" s="11" t="s">
        <v>125</v>
      </c>
      <c r="D1404" s="11" t="s">
        <v>118</v>
      </c>
      <c r="E1404" s="11" t="s">
        <v>126</v>
      </c>
      <c r="F1404" s="12" t="n">
        <v>5684211</v>
      </c>
      <c r="G1404" s="12" t="n">
        <v>4300000</v>
      </c>
      <c r="H1404" s="11" t="n">
        <v>10</v>
      </c>
      <c r="I1404" s="11" t="s">
        <v>69</v>
      </c>
      <c r="J1404" s="11" t="s">
        <v>70</v>
      </c>
      <c r="K1404" s="11" t="s">
        <v>71</v>
      </c>
      <c r="L1404" s="11" t="s">
        <v>72</v>
      </c>
      <c r="M1404" s="11" t="s">
        <v>73</v>
      </c>
      <c r="N1404" s="11" t="s">
        <v>74</v>
      </c>
      <c r="O1404" s="11" t="s">
        <v>75</v>
      </c>
      <c r="P1404" s="11" t="s">
        <v>76</v>
      </c>
      <c r="Q1404" s="13" t="n">
        <f aca="false">F1404*H1404</f>
        <v>56842110</v>
      </c>
      <c r="R1404" s="13" t="n">
        <f aca="false">G1404*H1404</f>
        <v>43000000</v>
      </c>
      <c r="S1404" s="13" t="n">
        <f aca="false">Q1404-R1404</f>
        <v>13842110</v>
      </c>
      <c r="T1404" s="14" t="n">
        <f aca="false">IFERROR(S1404/Q1404,0)</f>
        <v>0.243518581558637</v>
      </c>
      <c r="U1404" s="15" t="str">
        <f aca="false">TEXT(A1404,"yyyy-mm")</f>
        <v>2022-05</v>
      </c>
    </row>
    <row r="1405" customFormat="false" ht="15" hidden="false" customHeight="false" outlineLevel="0" collapsed="false">
      <c r="A1405" s="10" t="n">
        <v>44712</v>
      </c>
      <c r="B1405" s="11" t="s">
        <v>1537</v>
      </c>
      <c r="C1405" s="11" t="s">
        <v>128</v>
      </c>
      <c r="D1405" s="11" t="s">
        <v>118</v>
      </c>
      <c r="E1405" s="11" t="s">
        <v>119</v>
      </c>
      <c r="F1405" s="12" t="n">
        <v>3370302</v>
      </c>
      <c r="G1405" s="12" t="n">
        <v>2100000</v>
      </c>
      <c r="H1405" s="11" t="n">
        <v>25</v>
      </c>
      <c r="I1405" s="11" t="s">
        <v>86</v>
      </c>
      <c r="J1405" s="11" t="s">
        <v>87</v>
      </c>
      <c r="K1405" s="11" t="s">
        <v>88</v>
      </c>
      <c r="L1405" s="11" t="s">
        <v>89</v>
      </c>
      <c r="M1405" s="11" t="s">
        <v>90</v>
      </c>
      <c r="N1405" s="11" t="s">
        <v>99</v>
      </c>
      <c r="O1405" s="11" t="s">
        <v>100</v>
      </c>
      <c r="P1405" s="11" t="s">
        <v>101</v>
      </c>
      <c r="Q1405" s="13" t="n">
        <f aca="false">F1405*H1405</f>
        <v>84257550</v>
      </c>
      <c r="R1405" s="13" t="n">
        <f aca="false">G1405*H1405</f>
        <v>52500000</v>
      </c>
      <c r="S1405" s="13" t="n">
        <f aca="false">Q1405-R1405</f>
        <v>31757550</v>
      </c>
      <c r="T1405" s="14" t="n">
        <f aca="false">IFERROR(S1405/Q1405,0)</f>
        <v>0.37691043710623</v>
      </c>
      <c r="U1405" s="15" t="str">
        <f aca="false">TEXT(A1405,"yyyy-mm")</f>
        <v>2022-05</v>
      </c>
    </row>
    <row r="1406" customFormat="false" ht="15" hidden="false" customHeight="false" outlineLevel="0" collapsed="false">
      <c r="A1406" s="10" t="n">
        <v>44712</v>
      </c>
      <c r="B1406" s="11" t="s">
        <v>1538</v>
      </c>
      <c r="C1406" s="11" t="s">
        <v>130</v>
      </c>
      <c r="D1406" s="11" t="s">
        <v>118</v>
      </c>
      <c r="E1406" s="11" t="s">
        <v>68</v>
      </c>
      <c r="F1406" s="12" t="n">
        <v>2852897</v>
      </c>
      <c r="G1406" s="12" t="n">
        <v>2450000</v>
      </c>
      <c r="H1406" s="11" t="n">
        <v>6</v>
      </c>
      <c r="I1406" s="11" t="s">
        <v>69</v>
      </c>
      <c r="J1406" s="11" t="s">
        <v>80</v>
      </c>
      <c r="K1406" s="11" t="s">
        <v>81</v>
      </c>
      <c r="L1406" s="11" t="s">
        <v>82</v>
      </c>
      <c r="M1406" s="11" t="s">
        <v>73</v>
      </c>
      <c r="N1406" s="11" t="s">
        <v>99</v>
      </c>
      <c r="O1406" s="11" t="s">
        <v>100</v>
      </c>
      <c r="P1406" s="11" t="s">
        <v>101</v>
      </c>
      <c r="Q1406" s="13" t="n">
        <f aca="false">F1406*H1406</f>
        <v>17117382</v>
      </c>
      <c r="R1406" s="13" t="n">
        <f aca="false">G1406*H1406</f>
        <v>14700000</v>
      </c>
      <c r="S1406" s="13" t="n">
        <f aca="false">Q1406-R1406</f>
        <v>2417382</v>
      </c>
      <c r="T1406" s="14" t="n">
        <f aca="false">IFERROR(S1406/Q1406,0)</f>
        <v>0.141223815651249</v>
      </c>
      <c r="U1406" s="15" t="str">
        <f aca="false">TEXT(A1406,"yyyy-mm")</f>
        <v>2022-05</v>
      </c>
    </row>
    <row r="1407" customFormat="false" ht="15" hidden="false" customHeight="false" outlineLevel="0" collapsed="false">
      <c r="A1407" s="10" t="n">
        <v>44712</v>
      </c>
      <c r="B1407" s="11" t="s">
        <v>1539</v>
      </c>
      <c r="C1407" s="11" t="s">
        <v>132</v>
      </c>
      <c r="D1407" s="11" t="s">
        <v>118</v>
      </c>
      <c r="E1407" s="11" t="s">
        <v>68</v>
      </c>
      <c r="F1407" s="12" t="n">
        <v>4803603</v>
      </c>
      <c r="G1407" s="12" t="n">
        <v>4121000</v>
      </c>
      <c r="H1407" s="11" t="n">
        <v>23</v>
      </c>
      <c r="I1407" s="11" t="s">
        <v>69</v>
      </c>
      <c r="J1407" s="11" t="s">
        <v>80</v>
      </c>
      <c r="K1407" s="11" t="s">
        <v>81</v>
      </c>
      <c r="L1407" s="11" t="s">
        <v>82</v>
      </c>
      <c r="M1407" s="11" t="s">
        <v>73</v>
      </c>
      <c r="N1407" s="11" t="s">
        <v>149</v>
      </c>
      <c r="O1407" s="11" t="s">
        <v>150</v>
      </c>
      <c r="P1407" s="11" t="s">
        <v>151</v>
      </c>
      <c r="Q1407" s="13" t="n">
        <f aca="false">F1407*H1407</f>
        <v>110482869</v>
      </c>
      <c r="R1407" s="13" t="n">
        <f aca="false">G1407*H1407</f>
        <v>94783000</v>
      </c>
      <c r="S1407" s="13" t="n">
        <f aca="false">Q1407-R1407</f>
        <v>15699869</v>
      </c>
      <c r="T1407" s="14" t="n">
        <f aca="false">IFERROR(S1407/Q1407,0)</f>
        <v>0.142102292799801</v>
      </c>
      <c r="U1407" s="15" t="str">
        <f aca="false">TEXT(A1407,"yyyy-mm")</f>
        <v>2022-05</v>
      </c>
    </row>
    <row r="1408" customFormat="false" ht="15" hidden="false" customHeight="false" outlineLevel="0" collapsed="false">
      <c r="A1408" s="10" t="n">
        <v>44713</v>
      </c>
      <c r="B1408" s="11" t="s">
        <v>1540</v>
      </c>
      <c r="C1408" s="11" t="s">
        <v>135</v>
      </c>
      <c r="D1408" s="11" t="s">
        <v>118</v>
      </c>
      <c r="E1408" s="11" t="s">
        <v>68</v>
      </c>
      <c r="F1408" s="12" t="n">
        <v>5689947</v>
      </c>
      <c r="G1408" s="12" t="n">
        <v>5235000</v>
      </c>
      <c r="H1408" s="11" t="n">
        <v>16</v>
      </c>
      <c r="I1408" s="11" t="s">
        <v>69</v>
      </c>
      <c r="J1408" s="11" t="s">
        <v>80</v>
      </c>
      <c r="K1408" s="11" t="s">
        <v>81</v>
      </c>
      <c r="L1408" s="11" t="s">
        <v>82</v>
      </c>
      <c r="M1408" s="11" t="s">
        <v>73</v>
      </c>
      <c r="N1408" s="11" t="s">
        <v>93</v>
      </c>
      <c r="O1408" s="11" t="s">
        <v>94</v>
      </c>
      <c r="P1408" s="11" t="s">
        <v>95</v>
      </c>
      <c r="Q1408" s="13" t="n">
        <f aca="false">F1408*H1408</f>
        <v>91039152</v>
      </c>
      <c r="R1408" s="13" t="n">
        <f aca="false">G1408*H1408</f>
        <v>83760000</v>
      </c>
      <c r="S1408" s="13" t="n">
        <f aca="false">Q1408-R1408</f>
        <v>7279152</v>
      </c>
      <c r="T1408" s="14" t="n">
        <f aca="false">IFERROR(S1408/Q1408,0)</f>
        <v>0.0799562807878527</v>
      </c>
      <c r="U1408" s="15" t="str">
        <f aca="false">TEXT(A1408,"yyyy-mm")</f>
        <v>2022-06</v>
      </c>
    </row>
    <row r="1409" customFormat="false" ht="15" hidden="false" customHeight="false" outlineLevel="0" collapsed="false">
      <c r="A1409" s="10" t="n">
        <v>44713</v>
      </c>
      <c r="B1409" s="11" t="s">
        <v>1541</v>
      </c>
      <c r="C1409" s="11" t="s">
        <v>137</v>
      </c>
      <c r="D1409" s="11" t="s">
        <v>138</v>
      </c>
      <c r="E1409" s="11" t="s">
        <v>139</v>
      </c>
      <c r="F1409" s="12" t="n">
        <v>5171827</v>
      </c>
      <c r="G1409" s="12" t="n">
        <v>4890000</v>
      </c>
      <c r="H1409" s="11" t="n">
        <v>18</v>
      </c>
      <c r="I1409" s="11" t="s">
        <v>86</v>
      </c>
      <c r="J1409" s="11" t="s">
        <v>87</v>
      </c>
      <c r="K1409" s="11" t="s">
        <v>88</v>
      </c>
      <c r="L1409" s="11" t="s">
        <v>89</v>
      </c>
      <c r="M1409" s="11" t="s">
        <v>90</v>
      </c>
      <c r="N1409" s="11" t="s">
        <v>133</v>
      </c>
      <c r="O1409" s="11" t="s">
        <v>60</v>
      </c>
      <c r="P1409" s="11" t="s">
        <v>76</v>
      </c>
      <c r="Q1409" s="13" t="n">
        <f aca="false">F1409*H1409</f>
        <v>93092886</v>
      </c>
      <c r="R1409" s="13" t="n">
        <f aca="false">G1409*H1409</f>
        <v>88020000</v>
      </c>
      <c r="S1409" s="13" t="n">
        <f aca="false">Q1409-R1409</f>
        <v>5072886</v>
      </c>
      <c r="T1409" s="14" t="n">
        <f aca="false">IFERROR(S1409/Q1409,0)</f>
        <v>0.0544927353525166</v>
      </c>
      <c r="U1409" s="15" t="str">
        <f aca="false">TEXT(A1409,"yyyy-mm")</f>
        <v>2022-06</v>
      </c>
    </row>
    <row r="1410" customFormat="false" ht="15" hidden="false" customHeight="false" outlineLevel="0" collapsed="false">
      <c r="A1410" s="10" t="n">
        <v>44713</v>
      </c>
      <c r="B1410" s="11" t="s">
        <v>1542</v>
      </c>
      <c r="C1410" s="11" t="s">
        <v>141</v>
      </c>
      <c r="D1410" s="11" t="s">
        <v>138</v>
      </c>
      <c r="E1410" s="11" t="s">
        <v>142</v>
      </c>
      <c r="F1410" s="12" t="n">
        <v>2805124</v>
      </c>
      <c r="G1410" s="12" t="n">
        <v>2178000</v>
      </c>
      <c r="H1410" s="11" t="n">
        <v>28</v>
      </c>
      <c r="I1410" s="11" t="s">
        <v>86</v>
      </c>
      <c r="J1410" s="11" t="s">
        <v>87</v>
      </c>
      <c r="K1410" s="11" t="s">
        <v>88</v>
      </c>
      <c r="L1410" s="11" t="s">
        <v>89</v>
      </c>
      <c r="M1410" s="11" t="s">
        <v>90</v>
      </c>
      <c r="N1410" s="11" t="s">
        <v>104</v>
      </c>
      <c r="O1410" s="11" t="s">
        <v>105</v>
      </c>
      <c r="P1410" s="11" t="s">
        <v>106</v>
      </c>
      <c r="Q1410" s="13" t="n">
        <f aca="false">F1410*H1410</f>
        <v>78543472</v>
      </c>
      <c r="R1410" s="13" t="n">
        <f aca="false">G1410*H1410</f>
        <v>60984000</v>
      </c>
      <c r="S1410" s="13" t="n">
        <f aca="false">Q1410-R1410</f>
        <v>17559472</v>
      </c>
      <c r="T1410" s="14" t="n">
        <f aca="false">IFERROR(S1410/Q1410,0)</f>
        <v>0.22356373550688</v>
      </c>
      <c r="U1410" s="15" t="str">
        <f aca="false">TEXT(A1410,"yyyy-mm")</f>
        <v>2022-06</v>
      </c>
    </row>
    <row r="1411" customFormat="false" ht="15" hidden="false" customHeight="false" outlineLevel="0" collapsed="false">
      <c r="A1411" s="10" t="n">
        <v>44713</v>
      </c>
      <c r="B1411" s="11" t="s">
        <v>1543</v>
      </c>
      <c r="C1411" s="11" t="s">
        <v>146</v>
      </c>
      <c r="D1411" s="11" t="s">
        <v>138</v>
      </c>
      <c r="E1411" s="11" t="s">
        <v>139</v>
      </c>
      <c r="F1411" s="12" t="n">
        <v>2728100</v>
      </c>
      <c r="G1411" s="12" t="n">
        <v>2321000</v>
      </c>
      <c r="H1411" s="11" t="n">
        <v>16</v>
      </c>
      <c r="I1411" s="11" t="s">
        <v>69</v>
      </c>
      <c r="J1411" s="11" t="s">
        <v>80</v>
      </c>
      <c r="K1411" s="11" t="s">
        <v>81</v>
      </c>
      <c r="L1411" s="11" t="s">
        <v>82</v>
      </c>
      <c r="M1411" s="11" t="s">
        <v>73</v>
      </c>
      <c r="N1411" s="11" t="s">
        <v>93</v>
      </c>
      <c r="O1411" s="11" t="s">
        <v>94</v>
      </c>
      <c r="P1411" s="11" t="s">
        <v>95</v>
      </c>
      <c r="Q1411" s="13" t="n">
        <f aca="false">F1411*H1411</f>
        <v>43649600</v>
      </c>
      <c r="R1411" s="13" t="n">
        <f aca="false">G1411*H1411</f>
        <v>37136000</v>
      </c>
      <c r="S1411" s="13" t="n">
        <f aca="false">Q1411-R1411</f>
        <v>6513600</v>
      </c>
      <c r="T1411" s="14" t="n">
        <f aca="false">IFERROR(S1411/Q1411,0)</f>
        <v>0.149224735163667</v>
      </c>
      <c r="U1411" s="15" t="str">
        <f aca="false">TEXT(A1411,"yyyy-mm")</f>
        <v>2022-06</v>
      </c>
    </row>
    <row r="1412" customFormat="false" ht="15" hidden="false" customHeight="false" outlineLevel="0" collapsed="false">
      <c r="A1412" s="10" t="n">
        <v>44714</v>
      </c>
      <c r="B1412" s="11" t="s">
        <v>1544</v>
      </c>
      <c r="C1412" s="11" t="s">
        <v>148</v>
      </c>
      <c r="D1412" s="11" t="s">
        <v>138</v>
      </c>
      <c r="E1412" s="11" t="s">
        <v>122</v>
      </c>
      <c r="F1412" s="12" t="n">
        <v>4941716</v>
      </c>
      <c r="G1412" s="12" t="n">
        <v>4456000</v>
      </c>
      <c r="H1412" s="11" t="n">
        <v>20</v>
      </c>
      <c r="I1412" s="11" t="s">
        <v>69</v>
      </c>
      <c r="J1412" s="11" t="s">
        <v>112</v>
      </c>
      <c r="K1412" s="11" t="s">
        <v>113</v>
      </c>
      <c r="L1412" s="11" t="s">
        <v>82</v>
      </c>
      <c r="M1412" s="11" t="s">
        <v>157</v>
      </c>
      <c r="N1412" s="11" t="s">
        <v>104</v>
      </c>
      <c r="O1412" s="11" t="s">
        <v>105</v>
      </c>
      <c r="P1412" s="11" t="s">
        <v>106</v>
      </c>
      <c r="Q1412" s="13" t="n">
        <f aca="false">F1412*H1412</f>
        <v>98834320</v>
      </c>
      <c r="R1412" s="13" t="n">
        <f aca="false">G1412*H1412</f>
        <v>89120000</v>
      </c>
      <c r="S1412" s="13" t="n">
        <f aca="false">Q1412-R1412</f>
        <v>9714320</v>
      </c>
      <c r="T1412" s="14" t="n">
        <f aca="false">IFERROR(S1412/Q1412,0)</f>
        <v>0.0982889344511097</v>
      </c>
      <c r="U1412" s="15" t="str">
        <f aca="false">TEXT(A1412,"yyyy-mm")</f>
        <v>2022-06</v>
      </c>
    </row>
    <row r="1413" customFormat="false" ht="15" hidden="false" customHeight="false" outlineLevel="0" collapsed="false">
      <c r="A1413" s="10" t="n">
        <v>44714</v>
      </c>
      <c r="B1413" s="11" t="s">
        <v>1545</v>
      </c>
      <c r="C1413" s="11" t="s">
        <v>66</v>
      </c>
      <c r="D1413" s="11" t="s">
        <v>67</v>
      </c>
      <c r="E1413" s="11" t="s">
        <v>68</v>
      </c>
      <c r="F1413" s="12" t="n">
        <v>3048952</v>
      </c>
      <c r="G1413" s="12" t="n">
        <v>2560000</v>
      </c>
      <c r="H1413" s="11" t="n">
        <v>20</v>
      </c>
      <c r="I1413" s="11" t="s">
        <v>69</v>
      </c>
      <c r="J1413" s="11" t="s">
        <v>70</v>
      </c>
      <c r="K1413" s="11" t="s">
        <v>71</v>
      </c>
      <c r="L1413" s="11" t="s">
        <v>72</v>
      </c>
      <c r="M1413" s="11" t="s">
        <v>73</v>
      </c>
      <c r="N1413" s="11" t="s">
        <v>143</v>
      </c>
      <c r="O1413" s="11" t="s">
        <v>144</v>
      </c>
      <c r="P1413" s="11" t="s">
        <v>101</v>
      </c>
      <c r="Q1413" s="13" t="n">
        <f aca="false">F1413*H1413</f>
        <v>60979040</v>
      </c>
      <c r="R1413" s="13" t="n">
        <f aca="false">G1413*H1413</f>
        <v>51200000</v>
      </c>
      <c r="S1413" s="13" t="n">
        <f aca="false">Q1413-R1413</f>
        <v>9779040</v>
      </c>
      <c r="T1413" s="14" t="n">
        <f aca="false">IFERROR(S1413/Q1413,0)</f>
        <v>0.160367234380863</v>
      </c>
      <c r="U1413" s="15" t="str">
        <f aca="false">TEXT(A1413,"yyyy-mm")</f>
        <v>2022-06</v>
      </c>
    </row>
    <row r="1414" customFormat="false" ht="15" hidden="false" customHeight="false" outlineLevel="0" collapsed="false">
      <c r="A1414" s="10" t="n">
        <v>44714</v>
      </c>
      <c r="B1414" s="11" t="s">
        <v>1546</v>
      </c>
      <c r="C1414" s="11" t="s">
        <v>78</v>
      </c>
      <c r="D1414" s="11" t="s">
        <v>67</v>
      </c>
      <c r="E1414" s="11" t="s">
        <v>79</v>
      </c>
      <c r="F1414" s="12" t="n">
        <v>1870000</v>
      </c>
      <c r="G1414" s="12" t="n">
        <v>1650000</v>
      </c>
      <c r="H1414" s="11" t="n">
        <v>22</v>
      </c>
      <c r="I1414" s="11" t="s">
        <v>69</v>
      </c>
      <c r="J1414" s="11" t="s">
        <v>80</v>
      </c>
      <c r="K1414" s="11" t="s">
        <v>81</v>
      </c>
      <c r="L1414" s="11" t="s">
        <v>82</v>
      </c>
      <c r="M1414" s="11" t="s">
        <v>73</v>
      </c>
      <c r="N1414" s="11" t="s">
        <v>99</v>
      </c>
      <c r="O1414" s="11" t="s">
        <v>100</v>
      </c>
      <c r="P1414" s="11" t="s">
        <v>101</v>
      </c>
      <c r="Q1414" s="13" t="n">
        <f aca="false">F1414*H1414</f>
        <v>41140000</v>
      </c>
      <c r="R1414" s="13" t="n">
        <f aca="false">G1414*H1414</f>
        <v>36300000</v>
      </c>
      <c r="S1414" s="13" t="n">
        <f aca="false">Q1414-R1414</f>
        <v>4840000</v>
      </c>
      <c r="T1414" s="14" t="n">
        <f aca="false">IFERROR(S1414/Q1414,0)</f>
        <v>0.117647058823529</v>
      </c>
      <c r="U1414" s="15" t="str">
        <f aca="false">TEXT(A1414,"yyyy-mm")</f>
        <v>2022-06</v>
      </c>
    </row>
    <row r="1415" customFormat="false" ht="15" hidden="false" customHeight="false" outlineLevel="0" collapsed="false">
      <c r="A1415" s="10" t="n">
        <v>44714</v>
      </c>
      <c r="B1415" s="11" t="s">
        <v>1547</v>
      </c>
      <c r="C1415" s="11" t="s">
        <v>84</v>
      </c>
      <c r="D1415" s="11" t="s">
        <v>67</v>
      </c>
      <c r="E1415" s="11" t="s">
        <v>85</v>
      </c>
      <c r="F1415" s="12" t="n">
        <v>2600000</v>
      </c>
      <c r="G1415" s="12" t="n">
        <v>2300000</v>
      </c>
      <c r="H1415" s="11" t="n">
        <v>9</v>
      </c>
      <c r="I1415" s="11" t="s">
        <v>69</v>
      </c>
      <c r="J1415" s="11" t="s">
        <v>80</v>
      </c>
      <c r="K1415" s="11" t="s">
        <v>81</v>
      </c>
      <c r="L1415" s="11" t="s">
        <v>82</v>
      </c>
      <c r="M1415" s="11" t="s">
        <v>73</v>
      </c>
      <c r="N1415" s="11" t="s">
        <v>109</v>
      </c>
      <c r="O1415" s="11" t="s">
        <v>75</v>
      </c>
      <c r="P1415" s="11" t="s">
        <v>95</v>
      </c>
      <c r="Q1415" s="13" t="n">
        <f aca="false">F1415*H1415</f>
        <v>23400000</v>
      </c>
      <c r="R1415" s="13" t="n">
        <f aca="false">G1415*H1415</f>
        <v>20700000</v>
      </c>
      <c r="S1415" s="13" t="n">
        <f aca="false">Q1415-R1415</f>
        <v>2700000</v>
      </c>
      <c r="T1415" s="14" t="n">
        <f aca="false">IFERROR(S1415/Q1415,0)</f>
        <v>0.115384615384615</v>
      </c>
      <c r="U1415" s="15" t="str">
        <f aca="false">TEXT(A1415,"yyyy-mm")</f>
        <v>2022-06</v>
      </c>
    </row>
    <row r="1416" customFormat="false" ht="15" hidden="false" customHeight="false" outlineLevel="0" collapsed="false">
      <c r="A1416" s="10" t="n">
        <v>44714</v>
      </c>
      <c r="B1416" s="11" t="s">
        <v>1548</v>
      </c>
      <c r="C1416" s="11" t="s">
        <v>92</v>
      </c>
      <c r="D1416" s="11" t="s">
        <v>67</v>
      </c>
      <c r="E1416" s="11" t="s">
        <v>79</v>
      </c>
      <c r="F1416" s="12" t="n">
        <v>3577480</v>
      </c>
      <c r="G1416" s="12" t="n">
        <v>3100000</v>
      </c>
      <c r="H1416" s="11" t="n">
        <v>22</v>
      </c>
      <c r="I1416" s="11" t="s">
        <v>69</v>
      </c>
      <c r="J1416" s="11" t="s">
        <v>70</v>
      </c>
      <c r="K1416" s="11" t="s">
        <v>71</v>
      </c>
      <c r="L1416" s="11" t="s">
        <v>72</v>
      </c>
      <c r="M1416" s="11" t="s">
        <v>73</v>
      </c>
      <c r="N1416" s="11" t="s">
        <v>99</v>
      </c>
      <c r="O1416" s="11" t="s">
        <v>100</v>
      </c>
      <c r="P1416" s="11" t="s">
        <v>101</v>
      </c>
      <c r="Q1416" s="13" t="n">
        <f aca="false">F1416*H1416</f>
        <v>78704560</v>
      </c>
      <c r="R1416" s="13" t="n">
        <f aca="false">G1416*H1416</f>
        <v>68200000</v>
      </c>
      <c r="S1416" s="13" t="n">
        <f aca="false">Q1416-R1416</f>
        <v>10504560</v>
      </c>
      <c r="T1416" s="14" t="n">
        <f aca="false">IFERROR(S1416/Q1416,0)</f>
        <v>0.133468251394837</v>
      </c>
      <c r="U1416" s="15" t="str">
        <f aca="false">TEXT(A1416,"yyyy-mm")</f>
        <v>2022-06</v>
      </c>
    </row>
    <row r="1417" customFormat="false" ht="15" hidden="false" customHeight="false" outlineLevel="0" collapsed="false">
      <c r="A1417" s="10" t="n">
        <v>44714</v>
      </c>
      <c r="B1417" s="11" t="s">
        <v>1549</v>
      </c>
      <c r="C1417" s="11" t="s">
        <v>97</v>
      </c>
      <c r="D1417" s="11" t="s">
        <v>67</v>
      </c>
      <c r="E1417" s="11" t="s">
        <v>98</v>
      </c>
      <c r="F1417" s="12" t="n">
        <v>4969724</v>
      </c>
      <c r="G1417" s="12" t="n">
        <v>4121560</v>
      </c>
      <c r="H1417" s="11" t="n">
        <v>12</v>
      </c>
      <c r="I1417" s="11" t="s">
        <v>69</v>
      </c>
      <c r="J1417" s="11" t="s">
        <v>80</v>
      </c>
      <c r="K1417" s="11" t="s">
        <v>81</v>
      </c>
      <c r="L1417" s="11" t="s">
        <v>82</v>
      </c>
      <c r="M1417" s="11" t="s">
        <v>73</v>
      </c>
      <c r="N1417" s="11" t="s">
        <v>99</v>
      </c>
      <c r="O1417" s="11" t="s">
        <v>100</v>
      </c>
      <c r="P1417" s="11" t="s">
        <v>101</v>
      </c>
      <c r="Q1417" s="13" t="n">
        <f aca="false">F1417*H1417</f>
        <v>59636688</v>
      </c>
      <c r="R1417" s="13" t="n">
        <f aca="false">G1417*H1417</f>
        <v>49458720</v>
      </c>
      <c r="S1417" s="13" t="n">
        <f aca="false">Q1417-R1417</f>
        <v>10177968</v>
      </c>
      <c r="T1417" s="14" t="n">
        <f aca="false">IFERROR(S1417/Q1417,0)</f>
        <v>0.170666218083741</v>
      </c>
      <c r="U1417" s="15" t="str">
        <f aca="false">TEXT(A1417,"yyyy-mm")</f>
        <v>2022-06</v>
      </c>
    </row>
    <row r="1418" customFormat="false" ht="15" hidden="false" customHeight="false" outlineLevel="0" collapsed="false">
      <c r="A1418" s="10" t="n">
        <v>44714</v>
      </c>
      <c r="B1418" s="11" t="s">
        <v>1550</v>
      </c>
      <c r="C1418" s="11" t="s">
        <v>103</v>
      </c>
      <c r="D1418" s="11" t="s">
        <v>67</v>
      </c>
      <c r="E1418" s="11" t="s">
        <v>68</v>
      </c>
      <c r="F1418" s="12" t="n">
        <v>3319925</v>
      </c>
      <c r="G1418" s="12" t="n">
        <v>2800000</v>
      </c>
      <c r="H1418" s="11" t="n">
        <v>19</v>
      </c>
      <c r="I1418" s="11" t="s">
        <v>69</v>
      </c>
      <c r="J1418" s="11" t="s">
        <v>70</v>
      </c>
      <c r="K1418" s="11" t="s">
        <v>71</v>
      </c>
      <c r="L1418" s="11" t="s">
        <v>72</v>
      </c>
      <c r="M1418" s="11" t="s">
        <v>73</v>
      </c>
      <c r="N1418" s="11" t="s">
        <v>74</v>
      </c>
      <c r="O1418" s="11" t="s">
        <v>75</v>
      </c>
      <c r="P1418" s="11" t="s">
        <v>76</v>
      </c>
      <c r="Q1418" s="13" t="n">
        <f aca="false">F1418*H1418</f>
        <v>63078575</v>
      </c>
      <c r="R1418" s="13" t="n">
        <f aca="false">G1418*H1418</f>
        <v>53200000</v>
      </c>
      <c r="S1418" s="13" t="n">
        <f aca="false">Q1418-R1418</f>
        <v>9878575</v>
      </c>
      <c r="T1418" s="14" t="n">
        <f aca="false">IFERROR(S1418/Q1418,0)</f>
        <v>0.15660745348163</v>
      </c>
      <c r="U1418" s="15" t="str">
        <f aca="false">TEXT(A1418,"yyyy-mm")</f>
        <v>2022-06</v>
      </c>
    </row>
    <row r="1419" customFormat="false" ht="15" hidden="false" customHeight="false" outlineLevel="0" collapsed="false">
      <c r="A1419" s="10" t="n">
        <v>44714</v>
      </c>
      <c r="B1419" s="11" t="s">
        <v>1551</v>
      </c>
      <c r="C1419" s="11" t="s">
        <v>108</v>
      </c>
      <c r="D1419" s="11" t="s">
        <v>67</v>
      </c>
      <c r="E1419" s="11" t="s">
        <v>68</v>
      </c>
      <c r="F1419" s="12" t="n">
        <v>4757880</v>
      </c>
      <c r="G1419" s="12" t="n">
        <v>3450000</v>
      </c>
      <c r="H1419" s="11" t="n">
        <v>7</v>
      </c>
      <c r="I1419" s="11" t="s">
        <v>69</v>
      </c>
      <c r="J1419" s="11" t="s">
        <v>70</v>
      </c>
      <c r="K1419" s="11" t="s">
        <v>71</v>
      </c>
      <c r="L1419" s="11" t="s">
        <v>72</v>
      </c>
      <c r="M1419" s="11" t="s">
        <v>73</v>
      </c>
      <c r="N1419" s="11" t="s">
        <v>74</v>
      </c>
      <c r="O1419" s="11" t="s">
        <v>75</v>
      </c>
      <c r="P1419" s="11" t="s">
        <v>76</v>
      </c>
      <c r="Q1419" s="13" t="n">
        <f aca="false">F1419*H1419</f>
        <v>33305160</v>
      </c>
      <c r="R1419" s="13" t="n">
        <f aca="false">G1419*H1419</f>
        <v>24150000</v>
      </c>
      <c r="S1419" s="13" t="n">
        <f aca="false">Q1419-R1419</f>
        <v>9155160</v>
      </c>
      <c r="T1419" s="14" t="n">
        <f aca="false">IFERROR(S1419/Q1419,0)</f>
        <v>0.274887134606169</v>
      </c>
      <c r="U1419" s="15" t="str">
        <f aca="false">TEXT(A1419,"yyyy-mm")</f>
        <v>2022-06</v>
      </c>
    </row>
    <row r="1420" customFormat="false" ht="15" hidden="false" customHeight="false" outlineLevel="0" collapsed="false">
      <c r="A1420" s="10" t="n">
        <v>44715</v>
      </c>
      <c r="B1420" s="11" t="s">
        <v>1552</v>
      </c>
      <c r="C1420" s="11" t="s">
        <v>111</v>
      </c>
      <c r="D1420" s="11" t="s">
        <v>67</v>
      </c>
      <c r="E1420" s="11" t="s">
        <v>79</v>
      </c>
      <c r="F1420" s="12" t="n">
        <v>3545808</v>
      </c>
      <c r="G1420" s="12" t="n">
        <v>3350000</v>
      </c>
      <c r="H1420" s="11" t="n">
        <v>11</v>
      </c>
      <c r="I1420" s="11" t="s">
        <v>69</v>
      </c>
      <c r="J1420" s="11" t="s">
        <v>80</v>
      </c>
      <c r="K1420" s="11" t="s">
        <v>81</v>
      </c>
      <c r="L1420" s="11" t="s">
        <v>82</v>
      </c>
      <c r="M1420" s="11" t="s">
        <v>73</v>
      </c>
      <c r="N1420" s="11" t="s">
        <v>133</v>
      </c>
      <c r="O1420" s="11" t="s">
        <v>60</v>
      </c>
      <c r="P1420" s="11" t="s">
        <v>76</v>
      </c>
      <c r="Q1420" s="13" t="n">
        <f aca="false">F1420*H1420</f>
        <v>39003888</v>
      </c>
      <c r="R1420" s="13" t="n">
        <f aca="false">G1420*H1420</f>
        <v>36850000</v>
      </c>
      <c r="S1420" s="13" t="n">
        <f aca="false">Q1420-R1420</f>
        <v>2153888</v>
      </c>
      <c r="T1420" s="14" t="n">
        <f aca="false">IFERROR(S1420/Q1420,0)</f>
        <v>0.0552223921881839</v>
      </c>
      <c r="U1420" s="15" t="str">
        <f aca="false">TEXT(A1420,"yyyy-mm")</f>
        <v>2022-06</v>
      </c>
    </row>
    <row r="1421" customFormat="false" ht="15" hidden="false" customHeight="false" outlineLevel="0" collapsed="false">
      <c r="A1421" s="10" t="n">
        <v>44715</v>
      </c>
      <c r="B1421" s="11" t="s">
        <v>1553</v>
      </c>
      <c r="C1421" s="11" t="s">
        <v>115</v>
      </c>
      <c r="D1421" s="11" t="s">
        <v>67</v>
      </c>
      <c r="E1421" s="11" t="s">
        <v>98</v>
      </c>
      <c r="F1421" s="12" t="n">
        <v>4200743</v>
      </c>
      <c r="G1421" s="12" t="n">
        <v>4101000</v>
      </c>
      <c r="H1421" s="11" t="n">
        <v>6</v>
      </c>
      <c r="I1421" s="11" t="s">
        <v>69</v>
      </c>
      <c r="J1421" s="11" t="s">
        <v>80</v>
      </c>
      <c r="K1421" s="11" t="s">
        <v>81</v>
      </c>
      <c r="L1421" s="11" t="s">
        <v>82</v>
      </c>
      <c r="M1421" s="11" t="s">
        <v>73</v>
      </c>
      <c r="N1421" s="11" t="s">
        <v>93</v>
      </c>
      <c r="O1421" s="11" t="s">
        <v>94</v>
      </c>
      <c r="P1421" s="11" t="s">
        <v>95</v>
      </c>
      <c r="Q1421" s="13" t="n">
        <f aca="false">F1421*H1421</f>
        <v>25204458</v>
      </c>
      <c r="R1421" s="13" t="n">
        <f aca="false">G1421*H1421</f>
        <v>24606000</v>
      </c>
      <c r="S1421" s="13" t="n">
        <f aca="false">Q1421-R1421</f>
        <v>598458</v>
      </c>
      <c r="T1421" s="14" t="n">
        <f aca="false">IFERROR(S1421/Q1421,0)</f>
        <v>0.023744132883159</v>
      </c>
      <c r="U1421" s="15" t="str">
        <f aca="false">TEXT(A1421,"yyyy-mm")</f>
        <v>2022-06</v>
      </c>
    </row>
    <row r="1422" customFormat="false" ht="15" hidden="false" customHeight="false" outlineLevel="0" collapsed="false">
      <c r="A1422" s="10" t="n">
        <v>44715</v>
      </c>
      <c r="B1422" s="11" t="s">
        <v>1554</v>
      </c>
      <c r="C1422" s="11" t="s">
        <v>117</v>
      </c>
      <c r="D1422" s="11" t="s">
        <v>118</v>
      </c>
      <c r="E1422" s="11" t="s">
        <v>119</v>
      </c>
      <c r="F1422" s="12" t="n">
        <v>8220549</v>
      </c>
      <c r="G1422" s="12" t="n">
        <v>6500000</v>
      </c>
      <c r="H1422" s="11" t="n">
        <v>10</v>
      </c>
      <c r="I1422" s="11" t="s">
        <v>69</v>
      </c>
      <c r="J1422" s="11" t="s">
        <v>80</v>
      </c>
      <c r="K1422" s="11" t="s">
        <v>81</v>
      </c>
      <c r="L1422" s="11" t="s">
        <v>82</v>
      </c>
      <c r="M1422" s="11" t="s">
        <v>73</v>
      </c>
      <c r="N1422" s="11" t="s">
        <v>74</v>
      </c>
      <c r="O1422" s="11" t="s">
        <v>75</v>
      </c>
      <c r="P1422" s="11" t="s">
        <v>76</v>
      </c>
      <c r="Q1422" s="13" t="n">
        <f aca="false">F1422*H1422</f>
        <v>82205490</v>
      </c>
      <c r="R1422" s="13" t="n">
        <f aca="false">G1422*H1422</f>
        <v>65000000</v>
      </c>
      <c r="S1422" s="13" t="n">
        <f aca="false">Q1422-R1422</f>
        <v>17205490</v>
      </c>
      <c r="T1422" s="14" t="n">
        <f aca="false">IFERROR(S1422/Q1422,0)</f>
        <v>0.209298551714733</v>
      </c>
      <c r="U1422" s="15" t="str">
        <f aca="false">TEXT(A1422,"yyyy-mm")</f>
        <v>2022-06</v>
      </c>
    </row>
    <row r="1423" customFormat="false" ht="15" hidden="false" customHeight="false" outlineLevel="0" collapsed="false">
      <c r="A1423" s="10" t="n">
        <v>44715</v>
      </c>
      <c r="B1423" s="11" t="s">
        <v>1555</v>
      </c>
      <c r="C1423" s="11" t="s">
        <v>121</v>
      </c>
      <c r="D1423" s="11" t="s">
        <v>118</v>
      </c>
      <c r="E1423" s="11" t="s">
        <v>122</v>
      </c>
      <c r="F1423" s="12" t="n">
        <v>7687274</v>
      </c>
      <c r="G1423" s="12" t="n">
        <v>6500000</v>
      </c>
      <c r="H1423" s="11" t="n">
        <v>14</v>
      </c>
      <c r="I1423" s="11" t="s">
        <v>69</v>
      </c>
      <c r="J1423" s="11" t="s">
        <v>80</v>
      </c>
      <c r="K1423" s="11" t="s">
        <v>81</v>
      </c>
      <c r="L1423" s="11" t="s">
        <v>82</v>
      </c>
      <c r="M1423" s="11" t="s">
        <v>73</v>
      </c>
      <c r="N1423" s="11" t="s">
        <v>99</v>
      </c>
      <c r="O1423" s="11" t="s">
        <v>100</v>
      </c>
      <c r="P1423" s="11" t="s">
        <v>101</v>
      </c>
      <c r="Q1423" s="13" t="n">
        <f aca="false">F1423*H1423</f>
        <v>107621836</v>
      </c>
      <c r="R1423" s="13" t="n">
        <f aca="false">G1423*H1423</f>
        <v>91000000</v>
      </c>
      <c r="S1423" s="13" t="n">
        <f aca="false">Q1423-R1423</f>
        <v>16621836</v>
      </c>
      <c r="T1423" s="14" t="n">
        <f aca="false">IFERROR(S1423/Q1423,0)</f>
        <v>0.154446686822923</v>
      </c>
      <c r="U1423" s="15" t="str">
        <f aca="false">TEXT(A1423,"yyyy-mm")</f>
        <v>2022-06</v>
      </c>
    </row>
    <row r="1424" customFormat="false" ht="15" hidden="false" customHeight="false" outlineLevel="0" collapsed="false">
      <c r="A1424" s="10" t="n">
        <v>44715</v>
      </c>
      <c r="B1424" s="11" t="s">
        <v>1556</v>
      </c>
      <c r="C1424" s="11" t="s">
        <v>125</v>
      </c>
      <c r="D1424" s="11" t="s">
        <v>118</v>
      </c>
      <c r="E1424" s="11" t="s">
        <v>126</v>
      </c>
      <c r="F1424" s="12" t="n">
        <v>5684211</v>
      </c>
      <c r="G1424" s="12" t="n">
        <v>4300000</v>
      </c>
      <c r="H1424" s="11" t="n">
        <v>15</v>
      </c>
      <c r="I1424" s="11" t="s">
        <v>69</v>
      </c>
      <c r="J1424" s="11" t="s">
        <v>80</v>
      </c>
      <c r="K1424" s="11" t="s">
        <v>81</v>
      </c>
      <c r="L1424" s="11" t="s">
        <v>82</v>
      </c>
      <c r="M1424" s="11" t="s">
        <v>73</v>
      </c>
      <c r="N1424" s="11" t="s">
        <v>123</v>
      </c>
      <c r="O1424" s="11" t="s">
        <v>60</v>
      </c>
      <c r="P1424" s="11" t="s">
        <v>106</v>
      </c>
      <c r="Q1424" s="13" t="n">
        <f aca="false">F1424*H1424</f>
        <v>85263165</v>
      </c>
      <c r="R1424" s="13" t="n">
        <f aca="false">G1424*H1424</f>
        <v>64500000</v>
      </c>
      <c r="S1424" s="13" t="n">
        <f aca="false">Q1424-R1424</f>
        <v>20763165</v>
      </c>
      <c r="T1424" s="14" t="n">
        <f aca="false">IFERROR(S1424/Q1424,0)</f>
        <v>0.243518581558637</v>
      </c>
      <c r="U1424" s="15" t="str">
        <f aca="false">TEXT(A1424,"yyyy-mm")</f>
        <v>2022-06</v>
      </c>
    </row>
    <row r="1425" customFormat="false" ht="15" hidden="false" customHeight="false" outlineLevel="0" collapsed="false">
      <c r="A1425" s="10" t="n">
        <v>44715</v>
      </c>
      <c r="B1425" s="11" t="s">
        <v>1557</v>
      </c>
      <c r="C1425" s="11" t="s">
        <v>128</v>
      </c>
      <c r="D1425" s="11" t="s">
        <v>118</v>
      </c>
      <c r="E1425" s="11" t="s">
        <v>119</v>
      </c>
      <c r="F1425" s="12" t="n">
        <v>3370302</v>
      </c>
      <c r="G1425" s="12" t="n">
        <v>2100000</v>
      </c>
      <c r="H1425" s="11" t="n">
        <v>22</v>
      </c>
      <c r="I1425" s="11" t="s">
        <v>86</v>
      </c>
      <c r="J1425" s="11" t="s">
        <v>87</v>
      </c>
      <c r="K1425" s="11" t="s">
        <v>88</v>
      </c>
      <c r="L1425" s="11" t="s">
        <v>89</v>
      </c>
      <c r="M1425" s="11" t="s">
        <v>90</v>
      </c>
      <c r="N1425" s="11" t="s">
        <v>93</v>
      </c>
      <c r="O1425" s="11" t="s">
        <v>94</v>
      </c>
      <c r="P1425" s="11" t="s">
        <v>95</v>
      </c>
      <c r="Q1425" s="13" t="n">
        <f aca="false">F1425*H1425</f>
        <v>74146644</v>
      </c>
      <c r="R1425" s="13" t="n">
        <f aca="false">G1425*H1425</f>
        <v>46200000</v>
      </c>
      <c r="S1425" s="13" t="n">
        <f aca="false">Q1425-R1425</f>
        <v>27946644</v>
      </c>
      <c r="T1425" s="14" t="n">
        <f aca="false">IFERROR(S1425/Q1425,0)</f>
        <v>0.37691043710623</v>
      </c>
      <c r="U1425" s="15" t="str">
        <f aca="false">TEXT(A1425,"yyyy-mm")</f>
        <v>2022-06</v>
      </c>
    </row>
    <row r="1426" customFormat="false" ht="15" hidden="false" customHeight="false" outlineLevel="0" collapsed="false">
      <c r="A1426" s="10" t="n">
        <v>44716</v>
      </c>
      <c r="B1426" s="11" t="s">
        <v>1558</v>
      </c>
      <c r="C1426" s="11" t="s">
        <v>130</v>
      </c>
      <c r="D1426" s="11" t="s">
        <v>118</v>
      </c>
      <c r="E1426" s="11" t="s">
        <v>68</v>
      </c>
      <c r="F1426" s="12" t="n">
        <v>2852897</v>
      </c>
      <c r="G1426" s="12" t="n">
        <v>2450000</v>
      </c>
      <c r="H1426" s="11" t="n">
        <v>8</v>
      </c>
      <c r="I1426" s="11" t="s">
        <v>69</v>
      </c>
      <c r="J1426" s="11" t="s">
        <v>80</v>
      </c>
      <c r="K1426" s="11" t="s">
        <v>81</v>
      </c>
      <c r="L1426" s="11" t="s">
        <v>82</v>
      </c>
      <c r="M1426" s="11" t="s">
        <v>73</v>
      </c>
      <c r="N1426" s="11" t="s">
        <v>133</v>
      </c>
      <c r="O1426" s="11" t="s">
        <v>60</v>
      </c>
      <c r="P1426" s="11" t="s">
        <v>76</v>
      </c>
      <c r="Q1426" s="13" t="n">
        <f aca="false">F1426*H1426</f>
        <v>22823176</v>
      </c>
      <c r="R1426" s="13" t="n">
        <f aca="false">G1426*H1426</f>
        <v>19600000</v>
      </c>
      <c r="S1426" s="13" t="n">
        <f aca="false">Q1426-R1426</f>
        <v>3223176</v>
      </c>
      <c r="T1426" s="14" t="n">
        <f aca="false">IFERROR(S1426/Q1426,0)</f>
        <v>0.141223815651249</v>
      </c>
      <c r="U1426" s="15" t="str">
        <f aca="false">TEXT(A1426,"yyyy-mm")</f>
        <v>2022-06</v>
      </c>
    </row>
    <row r="1427" customFormat="false" ht="15" hidden="false" customHeight="false" outlineLevel="0" collapsed="false">
      <c r="A1427" s="10" t="n">
        <v>44717</v>
      </c>
      <c r="B1427" s="11" t="s">
        <v>1559</v>
      </c>
      <c r="C1427" s="11" t="s">
        <v>132</v>
      </c>
      <c r="D1427" s="11" t="s">
        <v>118</v>
      </c>
      <c r="E1427" s="11" t="s">
        <v>68</v>
      </c>
      <c r="F1427" s="12" t="n">
        <v>4803603</v>
      </c>
      <c r="G1427" s="12" t="n">
        <v>4121000</v>
      </c>
      <c r="H1427" s="11" t="n">
        <v>14</v>
      </c>
      <c r="I1427" s="11" t="s">
        <v>69</v>
      </c>
      <c r="J1427" s="11" t="s">
        <v>80</v>
      </c>
      <c r="K1427" s="11" t="s">
        <v>81</v>
      </c>
      <c r="L1427" s="11" t="s">
        <v>82</v>
      </c>
      <c r="M1427" s="11" t="s">
        <v>73</v>
      </c>
      <c r="N1427" s="11" t="s">
        <v>104</v>
      </c>
      <c r="O1427" s="11" t="s">
        <v>105</v>
      </c>
      <c r="P1427" s="11" t="s">
        <v>106</v>
      </c>
      <c r="Q1427" s="13" t="n">
        <f aca="false">F1427*H1427</f>
        <v>67250442</v>
      </c>
      <c r="R1427" s="13" t="n">
        <f aca="false">G1427*H1427</f>
        <v>57694000</v>
      </c>
      <c r="S1427" s="13" t="n">
        <f aca="false">Q1427-R1427</f>
        <v>9556442</v>
      </c>
      <c r="T1427" s="14" t="n">
        <f aca="false">IFERROR(S1427/Q1427,0)</f>
        <v>0.142102292799801</v>
      </c>
      <c r="U1427" s="15" t="str">
        <f aca="false">TEXT(A1427,"yyyy-mm")</f>
        <v>2022-06</v>
      </c>
    </row>
    <row r="1428" customFormat="false" ht="15" hidden="false" customHeight="false" outlineLevel="0" collapsed="false">
      <c r="A1428" s="10" t="n">
        <v>44717</v>
      </c>
      <c r="B1428" s="11" t="s">
        <v>1560</v>
      </c>
      <c r="C1428" s="11" t="s">
        <v>135</v>
      </c>
      <c r="D1428" s="11" t="s">
        <v>118</v>
      </c>
      <c r="E1428" s="11" t="s">
        <v>68</v>
      </c>
      <c r="F1428" s="12" t="n">
        <v>5689947</v>
      </c>
      <c r="G1428" s="12" t="n">
        <v>5235000</v>
      </c>
      <c r="H1428" s="11" t="n">
        <v>26</v>
      </c>
      <c r="I1428" s="11" t="s">
        <v>86</v>
      </c>
      <c r="J1428" s="11" t="s">
        <v>87</v>
      </c>
      <c r="K1428" s="11" t="s">
        <v>88</v>
      </c>
      <c r="L1428" s="11" t="s">
        <v>89</v>
      </c>
      <c r="M1428" s="11" t="s">
        <v>90</v>
      </c>
      <c r="N1428" s="11" t="s">
        <v>149</v>
      </c>
      <c r="O1428" s="11" t="s">
        <v>150</v>
      </c>
      <c r="P1428" s="11" t="s">
        <v>151</v>
      </c>
      <c r="Q1428" s="13" t="n">
        <f aca="false">F1428*H1428</f>
        <v>147938622</v>
      </c>
      <c r="R1428" s="13" t="n">
        <f aca="false">G1428*H1428</f>
        <v>136110000</v>
      </c>
      <c r="S1428" s="13" t="n">
        <f aca="false">Q1428-R1428</f>
        <v>11828622</v>
      </c>
      <c r="T1428" s="14" t="n">
        <f aca="false">IFERROR(S1428/Q1428,0)</f>
        <v>0.0799562807878527</v>
      </c>
      <c r="U1428" s="15" t="str">
        <f aca="false">TEXT(A1428,"yyyy-mm")</f>
        <v>2022-06</v>
      </c>
    </row>
    <row r="1429" customFormat="false" ht="15" hidden="false" customHeight="false" outlineLevel="0" collapsed="false">
      <c r="A1429" s="10" t="n">
        <v>44718</v>
      </c>
      <c r="B1429" s="11" t="s">
        <v>1561</v>
      </c>
      <c r="C1429" s="11" t="s">
        <v>137</v>
      </c>
      <c r="D1429" s="11" t="s">
        <v>138</v>
      </c>
      <c r="E1429" s="11" t="s">
        <v>139</v>
      </c>
      <c r="F1429" s="12" t="n">
        <v>5171827</v>
      </c>
      <c r="G1429" s="12" t="n">
        <v>4890000</v>
      </c>
      <c r="H1429" s="11" t="n">
        <v>14</v>
      </c>
      <c r="I1429" s="11" t="s">
        <v>69</v>
      </c>
      <c r="J1429" s="11" t="s">
        <v>112</v>
      </c>
      <c r="K1429" s="11" t="s">
        <v>113</v>
      </c>
      <c r="L1429" s="11" t="s">
        <v>82</v>
      </c>
      <c r="M1429" s="11" t="s">
        <v>157</v>
      </c>
      <c r="N1429" s="11" t="s">
        <v>173</v>
      </c>
      <c r="O1429" s="11" t="s">
        <v>174</v>
      </c>
      <c r="P1429" s="11" t="s">
        <v>95</v>
      </c>
      <c r="Q1429" s="13" t="n">
        <f aca="false">F1429*H1429</f>
        <v>72405578</v>
      </c>
      <c r="R1429" s="13" t="n">
        <f aca="false">G1429*H1429</f>
        <v>68460000</v>
      </c>
      <c r="S1429" s="13" t="n">
        <f aca="false">Q1429-R1429</f>
        <v>3945578</v>
      </c>
      <c r="T1429" s="14" t="n">
        <f aca="false">IFERROR(S1429/Q1429,0)</f>
        <v>0.0544927353525166</v>
      </c>
      <c r="U1429" s="15" t="str">
        <f aca="false">TEXT(A1429,"yyyy-mm")</f>
        <v>2022-06</v>
      </c>
    </row>
    <row r="1430" customFormat="false" ht="15" hidden="false" customHeight="false" outlineLevel="0" collapsed="false">
      <c r="A1430" s="10" t="n">
        <v>44719</v>
      </c>
      <c r="B1430" s="11" t="s">
        <v>1562</v>
      </c>
      <c r="C1430" s="11" t="s">
        <v>141</v>
      </c>
      <c r="D1430" s="11" t="s">
        <v>138</v>
      </c>
      <c r="E1430" s="11" t="s">
        <v>142</v>
      </c>
      <c r="F1430" s="12" t="n">
        <v>2805124</v>
      </c>
      <c r="G1430" s="12" t="n">
        <v>2178000</v>
      </c>
      <c r="H1430" s="11" t="n">
        <v>26</v>
      </c>
      <c r="I1430" s="11" t="s">
        <v>69</v>
      </c>
      <c r="J1430" s="11" t="s">
        <v>80</v>
      </c>
      <c r="K1430" s="11" t="s">
        <v>81</v>
      </c>
      <c r="L1430" s="11" t="s">
        <v>82</v>
      </c>
      <c r="M1430" s="11" t="s">
        <v>73</v>
      </c>
      <c r="N1430" s="11" t="s">
        <v>123</v>
      </c>
      <c r="O1430" s="11" t="s">
        <v>60</v>
      </c>
      <c r="P1430" s="11" t="s">
        <v>106</v>
      </c>
      <c r="Q1430" s="13" t="n">
        <f aca="false">F1430*H1430</f>
        <v>72933224</v>
      </c>
      <c r="R1430" s="13" t="n">
        <f aca="false">G1430*H1430</f>
        <v>56628000</v>
      </c>
      <c r="S1430" s="13" t="n">
        <f aca="false">Q1430-R1430</f>
        <v>16305224</v>
      </c>
      <c r="T1430" s="14" t="n">
        <f aca="false">IFERROR(S1430/Q1430,0)</f>
        <v>0.22356373550688</v>
      </c>
      <c r="U1430" s="15" t="str">
        <f aca="false">TEXT(A1430,"yyyy-mm")</f>
        <v>2022-06</v>
      </c>
    </row>
    <row r="1431" customFormat="false" ht="15" hidden="false" customHeight="false" outlineLevel="0" collapsed="false">
      <c r="A1431" s="10" t="n">
        <v>44721</v>
      </c>
      <c r="B1431" s="11" t="s">
        <v>1563</v>
      </c>
      <c r="C1431" s="11" t="s">
        <v>146</v>
      </c>
      <c r="D1431" s="11" t="s">
        <v>138</v>
      </c>
      <c r="E1431" s="11" t="s">
        <v>139</v>
      </c>
      <c r="F1431" s="12" t="n">
        <v>2728100</v>
      </c>
      <c r="G1431" s="12" t="n">
        <v>2321000</v>
      </c>
      <c r="H1431" s="11" t="n">
        <v>23</v>
      </c>
      <c r="I1431" s="11" t="s">
        <v>69</v>
      </c>
      <c r="J1431" s="11" t="s">
        <v>70</v>
      </c>
      <c r="K1431" s="11" t="s">
        <v>71</v>
      </c>
      <c r="L1431" s="11" t="s">
        <v>72</v>
      </c>
      <c r="M1431" s="11" t="s">
        <v>73</v>
      </c>
      <c r="N1431" s="11" t="s">
        <v>74</v>
      </c>
      <c r="O1431" s="11" t="s">
        <v>75</v>
      </c>
      <c r="P1431" s="11" t="s">
        <v>76</v>
      </c>
      <c r="Q1431" s="13" t="n">
        <f aca="false">F1431*H1431</f>
        <v>62746300</v>
      </c>
      <c r="R1431" s="13" t="n">
        <f aca="false">G1431*H1431</f>
        <v>53383000</v>
      </c>
      <c r="S1431" s="13" t="n">
        <f aca="false">Q1431-R1431</f>
        <v>9363300</v>
      </c>
      <c r="T1431" s="14" t="n">
        <f aca="false">IFERROR(S1431/Q1431,0)</f>
        <v>0.149224735163667</v>
      </c>
      <c r="U1431" s="15" t="str">
        <f aca="false">TEXT(A1431,"yyyy-mm")</f>
        <v>2022-06</v>
      </c>
    </row>
    <row r="1432" customFormat="false" ht="15" hidden="false" customHeight="false" outlineLevel="0" collapsed="false">
      <c r="A1432" s="10" t="n">
        <v>44721</v>
      </c>
      <c r="B1432" s="11" t="s">
        <v>1564</v>
      </c>
      <c r="C1432" s="11" t="s">
        <v>148</v>
      </c>
      <c r="D1432" s="11" t="s">
        <v>138</v>
      </c>
      <c r="E1432" s="11" t="s">
        <v>122</v>
      </c>
      <c r="F1432" s="12" t="n">
        <v>4941716</v>
      </c>
      <c r="G1432" s="12" t="n">
        <v>4456000</v>
      </c>
      <c r="H1432" s="11" t="n">
        <v>13</v>
      </c>
      <c r="I1432" s="11" t="s">
        <v>86</v>
      </c>
      <c r="J1432" s="11" t="s">
        <v>87</v>
      </c>
      <c r="K1432" s="11" t="s">
        <v>88</v>
      </c>
      <c r="L1432" s="11" t="s">
        <v>89</v>
      </c>
      <c r="M1432" s="11" t="s">
        <v>90</v>
      </c>
      <c r="N1432" s="11" t="s">
        <v>143</v>
      </c>
      <c r="O1432" s="11" t="s">
        <v>144</v>
      </c>
      <c r="P1432" s="11" t="s">
        <v>101</v>
      </c>
      <c r="Q1432" s="13" t="n">
        <f aca="false">F1432*H1432</f>
        <v>64242308</v>
      </c>
      <c r="R1432" s="13" t="n">
        <f aca="false">G1432*H1432</f>
        <v>57928000</v>
      </c>
      <c r="S1432" s="13" t="n">
        <f aca="false">Q1432-R1432</f>
        <v>6314308</v>
      </c>
      <c r="T1432" s="14" t="n">
        <f aca="false">IFERROR(S1432/Q1432,0)</f>
        <v>0.0982889344511097</v>
      </c>
      <c r="U1432" s="15" t="str">
        <f aca="false">TEXT(A1432,"yyyy-mm")</f>
        <v>2022-06</v>
      </c>
    </row>
    <row r="1433" customFormat="false" ht="15" hidden="false" customHeight="false" outlineLevel="0" collapsed="false">
      <c r="A1433" s="10" t="n">
        <v>44721</v>
      </c>
      <c r="B1433" s="11" t="s">
        <v>1565</v>
      </c>
      <c r="C1433" s="11" t="s">
        <v>66</v>
      </c>
      <c r="D1433" s="11" t="s">
        <v>67</v>
      </c>
      <c r="E1433" s="11" t="s">
        <v>68</v>
      </c>
      <c r="F1433" s="12" t="n">
        <v>3048952</v>
      </c>
      <c r="G1433" s="12" t="n">
        <v>2560000</v>
      </c>
      <c r="H1433" s="11" t="n">
        <v>12</v>
      </c>
      <c r="I1433" s="11" t="s">
        <v>69</v>
      </c>
      <c r="J1433" s="11" t="s">
        <v>70</v>
      </c>
      <c r="K1433" s="11" t="s">
        <v>71</v>
      </c>
      <c r="L1433" s="11" t="s">
        <v>72</v>
      </c>
      <c r="M1433" s="11" t="s">
        <v>73</v>
      </c>
      <c r="N1433" s="11" t="s">
        <v>123</v>
      </c>
      <c r="O1433" s="11" t="s">
        <v>60</v>
      </c>
      <c r="P1433" s="11" t="s">
        <v>106</v>
      </c>
      <c r="Q1433" s="13" t="n">
        <f aca="false">F1433*H1433</f>
        <v>36587424</v>
      </c>
      <c r="R1433" s="13" t="n">
        <f aca="false">G1433*H1433</f>
        <v>30720000</v>
      </c>
      <c r="S1433" s="13" t="n">
        <f aca="false">Q1433-R1433</f>
        <v>5867424</v>
      </c>
      <c r="T1433" s="14" t="n">
        <f aca="false">IFERROR(S1433/Q1433,0)</f>
        <v>0.160367234380863</v>
      </c>
      <c r="U1433" s="15" t="str">
        <f aca="false">TEXT(A1433,"yyyy-mm")</f>
        <v>2022-06</v>
      </c>
    </row>
    <row r="1434" customFormat="false" ht="15" hidden="false" customHeight="false" outlineLevel="0" collapsed="false">
      <c r="A1434" s="10" t="n">
        <v>44722</v>
      </c>
      <c r="B1434" s="11" t="s">
        <v>1566</v>
      </c>
      <c r="C1434" s="11" t="s">
        <v>78</v>
      </c>
      <c r="D1434" s="11" t="s">
        <v>67</v>
      </c>
      <c r="E1434" s="11" t="s">
        <v>79</v>
      </c>
      <c r="F1434" s="12" t="n">
        <v>1870000</v>
      </c>
      <c r="G1434" s="12" t="n">
        <v>1650000</v>
      </c>
      <c r="H1434" s="11" t="n">
        <v>24</v>
      </c>
      <c r="I1434" s="11" t="s">
        <v>69</v>
      </c>
      <c r="J1434" s="11" t="s">
        <v>80</v>
      </c>
      <c r="K1434" s="11" t="s">
        <v>81</v>
      </c>
      <c r="L1434" s="11" t="s">
        <v>82</v>
      </c>
      <c r="M1434" s="11" t="s">
        <v>73</v>
      </c>
      <c r="N1434" s="11" t="s">
        <v>133</v>
      </c>
      <c r="O1434" s="11" t="s">
        <v>60</v>
      </c>
      <c r="P1434" s="11" t="s">
        <v>76</v>
      </c>
      <c r="Q1434" s="13" t="n">
        <f aca="false">F1434*H1434</f>
        <v>44880000</v>
      </c>
      <c r="R1434" s="13" t="n">
        <f aca="false">G1434*H1434</f>
        <v>39600000</v>
      </c>
      <c r="S1434" s="13" t="n">
        <f aca="false">Q1434-R1434</f>
        <v>5280000</v>
      </c>
      <c r="T1434" s="14" t="n">
        <f aca="false">IFERROR(S1434/Q1434,0)</f>
        <v>0.117647058823529</v>
      </c>
      <c r="U1434" s="15" t="str">
        <f aca="false">TEXT(A1434,"yyyy-mm")</f>
        <v>2022-06</v>
      </c>
    </row>
    <row r="1435" customFormat="false" ht="15" hidden="false" customHeight="false" outlineLevel="0" collapsed="false">
      <c r="A1435" s="10" t="n">
        <v>44722</v>
      </c>
      <c r="B1435" s="11" t="s">
        <v>1567</v>
      </c>
      <c r="C1435" s="11" t="s">
        <v>84</v>
      </c>
      <c r="D1435" s="11" t="s">
        <v>67</v>
      </c>
      <c r="E1435" s="11" t="s">
        <v>85</v>
      </c>
      <c r="F1435" s="12" t="n">
        <v>2600000</v>
      </c>
      <c r="G1435" s="12" t="n">
        <v>2300000</v>
      </c>
      <c r="H1435" s="11" t="n">
        <v>19</v>
      </c>
      <c r="I1435" s="11" t="s">
        <v>69</v>
      </c>
      <c r="J1435" s="11" t="s">
        <v>70</v>
      </c>
      <c r="K1435" s="11" t="s">
        <v>71</v>
      </c>
      <c r="L1435" s="11" t="s">
        <v>72</v>
      </c>
      <c r="M1435" s="11" t="s">
        <v>73</v>
      </c>
      <c r="N1435" s="11" t="s">
        <v>109</v>
      </c>
      <c r="O1435" s="11" t="s">
        <v>75</v>
      </c>
      <c r="P1435" s="11" t="s">
        <v>95</v>
      </c>
      <c r="Q1435" s="13" t="n">
        <f aca="false">F1435*H1435</f>
        <v>49400000</v>
      </c>
      <c r="R1435" s="13" t="n">
        <f aca="false">G1435*H1435</f>
        <v>43700000</v>
      </c>
      <c r="S1435" s="13" t="n">
        <f aca="false">Q1435-R1435</f>
        <v>5700000</v>
      </c>
      <c r="T1435" s="14" t="n">
        <f aca="false">IFERROR(S1435/Q1435,0)</f>
        <v>0.115384615384615</v>
      </c>
      <c r="U1435" s="15" t="str">
        <f aca="false">TEXT(A1435,"yyyy-mm")</f>
        <v>2022-06</v>
      </c>
    </row>
    <row r="1436" customFormat="false" ht="15" hidden="false" customHeight="false" outlineLevel="0" collapsed="false">
      <c r="A1436" s="10" t="n">
        <v>44722</v>
      </c>
      <c r="B1436" s="11" t="s">
        <v>1568</v>
      </c>
      <c r="C1436" s="11" t="s">
        <v>92</v>
      </c>
      <c r="D1436" s="11" t="s">
        <v>67</v>
      </c>
      <c r="E1436" s="11" t="s">
        <v>79</v>
      </c>
      <c r="F1436" s="12" t="n">
        <v>3577480</v>
      </c>
      <c r="G1436" s="12" t="n">
        <v>3100000</v>
      </c>
      <c r="H1436" s="11" t="n">
        <v>29</v>
      </c>
      <c r="I1436" s="11" t="s">
        <v>69</v>
      </c>
      <c r="J1436" s="11" t="s">
        <v>112</v>
      </c>
      <c r="K1436" s="11" t="s">
        <v>113</v>
      </c>
      <c r="L1436" s="11" t="s">
        <v>82</v>
      </c>
      <c r="M1436" s="11" t="s">
        <v>157</v>
      </c>
      <c r="N1436" s="11" t="s">
        <v>104</v>
      </c>
      <c r="O1436" s="11" t="s">
        <v>105</v>
      </c>
      <c r="P1436" s="11" t="s">
        <v>106</v>
      </c>
      <c r="Q1436" s="13" t="n">
        <f aca="false">F1436*H1436</f>
        <v>103746920</v>
      </c>
      <c r="R1436" s="13" t="n">
        <f aca="false">G1436*H1436</f>
        <v>89900000</v>
      </c>
      <c r="S1436" s="13" t="n">
        <f aca="false">Q1436-R1436</f>
        <v>13846920</v>
      </c>
      <c r="T1436" s="14" t="n">
        <f aca="false">IFERROR(S1436/Q1436,0)</f>
        <v>0.133468251394837</v>
      </c>
      <c r="U1436" s="15" t="str">
        <f aca="false">TEXT(A1436,"yyyy-mm")</f>
        <v>2022-06</v>
      </c>
    </row>
    <row r="1437" customFormat="false" ht="15" hidden="false" customHeight="false" outlineLevel="0" collapsed="false">
      <c r="A1437" s="10" t="n">
        <v>44723</v>
      </c>
      <c r="B1437" s="11" t="s">
        <v>1569</v>
      </c>
      <c r="C1437" s="11" t="s">
        <v>97</v>
      </c>
      <c r="D1437" s="11" t="s">
        <v>67</v>
      </c>
      <c r="E1437" s="11" t="s">
        <v>98</v>
      </c>
      <c r="F1437" s="12" t="n">
        <v>4969724</v>
      </c>
      <c r="G1437" s="12" t="n">
        <v>4121560</v>
      </c>
      <c r="H1437" s="11" t="n">
        <v>3</v>
      </c>
      <c r="I1437" s="11" t="s">
        <v>69</v>
      </c>
      <c r="J1437" s="11" t="s">
        <v>80</v>
      </c>
      <c r="K1437" s="11" t="s">
        <v>81</v>
      </c>
      <c r="L1437" s="11" t="s">
        <v>82</v>
      </c>
      <c r="M1437" s="11" t="s">
        <v>73</v>
      </c>
      <c r="N1437" s="11" t="s">
        <v>74</v>
      </c>
      <c r="O1437" s="11" t="s">
        <v>75</v>
      </c>
      <c r="P1437" s="11" t="s">
        <v>76</v>
      </c>
      <c r="Q1437" s="13" t="n">
        <f aca="false">F1437*H1437</f>
        <v>14909172</v>
      </c>
      <c r="R1437" s="13" t="n">
        <f aca="false">G1437*H1437</f>
        <v>12364680</v>
      </c>
      <c r="S1437" s="13" t="n">
        <f aca="false">Q1437-R1437</f>
        <v>2544492</v>
      </c>
      <c r="T1437" s="14" t="n">
        <f aca="false">IFERROR(S1437/Q1437,0)</f>
        <v>0.170666218083741</v>
      </c>
      <c r="U1437" s="15" t="str">
        <f aca="false">TEXT(A1437,"yyyy-mm")</f>
        <v>2022-06</v>
      </c>
    </row>
    <row r="1438" customFormat="false" ht="15" hidden="false" customHeight="false" outlineLevel="0" collapsed="false">
      <c r="A1438" s="10" t="n">
        <v>44723</v>
      </c>
      <c r="B1438" s="11" t="s">
        <v>1570</v>
      </c>
      <c r="C1438" s="11" t="s">
        <v>103</v>
      </c>
      <c r="D1438" s="11" t="s">
        <v>67</v>
      </c>
      <c r="E1438" s="11" t="s">
        <v>68</v>
      </c>
      <c r="F1438" s="12" t="n">
        <v>3319925</v>
      </c>
      <c r="G1438" s="12" t="n">
        <v>2800000</v>
      </c>
      <c r="H1438" s="11" t="n">
        <v>11</v>
      </c>
      <c r="I1438" s="11" t="s">
        <v>69</v>
      </c>
      <c r="J1438" s="11" t="s">
        <v>112</v>
      </c>
      <c r="K1438" s="11" t="s">
        <v>113</v>
      </c>
      <c r="L1438" s="11" t="s">
        <v>82</v>
      </c>
      <c r="M1438" s="11" t="s">
        <v>157</v>
      </c>
      <c r="N1438" s="11" t="s">
        <v>109</v>
      </c>
      <c r="O1438" s="11" t="s">
        <v>75</v>
      </c>
      <c r="P1438" s="11" t="s">
        <v>95</v>
      </c>
      <c r="Q1438" s="13" t="n">
        <f aca="false">F1438*H1438</f>
        <v>36519175</v>
      </c>
      <c r="R1438" s="13" t="n">
        <f aca="false">G1438*H1438</f>
        <v>30800000</v>
      </c>
      <c r="S1438" s="13" t="n">
        <f aca="false">Q1438-R1438</f>
        <v>5719175</v>
      </c>
      <c r="T1438" s="14" t="n">
        <f aca="false">IFERROR(S1438/Q1438,0)</f>
        <v>0.15660745348163</v>
      </c>
      <c r="U1438" s="15" t="str">
        <f aca="false">TEXT(A1438,"yyyy-mm")</f>
        <v>2022-06</v>
      </c>
    </row>
    <row r="1439" customFormat="false" ht="15" hidden="false" customHeight="false" outlineLevel="0" collapsed="false">
      <c r="A1439" s="10" t="n">
        <v>44723</v>
      </c>
      <c r="B1439" s="11" t="s">
        <v>1571</v>
      </c>
      <c r="C1439" s="11" t="s">
        <v>108</v>
      </c>
      <c r="D1439" s="11" t="s">
        <v>67</v>
      </c>
      <c r="E1439" s="11" t="s">
        <v>68</v>
      </c>
      <c r="F1439" s="12" t="n">
        <v>4757880</v>
      </c>
      <c r="G1439" s="12" t="n">
        <v>3450000</v>
      </c>
      <c r="H1439" s="11" t="n">
        <v>1</v>
      </c>
      <c r="I1439" s="11" t="s">
        <v>69</v>
      </c>
      <c r="J1439" s="11" t="s">
        <v>80</v>
      </c>
      <c r="K1439" s="11" t="s">
        <v>81</v>
      </c>
      <c r="L1439" s="11" t="s">
        <v>82</v>
      </c>
      <c r="M1439" s="11" t="s">
        <v>73</v>
      </c>
      <c r="N1439" s="11" t="s">
        <v>123</v>
      </c>
      <c r="O1439" s="11" t="s">
        <v>60</v>
      </c>
      <c r="P1439" s="11" t="s">
        <v>106</v>
      </c>
      <c r="Q1439" s="13" t="n">
        <f aca="false">F1439*H1439</f>
        <v>4757880</v>
      </c>
      <c r="R1439" s="13" t="n">
        <f aca="false">G1439*H1439</f>
        <v>3450000</v>
      </c>
      <c r="S1439" s="13" t="n">
        <f aca="false">Q1439-R1439</f>
        <v>1307880</v>
      </c>
      <c r="T1439" s="14" t="n">
        <f aca="false">IFERROR(S1439/Q1439,0)</f>
        <v>0.274887134606169</v>
      </c>
      <c r="U1439" s="15" t="str">
        <f aca="false">TEXT(A1439,"yyyy-mm")</f>
        <v>2022-06</v>
      </c>
    </row>
    <row r="1440" customFormat="false" ht="15" hidden="false" customHeight="false" outlineLevel="0" collapsed="false">
      <c r="A1440" s="10" t="n">
        <v>44723</v>
      </c>
      <c r="B1440" s="11" t="s">
        <v>1572</v>
      </c>
      <c r="C1440" s="11" t="s">
        <v>111</v>
      </c>
      <c r="D1440" s="11" t="s">
        <v>67</v>
      </c>
      <c r="E1440" s="11" t="s">
        <v>79</v>
      </c>
      <c r="F1440" s="12" t="n">
        <v>3545808</v>
      </c>
      <c r="G1440" s="12" t="n">
        <v>3350000</v>
      </c>
      <c r="H1440" s="11" t="n">
        <v>6</v>
      </c>
      <c r="I1440" s="11" t="s">
        <v>69</v>
      </c>
      <c r="J1440" s="11" t="s">
        <v>80</v>
      </c>
      <c r="K1440" s="11" t="s">
        <v>81</v>
      </c>
      <c r="L1440" s="11" t="s">
        <v>82</v>
      </c>
      <c r="M1440" s="11" t="s">
        <v>73</v>
      </c>
      <c r="N1440" s="11" t="s">
        <v>93</v>
      </c>
      <c r="O1440" s="11" t="s">
        <v>94</v>
      </c>
      <c r="P1440" s="11" t="s">
        <v>95</v>
      </c>
      <c r="Q1440" s="13" t="n">
        <f aca="false">F1440*H1440</f>
        <v>21274848</v>
      </c>
      <c r="R1440" s="13" t="n">
        <f aca="false">G1440*H1440</f>
        <v>20100000</v>
      </c>
      <c r="S1440" s="13" t="n">
        <f aca="false">Q1440-R1440</f>
        <v>1174848</v>
      </c>
      <c r="T1440" s="14" t="n">
        <f aca="false">IFERROR(S1440/Q1440,0)</f>
        <v>0.0552223921881839</v>
      </c>
      <c r="U1440" s="15" t="str">
        <f aca="false">TEXT(A1440,"yyyy-mm")</f>
        <v>2022-06</v>
      </c>
    </row>
    <row r="1441" customFormat="false" ht="15" hidden="false" customHeight="false" outlineLevel="0" collapsed="false">
      <c r="A1441" s="10" t="n">
        <v>44724</v>
      </c>
      <c r="B1441" s="11" t="s">
        <v>1573</v>
      </c>
      <c r="C1441" s="11" t="s">
        <v>115</v>
      </c>
      <c r="D1441" s="11" t="s">
        <v>67</v>
      </c>
      <c r="E1441" s="11" t="s">
        <v>98</v>
      </c>
      <c r="F1441" s="12" t="n">
        <v>4200743</v>
      </c>
      <c r="G1441" s="12" t="n">
        <v>4101000</v>
      </c>
      <c r="H1441" s="11" t="n">
        <v>4</v>
      </c>
      <c r="I1441" s="11" t="s">
        <v>69</v>
      </c>
      <c r="J1441" s="11" t="s">
        <v>80</v>
      </c>
      <c r="K1441" s="11" t="s">
        <v>81</v>
      </c>
      <c r="L1441" s="11" t="s">
        <v>82</v>
      </c>
      <c r="M1441" s="11" t="s">
        <v>73</v>
      </c>
      <c r="N1441" s="11" t="s">
        <v>93</v>
      </c>
      <c r="O1441" s="11" t="s">
        <v>94</v>
      </c>
      <c r="P1441" s="11" t="s">
        <v>95</v>
      </c>
      <c r="Q1441" s="13" t="n">
        <f aca="false">F1441*H1441</f>
        <v>16802972</v>
      </c>
      <c r="R1441" s="13" t="n">
        <f aca="false">G1441*H1441</f>
        <v>16404000</v>
      </c>
      <c r="S1441" s="13" t="n">
        <f aca="false">Q1441-R1441</f>
        <v>398972</v>
      </c>
      <c r="T1441" s="14" t="n">
        <f aca="false">IFERROR(S1441/Q1441,0)</f>
        <v>0.023744132883159</v>
      </c>
      <c r="U1441" s="15" t="str">
        <f aca="false">TEXT(A1441,"yyyy-mm")</f>
        <v>2022-06</v>
      </c>
    </row>
    <row r="1442" customFormat="false" ht="15" hidden="false" customHeight="false" outlineLevel="0" collapsed="false">
      <c r="A1442" s="10" t="n">
        <v>44725</v>
      </c>
      <c r="B1442" s="11" t="s">
        <v>1574</v>
      </c>
      <c r="C1442" s="11" t="s">
        <v>117</v>
      </c>
      <c r="D1442" s="11" t="s">
        <v>118</v>
      </c>
      <c r="E1442" s="11" t="s">
        <v>119</v>
      </c>
      <c r="F1442" s="12" t="n">
        <v>8220549</v>
      </c>
      <c r="G1442" s="12" t="n">
        <v>6500000</v>
      </c>
      <c r="H1442" s="11" t="n">
        <v>2</v>
      </c>
      <c r="I1442" s="11" t="s">
        <v>69</v>
      </c>
      <c r="J1442" s="11" t="s">
        <v>80</v>
      </c>
      <c r="K1442" s="11" t="s">
        <v>81</v>
      </c>
      <c r="L1442" s="11" t="s">
        <v>82</v>
      </c>
      <c r="M1442" s="11" t="s">
        <v>73</v>
      </c>
      <c r="N1442" s="11" t="s">
        <v>133</v>
      </c>
      <c r="O1442" s="11" t="s">
        <v>60</v>
      </c>
      <c r="P1442" s="11" t="s">
        <v>76</v>
      </c>
      <c r="Q1442" s="13" t="n">
        <f aca="false">F1442*H1442</f>
        <v>16441098</v>
      </c>
      <c r="R1442" s="13" t="n">
        <f aca="false">G1442*H1442</f>
        <v>13000000</v>
      </c>
      <c r="S1442" s="13" t="n">
        <f aca="false">Q1442-R1442</f>
        <v>3441098</v>
      </c>
      <c r="T1442" s="14" t="n">
        <f aca="false">IFERROR(S1442/Q1442,0)</f>
        <v>0.209298551714733</v>
      </c>
      <c r="U1442" s="15" t="str">
        <f aca="false">TEXT(A1442,"yyyy-mm")</f>
        <v>2022-06</v>
      </c>
    </row>
    <row r="1443" customFormat="false" ht="15" hidden="false" customHeight="false" outlineLevel="0" collapsed="false">
      <c r="A1443" s="10" t="n">
        <v>44725</v>
      </c>
      <c r="B1443" s="11" t="s">
        <v>1575</v>
      </c>
      <c r="C1443" s="11" t="s">
        <v>121</v>
      </c>
      <c r="D1443" s="11" t="s">
        <v>118</v>
      </c>
      <c r="E1443" s="11" t="s">
        <v>122</v>
      </c>
      <c r="F1443" s="12" t="n">
        <v>7687274</v>
      </c>
      <c r="G1443" s="12" t="n">
        <v>6500000</v>
      </c>
      <c r="H1443" s="11" t="n">
        <v>1</v>
      </c>
      <c r="I1443" s="11" t="s">
        <v>69</v>
      </c>
      <c r="J1443" s="11" t="s">
        <v>80</v>
      </c>
      <c r="K1443" s="11" t="s">
        <v>81</v>
      </c>
      <c r="L1443" s="11" t="s">
        <v>82</v>
      </c>
      <c r="M1443" s="11" t="s">
        <v>73</v>
      </c>
      <c r="N1443" s="11" t="s">
        <v>143</v>
      </c>
      <c r="O1443" s="11" t="s">
        <v>144</v>
      </c>
      <c r="P1443" s="11" t="s">
        <v>101</v>
      </c>
      <c r="Q1443" s="13" t="n">
        <f aca="false">F1443*H1443</f>
        <v>7687274</v>
      </c>
      <c r="R1443" s="13" t="n">
        <f aca="false">G1443*H1443</f>
        <v>6500000</v>
      </c>
      <c r="S1443" s="13" t="n">
        <f aca="false">Q1443-R1443</f>
        <v>1187274</v>
      </c>
      <c r="T1443" s="14" t="n">
        <f aca="false">IFERROR(S1443/Q1443,0)</f>
        <v>0.154446686822923</v>
      </c>
      <c r="U1443" s="15" t="str">
        <f aca="false">TEXT(A1443,"yyyy-mm")</f>
        <v>2022-06</v>
      </c>
    </row>
    <row r="1444" customFormat="false" ht="15" hidden="false" customHeight="false" outlineLevel="0" collapsed="false">
      <c r="A1444" s="10" t="n">
        <v>44726</v>
      </c>
      <c r="B1444" s="11" t="s">
        <v>1576</v>
      </c>
      <c r="C1444" s="11" t="s">
        <v>125</v>
      </c>
      <c r="D1444" s="11" t="s">
        <v>118</v>
      </c>
      <c r="E1444" s="11" t="s">
        <v>126</v>
      </c>
      <c r="F1444" s="12" t="n">
        <v>5684211</v>
      </c>
      <c r="G1444" s="12" t="n">
        <v>4300000</v>
      </c>
      <c r="H1444" s="11" t="n">
        <v>8</v>
      </c>
      <c r="I1444" s="11" t="s">
        <v>69</v>
      </c>
      <c r="J1444" s="11" t="s">
        <v>80</v>
      </c>
      <c r="K1444" s="11" t="s">
        <v>81</v>
      </c>
      <c r="L1444" s="11" t="s">
        <v>82</v>
      </c>
      <c r="M1444" s="11" t="s">
        <v>73</v>
      </c>
      <c r="N1444" s="11" t="s">
        <v>133</v>
      </c>
      <c r="O1444" s="11" t="s">
        <v>60</v>
      </c>
      <c r="P1444" s="11" t="s">
        <v>76</v>
      </c>
      <c r="Q1444" s="13" t="n">
        <f aca="false">F1444*H1444</f>
        <v>45473688</v>
      </c>
      <c r="R1444" s="13" t="n">
        <f aca="false">G1444*H1444</f>
        <v>34400000</v>
      </c>
      <c r="S1444" s="13" t="n">
        <f aca="false">Q1444-R1444</f>
        <v>11073688</v>
      </c>
      <c r="T1444" s="14" t="n">
        <f aca="false">IFERROR(S1444/Q1444,0)</f>
        <v>0.243518581558637</v>
      </c>
      <c r="U1444" s="15" t="str">
        <f aca="false">TEXT(A1444,"yyyy-mm")</f>
        <v>2022-06</v>
      </c>
    </row>
    <row r="1445" customFormat="false" ht="15" hidden="false" customHeight="false" outlineLevel="0" collapsed="false">
      <c r="A1445" s="10" t="n">
        <v>44727</v>
      </c>
      <c r="B1445" s="11" t="s">
        <v>1577</v>
      </c>
      <c r="C1445" s="11" t="s">
        <v>128</v>
      </c>
      <c r="D1445" s="11" t="s">
        <v>118</v>
      </c>
      <c r="E1445" s="11" t="s">
        <v>119</v>
      </c>
      <c r="F1445" s="12" t="n">
        <v>3370302</v>
      </c>
      <c r="G1445" s="12" t="n">
        <v>2100000</v>
      </c>
      <c r="H1445" s="11" t="n">
        <v>5</v>
      </c>
      <c r="I1445" s="11" t="s">
        <v>86</v>
      </c>
      <c r="J1445" s="11" t="s">
        <v>87</v>
      </c>
      <c r="K1445" s="11" t="s">
        <v>88</v>
      </c>
      <c r="L1445" s="11" t="s">
        <v>89</v>
      </c>
      <c r="M1445" s="11" t="s">
        <v>90</v>
      </c>
      <c r="N1445" s="11" t="s">
        <v>74</v>
      </c>
      <c r="O1445" s="11" t="s">
        <v>75</v>
      </c>
      <c r="P1445" s="11" t="s">
        <v>76</v>
      </c>
      <c r="Q1445" s="13" t="n">
        <f aca="false">F1445*H1445</f>
        <v>16851510</v>
      </c>
      <c r="R1445" s="13" t="n">
        <f aca="false">G1445*H1445</f>
        <v>10500000</v>
      </c>
      <c r="S1445" s="13" t="n">
        <f aca="false">Q1445-R1445</f>
        <v>6351510</v>
      </c>
      <c r="T1445" s="14" t="n">
        <f aca="false">IFERROR(S1445/Q1445,0)</f>
        <v>0.37691043710623</v>
      </c>
      <c r="U1445" s="15" t="str">
        <f aca="false">TEXT(A1445,"yyyy-mm")</f>
        <v>2022-06</v>
      </c>
    </row>
    <row r="1446" customFormat="false" ht="15" hidden="false" customHeight="false" outlineLevel="0" collapsed="false">
      <c r="A1446" s="10" t="n">
        <v>44727</v>
      </c>
      <c r="B1446" s="11" t="s">
        <v>1578</v>
      </c>
      <c r="C1446" s="11" t="s">
        <v>130</v>
      </c>
      <c r="D1446" s="11" t="s">
        <v>118</v>
      </c>
      <c r="E1446" s="11" t="s">
        <v>68</v>
      </c>
      <c r="F1446" s="12" t="n">
        <v>2852897</v>
      </c>
      <c r="G1446" s="12" t="n">
        <v>2450000</v>
      </c>
      <c r="H1446" s="11" t="n">
        <v>15</v>
      </c>
      <c r="I1446" s="11" t="s">
        <v>69</v>
      </c>
      <c r="J1446" s="11" t="s">
        <v>70</v>
      </c>
      <c r="K1446" s="11" t="s">
        <v>71</v>
      </c>
      <c r="L1446" s="11" t="s">
        <v>72</v>
      </c>
      <c r="M1446" s="11" t="s">
        <v>73</v>
      </c>
      <c r="N1446" s="11" t="s">
        <v>93</v>
      </c>
      <c r="O1446" s="11" t="s">
        <v>94</v>
      </c>
      <c r="P1446" s="11" t="s">
        <v>95</v>
      </c>
      <c r="Q1446" s="13" t="n">
        <f aca="false">F1446*H1446</f>
        <v>42793455</v>
      </c>
      <c r="R1446" s="13" t="n">
        <f aca="false">G1446*H1446</f>
        <v>36750000</v>
      </c>
      <c r="S1446" s="13" t="n">
        <f aca="false">Q1446-R1446</f>
        <v>6043455</v>
      </c>
      <c r="T1446" s="14" t="n">
        <f aca="false">IFERROR(S1446/Q1446,0)</f>
        <v>0.141223815651249</v>
      </c>
      <c r="U1446" s="15" t="str">
        <f aca="false">TEXT(A1446,"yyyy-mm")</f>
        <v>2022-06</v>
      </c>
    </row>
    <row r="1447" customFormat="false" ht="15" hidden="false" customHeight="false" outlineLevel="0" collapsed="false">
      <c r="A1447" s="10" t="n">
        <v>44728</v>
      </c>
      <c r="B1447" s="11" t="s">
        <v>1579</v>
      </c>
      <c r="C1447" s="11" t="s">
        <v>132</v>
      </c>
      <c r="D1447" s="11" t="s">
        <v>118</v>
      </c>
      <c r="E1447" s="11" t="s">
        <v>68</v>
      </c>
      <c r="F1447" s="12" t="n">
        <v>4803603</v>
      </c>
      <c r="G1447" s="12" t="n">
        <v>4121000</v>
      </c>
      <c r="H1447" s="11" t="n">
        <v>20</v>
      </c>
      <c r="I1447" s="11" t="s">
        <v>69</v>
      </c>
      <c r="J1447" s="11" t="s">
        <v>80</v>
      </c>
      <c r="K1447" s="11" t="s">
        <v>81</v>
      </c>
      <c r="L1447" s="11" t="s">
        <v>82</v>
      </c>
      <c r="M1447" s="11" t="s">
        <v>73</v>
      </c>
      <c r="N1447" s="11" t="s">
        <v>104</v>
      </c>
      <c r="O1447" s="11" t="s">
        <v>105</v>
      </c>
      <c r="P1447" s="11" t="s">
        <v>106</v>
      </c>
      <c r="Q1447" s="13" t="n">
        <f aca="false">F1447*H1447</f>
        <v>96072060</v>
      </c>
      <c r="R1447" s="13" t="n">
        <f aca="false">G1447*H1447</f>
        <v>82420000</v>
      </c>
      <c r="S1447" s="13" t="n">
        <f aca="false">Q1447-R1447</f>
        <v>13652060</v>
      </c>
      <c r="T1447" s="14" t="n">
        <f aca="false">IFERROR(S1447/Q1447,0)</f>
        <v>0.142102292799801</v>
      </c>
      <c r="U1447" s="15" t="str">
        <f aca="false">TEXT(A1447,"yyyy-mm")</f>
        <v>2022-06</v>
      </c>
    </row>
    <row r="1448" customFormat="false" ht="15" hidden="false" customHeight="false" outlineLevel="0" collapsed="false">
      <c r="A1448" s="10" t="n">
        <v>44728</v>
      </c>
      <c r="B1448" s="11" t="s">
        <v>1580</v>
      </c>
      <c r="C1448" s="11" t="s">
        <v>135</v>
      </c>
      <c r="D1448" s="11" t="s">
        <v>118</v>
      </c>
      <c r="E1448" s="11" t="s">
        <v>68</v>
      </c>
      <c r="F1448" s="12" t="n">
        <v>5689947</v>
      </c>
      <c r="G1448" s="12" t="n">
        <v>5235000</v>
      </c>
      <c r="H1448" s="11" t="n">
        <v>5</v>
      </c>
      <c r="I1448" s="11" t="s">
        <v>86</v>
      </c>
      <c r="J1448" s="11" t="s">
        <v>87</v>
      </c>
      <c r="K1448" s="11" t="s">
        <v>88</v>
      </c>
      <c r="L1448" s="11" t="s">
        <v>89</v>
      </c>
      <c r="M1448" s="11" t="s">
        <v>90</v>
      </c>
      <c r="N1448" s="11" t="s">
        <v>93</v>
      </c>
      <c r="O1448" s="11" t="s">
        <v>94</v>
      </c>
      <c r="P1448" s="11" t="s">
        <v>95</v>
      </c>
      <c r="Q1448" s="13" t="n">
        <f aca="false">F1448*H1448</f>
        <v>28449735</v>
      </c>
      <c r="R1448" s="13" t="n">
        <f aca="false">G1448*H1448</f>
        <v>26175000</v>
      </c>
      <c r="S1448" s="13" t="n">
        <f aca="false">Q1448-R1448</f>
        <v>2274735</v>
      </c>
      <c r="T1448" s="14" t="n">
        <f aca="false">IFERROR(S1448/Q1448,0)</f>
        <v>0.0799562807878527</v>
      </c>
      <c r="U1448" s="15" t="str">
        <f aca="false">TEXT(A1448,"yyyy-mm")</f>
        <v>2022-06</v>
      </c>
    </row>
    <row r="1449" customFormat="false" ht="15" hidden="false" customHeight="false" outlineLevel="0" collapsed="false">
      <c r="A1449" s="10" t="n">
        <v>44729</v>
      </c>
      <c r="B1449" s="11" t="s">
        <v>1581</v>
      </c>
      <c r="C1449" s="11" t="s">
        <v>137</v>
      </c>
      <c r="D1449" s="11" t="s">
        <v>138</v>
      </c>
      <c r="E1449" s="11" t="s">
        <v>139</v>
      </c>
      <c r="F1449" s="12" t="n">
        <v>5171827</v>
      </c>
      <c r="G1449" s="12" t="n">
        <v>4890000</v>
      </c>
      <c r="H1449" s="11" t="n">
        <v>15</v>
      </c>
      <c r="I1449" s="11" t="s">
        <v>69</v>
      </c>
      <c r="J1449" s="11" t="s">
        <v>70</v>
      </c>
      <c r="K1449" s="11" t="s">
        <v>71</v>
      </c>
      <c r="L1449" s="11" t="s">
        <v>72</v>
      </c>
      <c r="M1449" s="11" t="s">
        <v>73</v>
      </c>
      <c r="N1449" s="11" t="s">
        <v>173</v>
      </c>
      <c r="O1449" s="11" t="s">
        <v>174</v>
      </c>
      <c r="P1449" s="11" t="s">
        <v>95</v>
      </c>
      <c r="Q1449" s="13" t="n">
        <f aca="false">F1449*H1449</f>
        <v>77577405</v>
      </c>
      <c r="R1449" s="13" t="n">
        <f aca="false">G1449*H1449</f>
        <v>73350000</v>
      </c>
      <c r="S1449" s="13" t="n">
        <f aca="false">Q1449-R1449</f>
        <v>4227405</v>
      </c>
      <c r="T1449" s="14" t="n">
        <f aca="false">IFERROR(S1449/Q1449,0)</f>
        <v>0.0544927353525166</v>
      </c>
      <c r="U1449" s="15" t="str">
        <f aca="false">TEXT(A1449,"yyyy-mm")</f>
        <v>2022-06</v>
      </c>
    </row>
    <row r="1450" customFormat="false" ht="15" hidden="false" customHeight="false" outlineLevel="0" collapsed="false">
      <c r="A1450" s="10" t="n">
        <v>44729</v>
      </c>
      <c r="B1450" s="11" t="s">
        <v>1582</v>
      </c>
      <c r="C1450" s="11" t="s">
        <v>141</v>
      </c>
      <c r="D1450" s="11" t="s">
        <v>138</v>
      </c>
      <c r="E1450" s="11" t="s">
        <v>142</v>
      </c>
      <c r="F1450" s="12" t="n">
        <v>2805124</v>
      </c>
      <c r="G1450" s="12" t="n">
        <v>2178000</v>
      </c>
      <c r="H1450" s="11" t="n">
        <v>5</v>
      </c>
      <c r="I1450" s="11" t="s">
        <v>69</v>
      </c>
      <c r="J1450" s="11" t="s">
        <v>70</v>
      </c>
      <c r="K1450" s="11" t="s">
        <v>71</v>
      </c>
      <c r="L1450" s="11" t="s">
        <v>72</v>
      </c>
      <c r="M1450" s="11" t="s">
        <v>73</v>
      </c>
      <c r="N1450" s="11" t="s">
        <v>143</v>
      </c>
      <c r="O1450" s="11" t="s">
        <v>144</v>
      </c>
      <c r="P1450" s="11" t="s">
        <v>101</v>
      </c>
      <c r="Q1450" s="13" t="n">
        <f aca="false">F1450*H1450</f>
        <v>14025620</v>
      </c>
      <c r="R1450" s="13" t="n">
        <f aca="false">G1450*H1450</f>
        <v>10890000</v>
      </c>
      <c r="S1450" s="13" t="n">
        <f aca="false">Q1450-R1450</f>
        <v>3135620</v>
      </c>
      <c r="T1450" s="14" t="n">
        <f aca="false">IFERROR(S1450/Q1450,0)</f>
        <v>0.22356373550688</v>
      </c>
      <c r="U1450" s="15" t="str">
        <f aca="false">TEXT(A1450,"yyyy-mm")</f>
        <v>2022-06</v>
      </c>
    </row>
    <row r="1451" customFormat="false" ht="15" hidden="false" customHeight="false" outlineLevel="0" collapsed="false">
      <c r="A1451" s="10" t="n">
        <v>44729</v>
      </c>
      <c r="B1451" s="11" t="s">
        <v>1583</v>
      </c>
      <c r="C1451" s="11" t="s">
        <v>146</v>
      </c>
      <c r="D1451" s="11" t="s">
        <v>138</v>
      </c>
      <c r="E1451" s="11" t="s">
        <v>139</v>
      </c>
      <c r="F1451" s="12" t="n">
        <v>2728100</v>
      </c>
      <c r="G1451" s="12" t="n">
        <v>2321000</v>
      </c>
      <c r="H1451" s="11" t="n">
        <v>24</v>
      </c>
      <c r="I1451" s="11" t="s">
        <v>69</v>
      </c>
      <c r="J1451" s="11" t="s">
        <v>80</v>
      </c>
      <c r="K1451" s="11" t="s">
        <v>81</v>
      </c>
      <c r="L1451" s="11" t="s">
        <v>82</v>
      </c>
      <c r="M1451" s="11" t="s">
        <v>73</v>
      </c>
      <c r="N1451" s="11" t="s">
        <v>149</v>
      </c>
      <c r="O1451" s="11" t="s">
        <v>150</v>
      </c>
      <c r="P1451" s="11" t="s">
        <v>151</v>
      </c>
      <c r="Q1451" s="13" t="n">
        <f aca="false">F1451*H1451</f>
        <v>65474400</v>
      </c>
      <c r="R1451" s="13" t="n">
        <f aca="false">G1451*H1451</f>
        <v>55704000</v>
      </c>
      <c r="S1451" s="13" t="n">
        <f aca="false">Q1451-R1451</f>
        <v>9770400</v>
      </c>
      <c r="T1451" s="14" t="n">
        <f aca="false">IFERROR(S1451/Q1451,0)</f>
        <v>0.149224735163667</v>
      </c>
      <c r="U1451" s="15" t="str">
        <f aca="false">TEXT(A1451,"yyyy-mm")</f>
        <v>2022-06</v>
      </c>
    </row>
    <row r="1452" customFormat="false" ht="15" hidden="false" customHeight="false" outlineLevel="0" collapsed="false">
      <c r="A1452" s="10" t="n">
        <v>44729</v>
      </c>
      <c r="B1452" s="11" t="s">
        <v>1584</v>
      </c>
      <c r="C1452" s="11" t="s">
        <v>148</v>
      </c>
      <c r="D1452" s="11" t="s">
        <v>138</v>
      </c>
      <c r="E1452" s="11" t="s">
        <v>122</v>
      </c>
      <c r="F1452" s="12" t="n">
        <v>4941716</v>
      </c>
      <c r="G1452" s="12" t="n">
        <v>4456000</v>
      </c>
      <c r="H1452" s="11" t="n">
        <v>20</v>
      </c>
      <c r="I1452" s="11" t="s">
        <v>86</v>
      </c>
      <c r="J1452" s="11" t="s">
        <v>87</v>
      </c>
      <c r="K1452" s="11" t="s">
        <v>88</v>
      </c>
      <c r="L1452" s="11" t="s">
        <v>89</v>
      </c>
      <c r="M1452" s="11" t="s">
        <v>90</v>
      </c>
      <c r="N1452" s="11" t="s">
        <v>74</v>
      </c>
      <c r="O1452" s="11" t="s">
        <v>75</v>
      </c>
      <c r="P1452" s="11" t="s">
        <v>76</v>
      </c>
      <c r="Q1452" s="13" t="n">
        <f aca="false">F1452*H1452</f>
        <v>98834320</v>
      </c>
      <c r="R1452" s="13" t="n">
        <f aca="false">G1452*H1452</f>
        <v>89120000</v>
      </c>
      <c r="S1452" s="13" t="n">
        <f aca="false">Q1452-R1452</f>
        <v>9714320</v>
      </c>
      <c r="T1452" s="14" t="n">
        <f aca="false">IFERROR(S1452/Q1452,0)</f>
        <v>0.0982889344511097</v>
      </c>
      <c r="U1452" s="15" t="str">
        <f aca="false">TEXT(A1452,"yyyy-mm")</f>
        <v>2022-06</v>
      </c>
    </row>
    <row r="1453" customFormat="false" ht="15" hidden="false" customHeight="false" outlineLevel="0" collapsed="false">
      <c r="A1453" s="10" t="n">
        <v>44729</v>
      </c>
      <c r="B1453" s="11" t="s">
        <v>1585</v>
      </c>
      <c r="C1453" s="11" t="s">
        <v>66</v>
      </c>
      <c r="D1453" s="11" t="s">
        <v>67</v>
      </c>
      <c r="E1453" s="11" t="s">
        <v>68</v>
      </c>
      <c r="F1453" s="12" t="n">
        <v>3048952</v>
      </c>
      <c r="G1453" s="12" t="n">
        <v>2560000</v>
      </c>
      <c r="H1453" s="11" t="n">
        <v>6</v>
      </c>
      <c r="I1453" s="11" t="s">
        <v>69</v>
      </c>
      <c r="J1453" s="11" t="s">
        <v>112</v>
      </c>
      <c r="K1453" s="11" t="s">
        <v>113</v>
      </c>
      <c r="L1453" s="11" t="s">
        <v>82</v>
      </c>
      <c r="M1453" s="11" t="s">
        <v>157</v>
      </c>
      <c r="N1453" s="11" t="s">
        <v>133</v>
      </c>
      <c r="O1453" s="11" t="s">
        <v>60</v>
      </c>
      <c r="P1453" s="11" t="s">
        <v>76</v>
      </c>
      <c r="Q1453" s="13" t="n">
        <f aca="false">F1453*H1453</f>
        <v>18293712</v>
      </c>
      <c r="R1453" s="13" t="n">
        <f aca="false">G1453*H1453</f>
        <v>15360000</v>
      </c>
      <c r="S1453" s="13" t="n">
        <f aca="false">Q1453-R1453</f>
        <v>2933712</v>
      </c>
      <c r="T1453" s="14" t="n">
        <f aca="false">IFERROR(S1453/Q1453,0)</f>
        <v>0.160367234380863</v>
      </c>
      <c r="U1453" s="15" t="str">
        <f aca="false">TEXT(A1453,"yyyy-mm")</f>
        <v>2022-06</v>
      </c>
    </row>
    <row r="1454" customFormat="false" ht="15" hidden="false" customHeight="false" outlineLevel="0" collapsed="false">
      <c r="A1454" s="10" t="n">
        <v>44729</v>
      </c>
      <c r="B1454" s="11" t="s">
        <v>1586</v>
      </c>
      <c r="C1454" s="11" t="s">
        <v>78</v>
      </c>
      <c r="D1454" s="11" t="s">
        <v>67</v>
      </c>
      <c r="E1454" s="11" t="s">
        <v>79</v>
      </c>
      <c r="F1454" s="12" t="n">
        <v>1870000</v>
      </c>
      <c r="G1454" s="12" t="n">
        <v>1650000</v>
      </c>
      <c r="H1454" s="11" t="n">
        <v>21</v>
      </c>
      <c r="I1454" s="11" t="s">
        <v>69</v>
      </c>
      <c r="J1454" s="11" t="s">
        <v>80</v>
      </c>
      <c r="K1454" s="11" t="s">
        <v>81</v>
      </c>
      <c r="L1454" s="11" t="s">
        <v>82</v>
      </c>
      <c r="M1454" s="11" t="s">
        <v>73</v>
      </c>
      <c r="N1454" s="11" t="s">
        <v>143</v>
      </c>
      <c r="O1454" s="11" t="s">
        <v>144</v>
      </c>
      <c r="P1454" s="11" t="s">
        <v>101</v>
      </c>
      <c r="Q1454" s="13" t="n">
        <f aca="false">F1454*H1454</f>
        <v>39270000</v>
      </c>
      <c r="R1454" s="13" t="n">
        <f aca="false">G1454*H1454</f>
        <v>34650000</v>
      </c>
      <c r="S1454" s="13" t="n">
        <f aca="false">Q1454-R1454</f>
        <v>4620000</v>
      </c>
      <c r="T1454" s="14" t="n">
        <f aca="false">IFERROR(S1454/Q1454,0)</f>
        <v>0.117647058823529</v>
      </c>
      <c r="U1454" s="15" t="str">
        <f aca="false">TEXT(A1454,"yyyy-mm")</f>
        <v>2022-06</v>
      </c>
    </row>
    <row r="1455" customFormat="false" ht="15" hidden="false" customHeight="false" outlineLevel="0" collapsed="false">
      <c r="A1455" s="10" t="n">
        <v>44730</v>
      </c>
      <c r="B1455" s="11" t="s">
        <v>1587</v>
      </c>
      <c r="C1455" s="11" t="s">
        <v>84</v>
      </c>
      <c r="D1455" s="11" t="s">
        <v>67</v>
      </c>
      <c r="E1455" s="11" t="s">
        <v>85</v>
      </c>
      <c r="F1455" s="12" t="n">
        <v>2600000</v>
      </c>
      <c r="G1455" s="12" t="n">
        <v>2300000</v>
      </c>
      <c r="H1455" s="11" t="n">
        <v>1</v>
      </c>
      <c r="I1455" s="11" t="s">
        <v>86</v>
      </c>
      <c r="J1455" s="11" t="s">
        <v>87</v>
      </c>
      <c r="K1455" s="11" t="s">
        <v>88</v>
      </c>
      <c r="L1455" s="11" t="s">
        <v>89</v>
      </c>
      <c r="M1455" s="11" t="s">
        <v>90</v>
      </c>
      <c r="N1455" s="11" t="s">
        <v>93</v>
      </c>
      <c r="O1455" s="11" t="s">
        <v>94</v>
      </c>
      <c r="P1455" s="11" t="s">
        <v>95</v>
      </c>
      <c r="Q1455" s="13" t="n">
        <f aca="false">F1455*H1455</f>
        <v>2600000</v>
      </c>
      <c r="R1455" s="13" t="n">
        <f aca="false">G1455*H1455</f>
        <v>2300000</v>
      </c>
      <c r="S1455" s="13" t="n">
        <f aca="false">Q1455-R1455</f>
        <v>300000</v>
      </c>
      <c r="T1455" s="14" t="n">
        <f aca="false">IFERROR(S1455/Q1455,0)</f>
        <v>0.115384615384615</v>
      </c>
      <c r="U1455" s="15" t="str">
        <f aca="false">TEXT(A1455,"yyyy-mm")</f>
        <v>2022-06</v>
      </c>
    </row>
    <row r="1456" customFormat="false" ht="15" hidden="false" customHeight="false" outlineLevel="0" collapsed="false">
      <c r="A1456" s="10" t="n">
        <v>44731</v>
      </c>
      <c r="B1456" s="11" t="s">
        <v>1588</v>
      </c>
      <c r="C1456" s="11" t="s">
        <v>92</v>
      </c>
      <c r="D1456" s="11" t="s">
        <v>67</v>
      </c>
      <c r="E1456" s="11" t="s">
        <v>79</v>
      </c>
      <c r="F1456" s="12" t="n">
        <v>3577480</v>
      </c>
      <c r="G1456" s="12" t="n">
        <v>3100000</v>
      </c>
      <c r="H1456" s="11" t="n">
        <v>17</v>
      </c>
      <c r="I1456" s="11" t="s">
        <v>69</v>
      </c>
      <c r="J1456" s="11" t="s">
        <v>70</v>
      </c>
      <c r="K1456" s="11" t="s">
        <v>71</v>
      </c>
      <c r="L1456" s="11" t="s">
        <v>72</v>
      </c>
      <c r="M1456" s="11" t="s">
        <v>73</v>
      </c>
      <c r="N1456" s="11" t="s">
        <v>133</v>
      </c>
      <c r="O1456" s="11" t="s">
        <v>60</v>
      </c>
      <c r="P1456" s="11" t="s">
        <v>76</v>
      </c>
      <c r="Q1456" s="13" t="n">
        <f aca="false">F1456*H1456</f>
        <v>60817160</v>
      </c>
      <c r="R1456" s="13" t="n">
        <f aca="false">G1456*H1456</f>
        <v>52700000</v>
      </c>
      <c r="S1456" s="13" t="n">
        <f aca="false">Q1456-R1456</f>
        <v>8117160</v>
      </c>
      <c r="T1456" s="14" t="n">
        <f aca="false">IFERROR(S1456/Q1456,0)</f>
        <v>0.133468251394837</v>
      </c>
      <c r="U1456" s="15" t="str">
        <f aca="false">TEXT(A1456,"yyyy-mm")</f>
        <v>2022-06</v>
      </c>
    </row>
    <row r="1457" customFormat="false" ht="15" hidden="false" customHeight="false" outlineLevel="0" collapsed="false">
      <c r="A1457" s="10" t="n">
        <v>44731</v>
      </c>
      <c r="B1457" s="11" t="s">
        <v>1589</v>
      </c>
      <c r="C1457" s="11" t="s">
        <v>97</v>
      </c>
      <c r="D1457" s="11" t="s">
        <v>67</v>
      </c>
      <c r="E1457" s="11" t="s">
        <v>98</v>
      </c>
      <c r="F1457" s="12" t="n">
        <v>4969724</v>
      </c>
      <c r="G1457" s="12" t="n">
        <v>4121560</v>
      </c>
      <c r="H1457" s="11" t="n">
        <v>1</v>
      </c>
      <c r="I1457" s="11" t="s">
        <v>69</v>
      </c>
      <c r="J1457" s="11" t="s">
        <v>80</v>
      </c>
      <c r="K1457" s="11" t="s">
        <v>81</v>
      </c>
      <c r="L1457" s="11" t="s">
        <v>82</v>
      </c>
      <c r="M1457" s="11" t="s">
        <v>73</v>
      </c>
      <c r="N1457" s="11" t="s">
        <v>173</v>
      </c>
      <c r="O1457" s="11" t="s">
        <v>174</v>
      </c>
      <c r="P1457" s="11" t="s">
        <v>95</v>
      </c>
      <c r="Q1457" s="13" t="n">
        <f aca="false">F1457*H1457</f>
        <v>4969724</v>
      </c>
      <c r="R1457" s="13" t="n">
        <f aca="false">G1457*H1457</f>
        <v>4121560</v>
      </c>
      <c r="S1457" s="13" t="n">
        <f aca="false">Q1457-R1457</f>
        <v>848164</v>
      </c>
      <c r="T1457" s="14" t="n">
        <f aca="false">IFERROR(S1457/Q1457,0)</f>
        <v>0.170666218083741</v>
      </c>
      <c r="U1457" s="15" t="str">
        <f aca="false">TEXT(A1457,"yyyy-mm")</f>
        <v>2022-06</v>
      </c>
    </row>
    <row r="1458" customFormat="false" ht="15" hidden="false" customHeight="false" outlineLevel="0" collapsed="false">
      <c r="A1458" s="10" t="n">
        <v>44731</v>
      </c>
      <c r="B1458" s="11" t="s">
        <v>1590</v>
      </c>
      <c r="C1458" s="11" t="s">
        <v>103</v>
      </c>
      <c r="D1458" s="11" t="s">
        <v>67</v>
      </c>
      <c r="E1458" s="11" t="s">
        <v>68</v>
      </c>
      <c r="F1458" s="12" t="n">
        <v>3319925</v>
      </c>
      <c r="G1458" s="12" t="n">
        <v>2800000</v>
      </c>
      <c r="H1458" s="11" t="n">
        <v>3</v>
      </c>
      <c r="I1458" s="11" t="s">
        <v>69</v>
      </c>
      <c r="J1458" s="11" t="s">
        <v>80</v>
      </c>
      <c r="K1458" s="11" t="s">
        <v>81</v>
      </c>
      <c r="L1458" s="11" t="s">
        <v>82</v>
      </c>
      <c r="M1458" s="11" t="s">
        <v>73</v>
      </c>
      <c r="N1458" s="11" t="s">
        <v>123</v>
      </c>
      <c r="O1458" s="11" t="s">
        <v>60</v>
      </c>
      <c r="P1458" s="11" t="s">
        <v>106</v>
      </c>
      <c r="Q1458" s="13" t="n">
        <f aca="false">F1458*H1458</f>
        <v>9959775</v>
      </c>
      <c r="R1458" s="13" t="n">
        <f aca="false">G1458*H1458</f>
        <v>8400000</v>
      </c>
      <c r="S1458" s="13" t="n">
        <f aca="false">Q1458-R1458</f>
        <v>1559775</v>
      </c>
      <c r="T1458" s="14" t="n">
        <f aca="false">IFERROR(S1458/Q1458,0)</f>
        <v>0.15660745348163</v>
      </c>
      <c r="U1458" s="15" t="str">
        <f aca="false">TEXT(A1458,"yyyy-mm")</f>
        <v>2022-06</v>
      </c>
    </row>
    <row r="1459" customFormat="false" ht="15" hidden="false" customHeight="false" outlineLevel="0" collapsed="false">
      <c r="A1459" s="10" t="n">
        <v>44731</v>
      </c>
      <c r="B1459" s="11" t="s">
        <v>1591</v>
      </c>
      <c r="C1459" s="11" t="s">
        <v>108</v>
      </c>
      <c r="D1459" s="11" t="s">
        <v>67</v>
      </c>
      <c r="E1459" s="11" t="s">
        <v>68</v>
      </c>
      <c r="F1459" s="12" t="n">
        <v>4757880</v>
      </c>
      <c r="G1459" s="12" t="n">
        <v>3450000</v>
      </c>
      <c r="H1459" s="11" t="n">
        <v>1</v>
      </c>
      <c r="I1459" s="11" t="s">
        <v>69</v>
      </c>
      <c r="J1459" s="11" t="s">
        <v>112</v>
      </c>
      <c r="K1459" s="11" t="s">
        <v>113</v>
      </c>
      <c r="L1459" s="11" t="s">
        <v>82</v>
      </c>
      <c r="M1459" s="11" t="s">
        <v>157</v>
      </c>
      <c r="N1459" s="11" t="s">
        <v>104</v>
      </c>
      <c r="O1459" s="11" t="s">
        <v>105</v>
      </c>
      <c r="P1459" s="11" t="s">
        <v>106</v>
      </c>
      <c r="Q1459" s="13" t="n">
        <f aca="false">F1459*H1459</f>
        <v>4757880</v>
      </c>
      <c r="R1459" s="13" t="n">
        <f aca="false">G1459*H1459</f>
        <v>3450000</v>
      </c>
      <c r="S1459" s="13" t="n">
        <f aca="false">Q1459-R1459</f>
        <v>1307880</v>
      </c>
      <c r="T1459" s="14" t="n">
        <f aca="false">IFERROR(S1459/Q1459,0)</f>
        <v>0.274887134606169</v>
      </c>
      <c r="U1459" s="15" t="str">
        <f aca="false">TEXT(A1459,"yyyy-mm")</f>
        <v>2022-06</v>
      </c>
    </row>
    <row r="1460" customFormat="false" ht="15" hidden="false" customHeight="false" outlineLevel="0" collapsed="false">
      <c r="A1460" s="10" t="n">
        <v>44731</v>
      </c>
      <c r="B1460" s="11" t="s">
        <v>1592</v>
      </c>
      <c r="C1460" s="11" t="s">
        <v>111</v>
      </c>
      <c r="D1460" s="11" t="s">
        <v>67</v>
      </c>
      <c r="E1460" s="11" t="s">
        <v>79</v>
      </c>
      <c r="F1460" s="12" t="n">
        <v>3545808</v>
      </c>
      <c r="G1460" s="12" t="n">
        <v>3350000</v>
      </c>
      <c r="H1460" s="11" t="n">
        <v>7</v>
      </c>
      <c r="I1460" s="11" t="s">
        <v>69</v>
      </c>
      <c r="J1460" s="11" t="s">
        <v>80</v>
      </c>
      <c r="K1460" s="11" t="s">
        <v>81</v>
      </c>
      <c r="L1460" s="11" t="s">
        <v>82</v>
      </c>
      <c r="M1460" s="11" t="s">
        <v>73</v>
      </c>
      <c r="N1460" s="11" t="s">
        <v>93</v>
      </c>
      <c r="O1460" s="11" t="s">
        <v>94</v>
      </c>
      <c r="P1460" s="11" t="s">
        <v>95</v>
      </c>
      <c r="Q1460" s="13" t="n">
        <f aca="false">F1460*H1460</f>
        <v>24820656</v>
      </c>
      <c r="R1460" s="13" t="n">
        <f aca="false">G1460*H1460</f>
        <v>23450000</v>
      </c>
      <c r="S1460" s="13" t="n">
        <f aca="false">Q1460-R1460</f>
        <v>1370656</v>
      </c>
      <c r="T1460" s="14" t="n">
        <f aca="false">IFERROR(S1460/Q1460,0)</f>
        <v>0.0552223921881839</v>
      </c>
      <c r="U1460" s="15" t="str">
        <f aca="false">TEXT(A1460,"yyyy-mm")</f>
        <v>2022-06</v>
      </c>
    </row>
    <row r="1461" customFormat="false" ht="15" hidden="false" customHeight="false" outlineLevel="0" collapsed="false">
      <c r="A1461" s="10" t="n">
        <v>44732</v>
      </c>
      <c r="B1461" s="11" t="s">
        <v>1593</v>
      </c>
      <c r="C1461" s="11" t="s">
        <v>115</v>
      </c>
      <c r="D1461" s="11" t="s">
        <v>67</v>
      </c>
      <c r="E1461" s="11" t="s">
        <v>98</v>
      </c>
      <c r="F1461" s="12" t="n">
        <v>4200743</v>
      </c>
      <c r="G1461" s="12" t="n">
        <v>4101000</v>
      </c>
      <c r="H1461" s="11" t="n">
        <v>7</v>
      </c>
      <c r="I1461" s="11" t="s">
        <v>69</v>
      </c>
      <c r="J1461" s="11" t="s">
        <v>80</v>
      </c>
      <c r="K1461" s="11" t="s">
        <v>81</v>
      </c>
      <c r="L1461" s="11" t="s">
        <v>82</v>
      </c>
      <c r="M1461" s="11" t="s">
        <v>73</v>
      </c>
      <c r="N1461" s="11" t="s">
        <v>109</v>
      </c>
      <c r="O1461" s="11" t="s">
        <v>75</v>
      </c>
      <c r="P1461" s="11" t="s">
        <v>95</v>
      </c>
      <c r="Q1461" s="13" t="n">
        <f aca="false">F1461*H1461</f>
        <v>29405201</v>
      </c>
      <c r="R1461" s="13" t="n">
        <f aca="false">G1461*H1461</f>
        <v>28707000</v>
      </c>
      <c r="S1461" s="13" t="n">
        <f aca="false">Q1461-R1461</f>
        <v>698201</v>
      </c>
      <c r="T1461" s="14" t="n">
        <f aca="false">IFERROR(S1461/Q1461,0)</f>
        <v>0.023744132883159</v>
      </c>
      <c r="U1461" s="15" t="str">
        <f aca="false">TEXT(A1461,"yyyy-mm")</f>
        <v>2022-06</v>
      </c>
    </row>
    <row r="1462" customFormat="false" ht="15" hidden="false" customHeight="false" outlineLevel="0" collapsed="false">
      <c r="A1462" s="10" t="n">
        <v>44732</v>
      </c>
      <c r="B1462" s="11" t="s">
        <v>1594</v>
      </c>
      <c r="C1462" s="11" t="s">
        <v>117</v>
      </c>
      <c r="D1462" s="11" t="s">
        <v>118</v>
      </c>
      <c r="E1462" s="11" t="s">
        <v>119</v>
      </c>
      <c r="F1462" s="12" t="n">
        <v>8220549</v>
      </c>
      <c r="G1462" s="12" t="n">
        <v>6500000</v>
      </c>
      <c r="H1462" s="11" t="n">
        <v>5</v>
      </c>
      <c r="I1462" s="11" t="s">
        <v>69</v>
      </c>
      <c r="J1462" s="11" t="s">
        <v>80</v>
      </c>
      <c r="K1462" s="11" t="s">
        <v>81</v>
      </c>
      <c r="L1462" s="11" t="s">
        <v>82</v>
      </c>
      <c r="M1462" s="11" t="s">
        <v>73</v>
      </c>
      <c r="N1462" s="11" t="s">
        <v>74</v>
      </c>
      <c r="O1462" s="11" t="s">
        <v>75</v>
      </c>
      <c r="P1462" s="11" t="s">
        <v>76</v>
      </c>
      <c r="Q1462" s="13" t="n">
        <f aca="false">F1462*H1462</f>
        <v>41102745</v>
      </c>
      <c r="R1462" s="13" t="n">
        <f aca="false">G1462*H1462</f>
        <v>32500000</v>
      </c>
      <c r="S1462" s="13" t="n">
        <f aca="false">Q1462-R1462</f>
        <v>8602745</v>
      </c>
      <c r="T1462" s="14" t="n">
        <f aca="false">IFERROR(S1462/Q1462,0)</f>
        <v>0.209298551714733</v>
      </c>
      <c r="U1462" s="15" t="str">
        <f aca="false">TEXT(A1462,"yyyy-mm")</f>
        <v>2022-06</v>
      </c>
    </row>
    <row r="1463" customFormat="false" ht="15" hidden="false" customHeight="false" outlineLevel="0" collapsed="false">
      <c r="A1463" s="10" t="n">
        <v>44732</v>
      </c>
      <c r="B1463" s="11" t="s">
        <v>1595</v>
      </c>
      <c r="C1463" s="11" t="s">
        <v>121</v>
      </c>
      <c r="D1463" s="11" t="s">
        <v>118</v>
      </c>
      <c r="E1463" s="11" t="s">
        <v>122</v>
      </c>
      <c r="F1463" s="12" t="n">
        <v>7687274</v>
      </c>
      <c r="G1463" s="12" t="n">
        <v>6500000</v>
      </c>
      <c r="H1463" s="11" t="n">
        <v>18</v>
      </c>
      <c r="I1463" s="11" t="s">
        <v>69</v>
      </c>
      <c r="J1463" s="11" t="s">
        <v>112</v>
      </c>
      <c r="K1463" s="11" t="s">
        <v>113</v>
      </c>
      <c r="L1463" s="11" t="s">
        <v>82</v>
      </c>
      <c r="M1463" s="11" t="s">
        <v>157</v>
      </c>
      <c r="N1463" s="11" t="s">
        <v>173</v>
      </c>
      <c r="O1463" s="11" t="s">
        <v>174</v>
      </c>
      <c r="P1463" s="11" t="s">
        <v>95</v>
      </c>
      <c r="Q1463" s="13" t="n">
        <f aca="false">F1463*H1463</f>
        <v>138370932</v>
      </c>
      <c r="R1463" s="13" t="n">
        <f aca="false">G1463*H1463</f>
        <v>117000000</v>
      </c>
      <c r="S1463" s="13" t="n">
        <f aca="false">Q1463-R1463</f>
        <v>21370932</v>
      </c>
      <c r="T1463" s="14" t="n">
        <f aca="false">IFERROR(S1463/Q1463,0)</f>
        <v>0.154446686822923</v>
      </c>
      <c r="U1463" s="15" t="str">
        <f aca="false">TEXT(A1463,"yyyy-mm")</f>
        <v>2022-06</v>
      </c>
    </row>
    <row r="1464" customFormat="false" ht="15" hidden="false" customHeight="false" outlineLevel="0" collapsed="false">
      <c r="A1464" s="10" t="n">
        <v>44732</v>
      </c>
      <c r="B1464" s="11" t="s">
        <v>1596</v>
      </c>
      <c r="C1464" s="11" t="s">
        <v>125</v>
      </c>
      <c r="D1464" s="11" t="s">
        <v>118</v>
      </c>
      <c r="E1464" s="11" t="s">
        <v>126</v>
      </c>
      <c r="F1464" s="12" t="n">
        <v>5684211</v>
      </c>
      <c r="G1464" s="12" t="n">
        <v>4300000</v>
      </c>
      <c r="H1464" s="11" t="n">
        <v>3</v>
      </c>
      <c r="I1464" s="11" t="s">
        <v>69</v>
      </c>
      <c r="J1464" s="11" t="s">
        <v>112</v>
      </c>
      <c r="K1464" s="11" t="s">
        <v>113</v>
      </c>
      <c r="L1464" s="11" t="s">
        <v>82</v>
      </c>
      <c r="M1464" s="11" t="s">
        <v>157</v>
      </c>
      <c r="N1464" s="11" t="s">
        <v>173</v>
      </c>
      <c r="O1464" s="11" t="s">
        <v>174</v>
      </c>
      <c r="P1464" s="11" t="s">
        <v>95</v>
      </c>
      <c r="Q1464" s="13" t="n">
        <f aca="false">F1464*H1464</f>
        <v>17052633</v>
      </c>
      <c r="R1464" s="13" t="n">
        <f aca="false">G1464*H1464</f>
        <v>12900000</v>
      </c>
      <c r="S1464" s="13" t="n">
        <f aca="false">Q1464-R1464</f>
        <v>4152633</v>
      </c>
      <c r="T1464" s="14" t="n">
        <f aca="false">IFERROR(S1464/Q1464,0)</f>
        <v>0.243518581558637</v>
      </c>
      <c r="U1464" s="15" t="str">
        <f aca="false">TEXT(A1464,"yyyy-mm")</f>
        <v>2022-06</v>
      </c>
    </row>
    <row r="1465" customFormat="false" ht="15" hidden="false" customHeight="false" outlineLevel="0" collapsed="false">
      <c r="A1465" s="10" t="n">
        <v>44733</v>
      </c>
      <c r="B1465" s="11" t="s">
        <v>1597</v>
      </c>
      <c r="C1465" s="11" t="s">
        <v>128</v>
      </c>
      <c r="D1465" s="11" t="s">
        <v>118</v>
      </c>
      <c r="E1465" s="11" t="s">
        <v>119</v>
      </c>
      <c r="F1465" s="12" t="n">
        <v>3370302</v>
      </c>
      <c r="G1465" s="12" t="n">
        <v>2100000</v>
      </c>
      <c r="H1465" s="11" t="n">
        <v>33</v>
      </c>
      <c r="I1465" s="11" t="s">
        <v>69</v>
      </c>
      <c r="J1465" s="11" t="s">
        <v>112</v>
      </c>
      <c r="K1465" s="11" t="s">
        <v>113</v>
      </c>
      <c r="L1465" s="11" t="s">
        <v>82</v>
      </c>
      <c r="M1465" s="11" t="s">
        <v>157</v>
      </c>
      <c r="N1465" s="11" t="s">
        <v>143</v>
      </c>
      <c r="O1465" s="11" t="s">
        <v>144</v>
      </c>
      <c r="P1465" s="11" t="s">
        <v>101</v>
      </c>
      <c r="Q1465" s="13" t="n">
        <f aca="false">F1465*H1465</f>
        <v>111219966</v>
      </c>
      <c r="R1465" s="13" t="n">
        <f aca="false">G1465*H1465</f>
        <v>69300000</v>
      </c>
      <c r="S1465" s="13" t="n">
        <f aca="false">Q1465-R1465</f>
        <v>41919966</v>
      </c>
      <c r="T1465" s="14" t="n">
        <f aca="false">IFERROR(S1465/Q1465,0)</f>
        <v>0.37691043710623</v>
      </c>
      <c r="U1465" s="15" t="str">
        <f aca="false">TEXT(A1465,"yyyy-mm")</f>
        <v>2022-06</v>
      </c>
    </row>
    <row r="1466" customFormat="false" ht="15" hidden="false" customHeight="false" outlineLevel="0" collapsed="false">
      <c r="A1466" s="10" t="n">
        <v>44733</v>
      </c>
      <c r="B1466" s="11" t="s">
        <v>1598</v>
      </c>
      <c r="C1466" s="11" t="s">
        <v>130</v>
      </c>
      <c r="D1466" s="11" t="s">
        <v>118</v>
      </c>
      <c r="E1466" s="11" t="s">
        <v>68</v>
      </c>
      <c r="F1466" s="12" t="n">
        <v>2852897</v>
      </c>
      <c r="G1466" s="12" t="n">
        <v>2450000</v>
      </c>
      <c r="H1466" s="11" t="n">
        <v>2</v>
      </c>
      <c r="I1466" s="11" t="s">
        <v>69</v>
      </c>
      <c r="J1466" s="11" t="s">
        <v>80</v>
      </c>
      <c r="K1466" s="11" t="s">
        <v>81</v>
      </c>
      <c r="L1466" s="11" t="s">
        <v>82</v>
      </c>
      <c r="M1466" s="11" t="s">
        <v>73</v>
      </c>
      <c r="N1466" s="11" t="s">
        <v>93</v>
      </c>
      <c r="O1466" s="11" t="s">
        <v>94</v>
      </c>
      <c r="P1466" s="11" t="s">
        <v>95</v>
      </c>
      <c r="Q1466" s="13" t="n">
        <f aca="false">F1466*H1466</f>
        <v>5705794</v>
      </c>
      <c r="R1466" s="13" t="n">
        <f aca="false">G1466*H1466</f>
        <v>4900000</v>
      </c>
      <c r="S1466" s="13" t="n">
        <f aca="false">Q1466-R1466</f>
        <v>805794</v>
      </c>
      <c r="T1466" s="14" t="n">
        <f aca="false">IFERROR(S1466/Q1466,0)</f>
        <v>0.141223815651249</v>
      </c>
      <c r="U1466" s="15" t="str">
        <f aca="false">TEXT(A1466,"yyyy-mm")</f>
        <v>2022-06</v>
      </c>
    </row>
    <row r="1467" customFormat="false" ht="15" hidden="false" customHeight="false" outlineLevel="0" collapsed="false">
      <c r="A1467" s="10" t="n">
        <v>44733</v>
      </c>
      <c r="B1467" s="11" t="s">
        <v>1599</v>
      </c>
      <c r="C1467" s="11" t="s">
        <v>132</v>
      </c>
      <c r="D1467" s="11" t="s">
        <v>118</v>
      </c>
      <c r="E1467" s="11" t="s">
        <v>68</v>
      </c>
      <c r="F1467" s="12" t="n">
        <v>4803603</v>
      </c>
      <c r="G1467" s="12" t="n">
        <v>4121000</v>
      </c>
      <c r="H1467" s="11" t="n">
        <v>5</v>
      </c>
      <c r="I1467" s="11" t="s">
        <v>69</v>
      </c>
      <c r="J1467" s="11" t="s">
        <v>112</v>
      </c>
      <c r="K1467" s="11" t="s">
        <v>113</v>
      </c>
      <c r="L1467" s="11" t="s">
        <v>82</v>
      </c>
      <c r="M1467" s="11" t="s">
        <v>157</v>
      </c>
      <c r="N1467" s="11" t="s">
        <v>93</v>
      </c>
      <c r="O1467" s="11" t="s">
        <v>94</v>
      </c>
      <c r="P1467" s="11" t="s">
        <v>95</v>
      </c>
      <c r="Q1467" s="13" t="n">
        <f aca="false">F1467*H1467</f>
        <v>24018015</v>
      </c>
      <c r="R1467" s="13" t="n">
        <f aca="false">G1467*H1467</f>
        <v>20605000</v>
      </c>
      <c r="S1467" s="13" t="n">
        <f aca="false">Q1467-R1467</f>
        <v>3413015</v>
      </c>
      <c r="T1467" s="14" t="n">
        <f aca="false">IFERROR(S1467/Q1467,0)</f>
        <v>0.142102292799801</v>
      </c>
      <c r="U1467" s="15" t="str">
        <f aca="false">TEXT(A1467,"yyyy-mm")</f>
        <v>2022-06</v>
      </c>
    </row>
    <row r="1468" customFormat="false" ht="15" hidden="false" customHeight="false" outlineLevel="0" collapsed="false">
      <c r="A1468" s="10" t="n">
        <v>44734</v>
      </c>
      <c r="B1468" s="11" t="s">
        <v>1600</v>
      </c>
      <c r="C1468" s="11" t="s">
        <v>135</v>
      </c>
      <c r="D1468" s="11" t="s">
        <v>118</v>
      </c>
      <c r="E1468" s="11" t="s">
        <v>68</v>
      </c>
      <c r="F1468" s="12" t="n">
        <v>5689947</v>
      </c>
      <c r="G1468" s="12" t="n">
        <v>5235000</v>
      </c>
      <c r="H1468" s="11" t="n">
        <v>11</v>
      </c>
      <c r="I1468" s="11" t="s">
        <v>69</v>
      </c>
      <c r="J1468" s="11" t="s">
        <v>80</v>
      </c>
      <c r="K1468" s="11" t="s">
        <v>81</v>
      </c>
      <c r="L1468" s="11" t="s">
        <v>82</v>
      </c>
      <c r="M1468" s="11" t="s">
        <v>73</v>
      </c>
      <c r="N1468" s="11" t="s">
        <v>109</v>
      </c>
      <c r="O1468" s="11" t="s">
        <v>75</v>
      </c>
      <c r="P1468" s="11" t="s">
        <v>95</v>
      </c>
      <c r="Q1468" s="13" t="n">
        <f aca="false">F1468*H1468</f>
        <v>62589417</v>
      </c>
      <c r="R1468" s="13" t="n">
        <f aca="false">G1468*H1468</f>
        <v>57585000</v>
      </c>
      <c r="S1468" s="13" t="n">
        <f aca="false">Q1468-R1468</f>
        <v>5004417</v>
      </c>
      <c r="T1468" s="14" t="n">
        <f aca="false">IFERROR(S1468/Q1468,0)</f>
        <v>0.0799562807878527</v>
      </c>
      <c r="U1468" s="15" t="str">
        <f aca="false">TEXT(A1468,"yyyy-mm")</f>
        <v>2022-06</v>
      </c>
    </row>
    <row r="1469" customFormat="false" ht="15" hidden="false" customHeight="false" outlineLevel="0" collapsed="false">
      <c r="A1469" s="10" t="n">
        <v>44734</v>
      </c>
      <c r="B1469" s="11" t="s">
        <v>1601</v>
      </c>
      <c r="C1469" s="11" t="s">
        <v>137</v>
      </c>
      <c r="D1469" s="11" t="s">
        <v>138</v>
      </c>
      <c r="E1469" s="11" t="s">
        <v>139</v>
      </c>
      <c r="F1469" s="12" t="n">
        <v>5171827</v>
      </c>
      <c r="G1469" s="12" t="n">
        <v>4890000</v>
      </c>
      <c r="H1469" s="11" t="n">
        <v>3</v>
      </c>
      <c r="I1469" s="11" t="s">
        <v>69</v>
      </c>
      <c r="J1469" s="11" t="s">
        <v>70</v>
      </c>
      <c r="K1469" s="11" t="s">
        <v>71</v>
      </c>
      <c r="L1469" s="11" t="s">
        <v>72</v>
      </c>
      <c r="M1469" s="11" t="s">
        <v>73</v>
      </c>
      <c r="N1469" s="11" t="s">
        <v>143</v>
      </c>
      <c r="O1469" s="11" t="s">
        <v>144</v>
      </c>
      <c r="P1469" s="11" t="s">
        <v>101</v>
      </c>
      <c r="Q1469" s="13" t="n">
        <f aca="false">F1469*H1469</f>
        <v>15515481</v>
      </c>
      <c r="R1469" s="13" t="n">
        <f aca="false">G1469*H1469</f>
        <v>14670000</v>
      </c>
      <c r="S1469" s="13" t="n">
        <f aca="false">Q1469-R1469</f>
        <v>845481</v>
      </c>
      <c r="T1469" s="14" t="n">
        <f aca="false">IFERROR(S1469/Q1469,0)</f>
        <v>0.0544927353525166</v>
      </c>
      <c r="U1469" s="15" t="str">
        <f aca="false">TEXT(A1469,"yyyy-mm")</f>
        <v>2022-06</v>
      </c>
    </row>
    <row r="1470" customFormat="false" ht="15" hidden="false" customHeight="false" outlineLevel="0" collapsed="false">
      <c r="A1470" s="10" t="n">
        <v>44734</v>
      </c>
      <c r="B1470" s="11" t="s">
        <v>1602</v>
      </c>
      <c r="C1470" s="11" t="s">
        <v>141</v>
      </c>
      <c r="D1470" s="11" t="s">
        <v>138</v>
      </c>
      <c r="E1470" s="11" t="s">
        <v>142</v>
      </c>
      <c r="F1470" s="12" t="n">
        <v>2805124</v>
      </c>
      <c r="G1470" s="12" t="n">
        <v>2178000</v>
      </c>
      <c r="H1470" s="11" t="n">
        <v>13</v>
      </c>
      <c r="I1470" s="11" t="s">
        <v>69</v>
      </c>
      <c r="J1470" s="11" t="s">
        <v>80</v>
      </c>
      <c r="K1470" s="11" t="s">
        <v>81</v>
      </c>
      <c r="L1470" s="11" t="s">
        <v>82</v>
      </c>
      <c r="M1470" s="11" t="s">
        <v>73</v>
      </c>
      <c r="N1470" s="11" t="s">
        <v>133</v>
      </c>
      <c r="O1470" s="11" t="s">
        <v>60</v>
      </c>
      <c r="P1470" s="11" t="s">
        <v>76</v>
      </c>
      <c r="Q1470" s="13" t="n">
        <f aca="false">F1470*H1470</f>
        <v>36466612</v>
      </c>
      <c r="R1470" s="13" t="n">
        <f aca="false">G1470*H1470</f>
        <v>28314000</v>
      </c>
      <c r="S1470" s="13" t="n">
        <f aca="false">Q1470-R1470</f>
        <v>8152612</v>
      </c>
      <c r="T1470" s="14" t="n">
        <f aca="false">IFERROR(S1470/Q1470,0)</f>
        <v>0.22356373550688</v>
      </c>
      <c r="U1470" s="15" t="str">
        <f aca="false">TEXT(A1470,"yyyy-mm")</f>
        <v>2022-06</v>
      </c>
    </row>
    <row r="1471" customFormat="false" ht="15" hidden="false" customHeight="false" outlineLevel="0" collapsed="false">
      <c r="A1471" s="10" t="n">
        <v>44734</v>
      </c>
      <c r="B1471" s="11" t="s">
        <v>1603</v>
      </c>
      <c r="C1471" s="11" t="s">
        <v>146</v>
      </c>
      <c r="D1471" s="11" t="s">
        <v>138</v>
      </c>
      <c r="E1471" s="11" t="s">
        <v>139</v>
      </c>
      <c r="F1471" s="12" t="n">
        <v>2728100</v>
      </c>
      <c r="G1471" s="12" t="n">
        <v>2321000</v>
      </c>
      <c r="H1471" s="11" t="n">
        <v>23</v>
      </c>
      <c r="I1471" s="11" t="s">
        <v>86</v>
      </c>
      <c r="J1471" s="11" t="s">
        <v>87</v>
      </c>
      <c r="K1471" s="11" t="s">
        <v>88</v>
      </c>
      <c r="L1471" s="11" t="s">
        <v>89</v>
      </c>
      <c r="M1471" s="11" t="s">
        <v>90</v>
      </c>
      <c r="N1471" s="11" t="s">
        <v>143</v>
      </c>
      <c r="O1471" s="11" t="s">
        <v>144</v>
      </c>
      <c r="P1471" s="11" t="s">
        <v>101</v>
      </c>
      <c r="Q1471" s="13" t="n">
        <f aca="false">F1471*H1471</f>
        <v>62746300</v>
      </c>
      <c r="R1471" s="13" t="n">
        <f aca="false">G1471*H1471</f>
        <v>53383000</v>
      </c>
      <c r="S1471" s="13" t="n">
        <f aca="false">Q1471-R1471</f>
        <v>9363300</v>
      </c>
      <c r="T1471" s="14" t="n">
        <f aca="false">IFERROR(S1471/Q1471,0)</f>
        <v>0.149224735163667</v>
      </c>
      <c r="U1471" s="15" t="str">
        <f aca="false">TEXT(A1471,"yyyy-mm")</f>
        <v>2022-06</v>
      </c>
    </row>
    <row r="1472" customFormat="false" ht="15" hidden="false" customHeight="false" outlineLevel="0" collapsed="false">
      <c r="A1472" s="10" t="n">
        <v>44735</v>
      </c>
      <c r="B1472" s="11" t="s">
        <v>1604</v>
      </c>
      <c r="C1472" s="11" t="s">
        <v>148</v>
      </c>
      <c r="D1472" s="11" t="s">
        <v>138</v>
      </c>
      <c r="E1472" s="11" t="s">
        <v>122</v>
      </c>
      <c r="F1472" s="12" t="n">
        <v>4941716</v>
      </c>
      <c r="G1472" s="12" t="n">
        <v>4456000</v>
      </c>
      <c r="H1472" s="11" t="n">
        <v>6</v>
      </c>
      <c r="I1472" s="11" t="s">
        <v>86</v>
      </c>
      <c r="J1472" s="11" t="s">
        <v>87</v>
      </c>
      <c r="K1472" s="11" t="s">
        <v>88</v>
      </c>
      <c r="L1472" s="11" t="s">
        <v>89</v>
      </c>
      <c r="M1472" s="11" t="s">
        <v>90</v>
      </c>
      <c r="N1472" s="11" t="s">
        <v>133</v>
      </c>
      <c r="O1472" s="11" t="s">
        <v>60</v>
      </c>
      <c r="P1472" s="11" t="s">
        <v>76</v>
      </c>
      <c r="Q1472" s="13" t="n">
        <f aca="false">F1472*H1472</f>
        <v>29650296</v>
      </c>
      <c r="R1472" s="13" t="n">
        <f aca="false">G1472*H1472</f>
        <v>26736000</v>
      </c>
      <c r="S1472" s="13" t="n">
        <f aca="false">Q1472-R1472</f>
        <v>2914296</v>
      </c>
      <c r="T1472" s="14" t="n">
        <f aca="false">IFERROR(S1472/Q1472,0)</f>
        <v>0.0982889344511097</v>
      </c>
      <c r="U1472" s="15" t="str">
        <f aca="false">TEXT(A1472,"yyyy-mm")</f>
        <v>2022-06</v>
      </c>
    </row>
    <row r="1473" customFormat="false" ht="15" hidden="false" customHeight="false" outlineLevel="0" collapsed="false">
      <c r="A1473" s="10" t="n">
        <v>44735</v>
      </c>
      <c r="B1473" s="11" t="s">
        <v>1605</v>
      </c>
      <c r="C1473" s="11" t="s">
        <v>66</v>
      </c>
      <c r="D1473" s="11" t="s">
        <v>67</v>
      </c>
      <c r="E1473" s="11" t="s">
        <v>68</v>
      </c>
      <c r="F1473" s="12" t="n">
        <v>3048952</v>
      </c>
      <c r="G1473" s="12" t="n">
        <v>2560000</v>
      </c>
      <c r="H1473" s="11" t="n">
        <v>19</v>
      </c>
      <c r="I1473" s="11" t="s">
        <v>69</v>
      </c>
      <c r="J1473" s="11" t="s">
        <v>70</v>
      </c>
      <c r="K1473" s="11" t="s">
        <v>71</v>
      </c>
      <c r="L1473" s="11" t="s">
        <v>72</v>
      </c>
      <c r="M1473" s="11" t="s">
        <v>73</v>
      </c>
      <c r="N1473" s="11" t="s">
        <v>104</v>
      </c>
      <c r="O1473" s="11" t="s">
        <v>105</v>
      </c>
      <c r="P1473" s="11" t="s">
        <v>106</v>
      </c>
      <c r="Q1473" s="13" t="n">
        <f aca="false">F1473*H1473</f>
        <v>57930088</v>
      </c>
      <c r="R1473" s="13" t="n">
        <f aca="false">G1473*H1473</f>
        <v>48640000</v>
      </c>
      <c r="S1473" s="13" t="n">
        <f aca="false">Q1473-R1473</f>
        <v>9290088</v>
      </c>
      <c r="T1473" s="14" t="n">
        <f aca="false">IFERROR(S1473/Q1473,0)</f>
        <v>0.160367234380863</v>
      </c>
      <c r="U1473" s="15" t="str">
        <f aca="false">TEXT(A1473,"yyyy-mm")</f>
        <v>2022-06</v>
      </c>
    </row>
    <row r="1474" customFormat="false" ht="15" hidden="false" customHeight="false" outlineLevel="0" collapsed="false">
      <c r="A1474" s="10" t="n">
        <v>44736</v>
      </c>
      <c r="B1474" s="11" t="s">
        <v>1606</v>
      </c>
      <c r="C1474" s="11" t="s">
        <v>78</v>
      </c>
      <c r="D1474" s="11" t="s">
        <v>67</v>
      </c>
      <c r="E1474" s="11" t="s">
        <v>79</v>
      </c>
      <c r="F1474" s="12" t="n">
        <v>1870000</v>
      </c>
      <c r="G1474" s="12" t="n">
        <v>1650000</v>
      </c>
      <c r="H1474" s="11" t="n">
        <v>3</v>
      </c>
      <c r="I1474" s="11" t="s">
        <v>69</v>
      </c>
      <c r="J1474" s="11" t="s">
        <v>80</v>
      </c>
      <c r="K1474" s="11" t="s">
        <v>81</v>
      </c>
      <c r="L1474" s="11" t="s">
        <v>82</v>
      </c>
      <c r="M1474" s="11" t="s">
        <v>73</v>
      </c>
      <c r="N1474" s="11" t="s">
        <v>149</v>
      </c>
      <c r="O1474" s="11" t="s">
        <v>150</v>
      </c>
      <c r="P1474" s="11" t="s">
        <v>151</v>
      </c>
      <c r="Q1474" s="13" t="n">
        <f aca="false">F1474*H1474</f>
        <v>5610000</v>
      </c>
      <c r="R1474" s="13" t="n">
        <f aca="false">G1474*H1474</f>
        <v>4950000</v>
      </c>
      <c r="S1474" s="13" t="n">
        <f aca="false">Q1474-R1474</f>
        <v>660000</v>
      </c>
      <c r="T1474" s="14" t="n">
        <f aca="false">IFERROR(S1474/Q1474,0)</f>
        <v>0.117647058823529</v>
      </c>
      <c r="U1474" s="15" t="str">
        <f aca="false">TEXT(A1474,"yyyy-mm")</f>
        <v>2022-06</v>
      </c>
    </row>
    <row r="1475" customFormat="false" ht="15" hidden="false" customHeight="false" outlineLevel="0" collapsed="false">
      <c r="A1475" s="10" t="n">
        <v>44736</v>
      </c>
      <c r="B1475" s="11" t="s">
        <v>1607</v>
      </c>
      <c r="C1475" s="11" t="s">
        <v>84</v>
      </c>
      <c r="D1475" s="11" t="s">
        <v>67</v>
      </c>
      <c r="E1475" s="11" t="s">
        <v>85</v>
      </c>
      <c r="F1475" s="12" t="n">
        <v>2600000</v>
      </c>
      <c r="G1475" s="12" t="n">
        <v>2300000</v>
      </c>
      <c r="H1475" s="11" t="n">
        <v>9</v>
      </c>
      <c r="I1475" s="11" t="s">
        <v>69</v>
      </c>
      <c r="J1475" s="11" t="s">
        <v>112</v>
      </c>
      <c r="K1475" s="11" t="s">
        <v>113</v>
      </c>
      <c r="L1475" s="11" t="s">
        <v>82</v>
      </c>
      <c r="M1475" s="11" t="s">
        <v>157</v>
      </c>
      <c r="N1475" s="11" t="s">
        <v>104</v>
      </c>
      <c r="O1475" s="11" t="s">
        <v>105</v>
      </c>
      <c r="P1475" s="11" t="s">
        <v>106</v>
      </c>
      <c r="Q1475" s="13" t="n">
        <f aca="false">F1475*H1475</f>
        <v>23400000</v>
      </c>
      <c r="R1475" s="13" t="n">
        <f aca="false">G1475*H1475</f>
        <v>20700000</v>
      </c>
      <c r="S1475" s="13" t="n">
        <f aca="false">Q1475-R1475</f>
        <v>2700000</v>
      </c>
      <c r="T1475" s="14" t="n">
        <f aca="false">IFERROR(S1475/Q1475,0)</f>
        <v>0.115384615384615</v>
      </c>
      <c r="U1475" s="15" t="str">
        <f aca="false">TEXT(A1475,"yyyy-mm")</f>
        <v>2022-06</v>
      </c>
    </row>
    <row r="1476" customFormat="false" ht="15" hidden="false" customHeight="false" outlineLevel="0" collapsed="false">
      <c r="A1476" s="10" t="n">
        <v>44737</v>
      </c>
      <c r="B1476" s="11" t="s">
        <v>1608</v>
      </c>
      <c r="C1476" s="11" t="s">
        <v>92</v>
      </c>
      <c r="D1476" s="11" t="s">
        <v>67</v>
      </c>
      <c r="E1476" s="11" t="s">
        <v>79</v>
      </c>
      <c r="F1476" s="12" t="n">
        <v>3577480</v>
      </c>
      <c r="G1476" s="12" t="n">
        <v>3100000</v>
      </c>
      <c r="H1476" s="11" t="n">
        <v>15</v>
      </c>
      <c r="I1476" s="11" t="s">
        <v>69</v>
      </c>
      <c r="J1476" s="11" t="s">
        <v>80</v>
      </c>
      <c r="K1476" s="11" t="s">
        <v>81</v>
      </c>
      <c r="L1476" s="11" t="s">
        <v>82</v>
      </c>
      <c r="M1476" s="11" t="s">
        <v>73</v>
      </c>
      <c r="N1476" s="11" t="s">
        <v>109</v>
      </c>
      <c r="O1476" s="11" t="s">
        <v>75</v>
      </c>
      <c r="P1476" s="11" t="s">
        <v>95</v>
      </c>
      <c r="Q1476" s="13" t="n">
        <f aca="false">F1476*H1476</f>
        <v>53662200</v>
      </c>
      <c r="R1476" s="13" t="n">
        <f aca="false">G1476*H1476</f>
        <v>46500000</v>
      </c>
      <c r="S1476" s="13" t="n">
        <f aca="false">Q1476-R1476</f>
        <v>7162200</v>
      </c>
      <c r="T1476" s="14" t="n">
        <f aca="false">IFERROR(S1476/Q1476,0)</f>
        <v>0.133468251394837</v>
      </c>
      <c r="U1476" s="15" t="str">
        <f aca="false">TEXT(A1476,"yyyy-mm")</f>
        <v>2022-06</v>
      </c>
    </row>
    <row r="1477" customFormat="false" ht="15" hidden="false" customHeight="false" outlineLevel="0" collapsed="false">
      <c r="A1477" s="10" t="n">
        <v>44737</v>
      </c>
      <c r="B1477" s="11" t="s">
        <v>1609</v>
      </c>
      <c r="C1477" s="11" t="s">
        <v>97</v>
      </c>
      <c r="D1477" s="11" t="s">
        <v>67</v>
      </c>
      <c r="E1477" s="11" t="s">
        <v>98</v>
      </c>
      <c r="F1477" s="12" t="n">
        <v>4969724</v>
      </c>
      <c r="G1477" s="12" t="n">
        <v>4121560</v>
      </c>
      <c r="H1477" s="11" t="n">
        <v>14</v>
      </c>
      <c r="I1477" s="11" t="s">
        <v>69</v>
      </c>
      <c r="J1477" s="11" t="s">
        <v>80</v>
      </c>
      <c r="K1477" s="11" t="s">
        <v>81</v>
      </c>
      <c r="L1477" s="11" t="s">
        <v>82</v>
      </c>
      <c r="M1477" s="11" t="s">
        <v>73</v>
      </c>
      <c r="N1477" s="11" t="s">
        <v>93</v>
      </c>
      <c r="O1477" s="11" t="s">
        <v>94</v>
      </c>
      <c r="P1477" s="11" t="s">
        <v>95</v>
      </c>
      <c r="Q1477" s="13" t="n">
        <f aca="false">F1477*H1477</f>
        <v>69576136</v>
      </c>
      <c r="R1477" s="13" t="n">
        <f aca="false">G1477*H1477</f>
        <v>57701840</v>
      </c>
      <c r="S1477" s="13" t="n">
        <f aca="false">Q1477-R1477</f>
        <v>11874296</v>
      </c>
      <c r="T1477" s="14" t="n">
        <f aca="false">IFERROR(S1477/Q1477,0)</f>
        <v>0.170666218083741</v>
      </c>
      <c r="U1477" s="15" t="str">
        <f aca="false">TEXT(A1477,"yyyy-mm")</f>
        <v>2022-06</v>
      </c>
    </row>
    <row r="1478" customFormat="false" ht="15" hidden="false" customHeight="false" outlineLevel="0" collapsed="false">
      <c r="A1478" s="10" t="n">
        <v>44737</v>
      </c>
      <c r="B1478" s="11" t="s">
        <v>1610</v>
      </c>
      <c r="C1478" s="11" t="s">
        <v>103</v>
      </c>
      <c r="D1478" s="11" t="s">
        <v>67</v>
      </c>
      <c r="E1478" s="11" t="s">
        <v>68</v>
      </c>
      <c r="F1478" s="12" t="n">
        <v>3319925</v>
      </c>
      <c r="G1478" s="12" t="n">
        <v>2800000</v>
      </c>
      <c r="H1478" s="11" t="n">
        <v>7</v>
      </c>
      <c r="I1478" s="11" t="s">
        <v>69</v>
      </c>
      <c r="J1478" s="11" t="s">
        <v>80</v>
      </c>
      <c r="K1478" s="11" t="s">
        <v>81</v>
      </c>
      <c r="L1478" s="11" t="s">
        <v>82</v>
      </c>
      <c r="M1478" s="11" t="s">
        <v>73</v>
      </c>
      <c r="N1478" s="11" t="s">
        <v>99</v>
      </c>
      <c r="O1478" s="11" t="s">
        <v>100</v>
      </c>
      <c r="P1478" s="11" t="s">
        <v>101</v>
      </c>
      <c r="Q1478" s="13" t="n">
        <f aca="false">F1478*H1478</f>
        <v>23239475</v>
      </c>
      <c r="R1478" s="13" t="n">
        <f aca="false">G1478*H1478</f>
        <v>19600000</v>
      </c>
      <c r="S1478" s="13" t="n">
        <f aca="false">Q1478-R1478</f>
        <v>3639475</v>
      </c>
      <c r="T1478" s="14" t="n">
        <f aca="false">IFERROR(S1478/Q1478,0)</f>
        <v>0.15660745348163</v>
      </c>
      <c r="U1478" s="15" t="str">
        <f aca="false">TEXT(A1478,"yyyy-mm")</f>
        <v>2022-06</v>
      </c>
    </row>
    <row r="1479" customFormat="false" ht="15" hidden="false" customHeight="false" outlineLevel="0" collapsed="false">
      <c r="A1479" s="10" t="n">
        <v>44738</v>
      </c>
      <c r="B1479" s="11" t="s">
        <v>1611</v>
      </c>
      <c r="C1479" s="11" t="s">
        <v>108</v>
      </c>
      <c r="D1479" s="11" t="s">
        <v>67</v>
      </c>
      <c r="E1479" s="11" t="s">
        <v>68</v>
      </c>
      <c r="F1479" s="12" t="n">
        <v>4757880</v>
      </c>
      <c r="G1479" s="12" t="n">
        <v>3450000</v>
      </c>
      <c r="H1479" s="11" t="n">
        <v>2</v>
      </c>
      <c r="I1479" s="11" t="s">
        <v>69</v>
      </c>
      <c r="J1479" s="11" t="s">
        <v>112</v>
      </c>
      <c r="K1479" s="11" t="s">
        <v>113</v>
      </c>
      <c r="L1479" s="11" t="s">
        <v>82</v>
      </c>
      <c r="M1479" s="11" t="s">
        <v>157</v>
      </c>
      <c r="N1479" s="11" t="s">
        <v>109</v>
      </c>
      <c r="O1479" s="11" t="s">
        <v>75</v>
      </c>
      <c r="P1479" s="11" t="s">
        <v>95</v>
      </c>
      <c r="Q1479" s="13" t="n">
        <f aca="false">F1479*H1479</f>
        <v>9515760</v>
      </c>
      <c r="R1479" s="13" t="n">
        <f aca="false">G1479*H1479</f>
        <v>6900000</v>
      </c>
      <c r="S1479" s="13" t="n">
        <f aca="false">Q1479-R1479</f>
        <v>2615760</v>
      </c>
      <c r="T1479" s="14" t="n">
        <f aca="false">IFERROR(S1479/Q1479,0)</f>
        <v>0.274887134606169</v>
      </c>
      <c r="U1479" s="15" t="str">
        <f aca="false">TEXT(A1479,"yyyy-mm")</f>
        <v>2022-06</v>
      </c>
    </row>
    <row r="1480" customFormat="false" ht="15" hidden="false" customHeight="false" outlineLevel="0" collapsed="false">
      <c r="A1480" s="10" t="n">
        <v>44739</v>
      </c>
      <c r="B1480" s="11" t="s">
        <v>1612</v>
      </c>
      <c r="C1480" s="11" t="s">
        <v>111</v>
      </c>
      <c r="D1480" s="11" t="s">
        <v>67</v>
      </c>
      <c r="E1480" s="11" t="s">
        <v>79</v>
      </c>
      <c r="F1480" s="12" t="n">
        <v>3545808</v>
      </c>
      <c r="G1480" s="12" t="n">
        <v>3350000</v>
      </c>
      <c r="H1480" s="11" t="n">
        <v>11</v>
      </c>
      <c r="I1480" s="11" t="s">
        <v>69</v>
      </c>
      <c r="J1480" s="11" t="s">
        <v>80</v>
      </c>
      <c r="K1480" s="11" t="s">
        <v>81</v>
      </c>
      <c r="L1480" s="11" t="s">
        <v>82</v>
      </c>
      <c r="M1480" s="11" t="s">
        <v>73</v>
      </c>
      <c r="N1480" s="11" t="s">
        <v>109</v>
      </c>
      <c r="O1480" s="11" t="s">
        <v>75</v>
      </c>
      <c r="P1480" s="11" t="s">
        <v>95</v>
      </c>
      <c r="Q1480" s="13" t="n">
        <f aca="false">F1480*H1480</f>
        <v>39003888</v>
      </c>
      <c r="R1480" s="13" t="n">
        <f aca="false">G1480*H1480</f>
        <v>36850000</v>
      </c>
      <c r="S1480" s="13" t="n">
        <f aca="false">Q1480-R1480</f>
        <v>2153888</v>
      </c>
      <c r="T1480" s="14" t="n">
        <f aca="false">IFERROR(S1480/Q1480,0)</f>
        <v>0.0552223921881839</v>
      </c>
      <c r="U1480" s="15" t="str">
        <f aca="false">TEXT(A1480,"yyyy-mm")</f>
        <v>2022-06</v>
      </c>
    </row>
    <row r="1481" customFormat="false" ht="15" hidden="false" customHeight="false" outlineLevel="0" collapsed="false">
      <c r="A1481" s="10" t="n">
        <v>44739</v>
      </c>
      <c r="B1481" s="11" t="s">
        <v>1613</v>
      </c>
      <c r="C1481" s="11" t="s">
        <v>115</v>
      </c>
      <c r="D1481" s="11" t="s">
        <v>67</v>
      </c>
      <c r="E1481" s="11" t="s">
        <v>98</v>
      </c>
      <c r="F1481" s="12" t="n">
        <v>4200743</v>
      </c>
      <c r="G1481" s="12" t="n">
        <v>4101000</v>
      </c>
      <c r="H1481" s="11" t="n">
        <v>10</v>
      </c>
      <c r="I1481" s="11" t="s">
        <v>69</v>
      </c>
      <c r="J1481" s="11" t="s">
        <v>80</v>
      </c>
      <c r="K1481" s="11" t="s">
        <v>81</v>
      </c>
      <c r="L1481" s="11" t="s">
        <v>82</v>
      </c>
      <c r="M1481" s="11" t="s">
        <v>73</v>
      </c>
      <c r="N1481" s="11" t="s">
        <v>99</v>
      </c>
      <c r="O1481" s="11" t="s">
        <v>100</v>
      </c>
      <c r="P1481" s="11" t="s">
        <v>101</v>
      </c>
      <c r="Q1481" s="13" t="n">
        <f aca="false">F1481*H1481</f>
        <v>42007430</v>
      </c>
      <c r="R1481" s="13" t="n">
        <f aca="false">G1481*H1481</f>
        <v>41010000</v>
      </c>
      <c r="S1481" s="13" t="n">
        <f aca="false">Q1481-R1481</f>
        <v>997430</v>
      </c>
      <c r="T1481" s="14" t="n">
        <f aca="false">IFERROR(S1481/Q1481,0)</f>
        <v>0.023744132883159</v>
      </c>
      <c r="U1481" s="15" t="str">
        <f aca="false">TEXT(A1481,"yyyy-mm")</f>
        <v>2022-06</v>
      </c>
    </row>
    <row r="1482" customFormat="false" ht="15" hidden="false" customHeight="false" outlineLevel="0" collapsed="false">
      <c r="A1482" s="10" t="n">
        <v>44740</v>
      </c>
      <c r="B1482" s="11" t="s">
        <v>1614</v>
      </c>
      <c r="C1482" s="11" t="s">
        <v>117</v>
      </c>
      <c r="D1482" s="11" t="s">
        <v>118</v>
      </c>
      <c r="E1482" s="11" t="s">
        <v>119</v>
      </c>
      <c r="F1482" s="12" t="n">
        <v>8220549</v>
      </c>
      <c r="G1482" s="12" t="n">
        <v>6500000</v>
      </c>
      <c r="H1482" s="11" t="n">
        <v>2</v>
      </c>
      <c r="I1482" s="11" t="s">
        <v>69</v>
      </c>
      <c r="J1482" s="11" t="s">
        <v>80</v>
      </c>
      <c r="K1482" s="11" t="s">
        <v>81</v>
      </c>
      <c r="L1482" s="11" t="s">
        <v>82</v>
      </c>
      <c r="M1482" s="11" t="s">
        <v>73</v>
      </c>
      <c r="N1482" s="11" t="s">
        <v>104</v>
      </c>
      <c r="O1482" s="11" t="s">
        <v>105</v>
      </c>
      <c r="P1482" s="11" t="s">
        <v>106</v>
      </c>
      <c r="Q1482" s="13" t="n">
        <f aca="false">F1482*H1482</f>
        <v>16441098</v>
      </c>
      <c r="R1482" s="13" t="n">
        <f aca="false">G1482*H1482</f>
        <v>13000000</v>
      </c>
      <c r="S1482" s="13" t="n">
        <f aca="false">Q1482-R1482</f>
        <v>3441098</v>
      </c>
      <c r="T1482" s="14" t="n">
        <f aca="false">IFERROR(S1482/Q1482,0)</f>
        <v>0.209298551714733</v>
      </c>
      <c r="U1482" s="15" t="str">
        <f aca="false">TEXT(A1482,"yyyy-mm")</f>
        <v>2022-06</v>
      </c>
    </row>
    <row r="1483" customFormat="false" ht="15" hidden="false" customHeight="false" outlineLevel="0" collapsed="false">
      <c r="A1483" s="10" t="n">
        <v>44740</v>
      </c>
      <c r="B1483" s="11" t="s">
        <v>1615</v>
      </c>
      <c r="C1483" s="11" t="s">
        <v>121</v>
      </c>
      <c r="D1483" s="11" t="s">
        <v>118</v>
      </c>
      <c r="E1483" s="11" t="s">
        <v>122</v>
      </c>
      <c r="F1483" s="12" t="n">
        <v>7687274</v>
      </c>
      <c r="G1483" s="12" t="n">
        <v>6500000</v>
      </c>
      <c r="H1483" s="11" t="n">
        <v>8</v>
      </c>
      <c r="I1483" s="11" t="s">
        <v>86</v>
      </c>
      <c r="J1483" s="11" t="s">
        <v>87</v>
      </c>
      <c r="K1483" s="11" t="s">
        <v>88</v>
      </c>
      <c r="L1483" s="11" t="s">
        <v>89</v>
      </c>
      <c r="M1483" s="11" t="s">
        <v>90</v>
      </c>
      <c r="N1483" s="11" t="s">
        <v>104</v>
      </c>
      <c r="O1483" s="11" t="s">
        <v>105</v>
      </c>
      <c r="P1483" s="11" t="s">
        <v>106</v>
      </c>
      <c r="Q1483" s="13" t="n">
        <f aca="false">F1483*H1483</f>
        <v>61498192</v>
      </c>
      <c r="R1483" s="13" t="n">
        <f aca="false">G1483*H1483</f>
        <v>52000000</v>
      </c>
      <c r="S1483" s="13" t="n">
        <f aca="false">Q1483-R1483</f>
        <v>9498192</v>
      </c>
      <c r="T1483" s="14" t="n">
        <f aca="false">IFERROR(S1483/Q1483,0)</f>
        <v>0.154446686822923</v>
      </c>
      <c r="U1483" s="15" t="str">
        <f aca="false">TEXT(A1483,"yyyy-mm")</f>
        <v>2022-06</v>
      </c>
    </row>
    <row r="1484" customFormat="false" ht="15" hidden="false" customHeight="false" outlineLevel="0" collapsed="false">
      <c r="A1484" s="10" t="n">
        <v>44741</v>
      </c>
      <c r="B1484" s="11" t="s">
        <v>1616</v>
      </c>
      <c r="C1484" s="11" t="s">
        <v>125</v>
      </c>
      <c r="D1484" s="11" t="s">
        <v>118</v>
      </c>
      <c r="E1484" s="11" t="s">
        <v>126</v>
      </c>
      <c r="F1484" s="12" t="n">
        <v>5684211</v>
      </c>
      <c r="G1484" s="12" t="n">
        <v>4300000</v>
      </c>
      <c r="H1484" s="11" t="n">
        <v>8</v>
      </c>
      <c r="I1484" s="11" t="s">
        <v>69</v>
      </c>
      <c r="J1484" s="11" t="s">
        <v>80</v>
      </c>
      <c r="K1484" s="11" t="s">
        <v>81</v>
      </c>
      <c r="L1484" s="11" t="s">
        <v>82</v>
      </c>
      <c r="M1484" s="11" t="s">
        <v>73</v>
      </c>
      <c r="N1484" s="11" t="s">
        <v>104</v>
      </c>
      <c r="O1484" s="11" t="s">
        <v>105</v>
      </c>
      <c r="P1484" s="11" t="s">
        <v>106</v>
      </c>
      <c r="Q1484" s="13" t="n">
        <f aca="false">F1484*H1484</f>
        <v>45473688</v>
      </c>
      <c r="R1484" s="13" t="n">
        <f aca="false">G1484*H1484</f>
        <v>34400000</v>
      </c>
      <c r="S1484" s="13" t="n">
        <f aca="false">Q1484-R1484</f>
        <v>11073688</v>
      </c>
      <c r="T1484" s="14" t="n">
        <f aca="false">IFERROR(S1484/Q1484,0)</f>
        <v>0.243518581558637</v>
      </c>
      <c r="U1484" s="15" t="str">
        <f aca="false">TEXT(A1484,"yyyy-mm")</f>
        <v>2022-06</v>
      </c>
    </row>
    <row r="1485" customFormat="false" ht="15" hidden="false" customHeight="false" outlineLevel="0" collapsed="false">
      <c r="A1485" s="10" t="n">
        <v>44741</v>
      </c>
      <c r="B1485" s="11" t="s">
        <v>1617</v>
      </c>
      <c r="C1485" s="11" t="s">
        <v>128</v>
      </c>
      <c r="D1485" s="11" t="s">
        <v>118</v>
      </c>
      <c r="E1485" s="11" t="s">
        <v>119</v>
      </c>
      <c r="F1485" s="12" t="n">
        <v>3370302</v>
      </c>
      <c r="G1485" s="12" t="n">
        <v>2100000</v>
      </c>
      <c r="H1485" s="11" t="n">
        <v>21</v>
      </c>
      <c r="I1485" s="11" t="s">
        <v>69</v>
      </c>
      <c r="J1485" s="11" t="s">
        <v>70</v>
      </c>
      <c r="K1485" s="11" t="s">
        <v>71</v>
      </c>
      <c r="L1485" s="11" t="s">
        <v>72</v>
      </c>
      <c r="M1485" s="11" t="s">
        <v>73</v>
      </c>
      <c r="N1485" s="11" t="s">
        <v>123</v>
      </c>
      <c r="O1485" s="11" t="s">
        <v>60</v>
      </c>
      <c r="P1485" s="11" t="s">
        <v>106</v>
      </c>
      <c r="Q1485" s="13" t="n">
        <f aca="false">F1485*H1485</f>
        <v>70776342</v>
      </c>
      <c r="R1485" s="13" t="n">
        <f aca="false">G1485*H1485</f>
        <v>44100000</v>
      </c>
      <c r="S1485" s="13" t="n">
        <f aca="false">Q1485-R1485</f>
        <v>26676342</v>
      </c>
      <c r="T1485" s="14" t="n">
        <f aca="false">IFERROR(S1485/Q1485,0)</f>
        <v>0.37691043710623</v>
      </c>
      <c r="U1485" s="15" t="str">
        <f aca="false">TEXT(A1485,"yyyy-mm")</f>
        <v>2022-06</v>
      </c>
    </row>
    <row r="1486" customFormat="false" ht="15" hidden="false" customHeight="false" outlineLevel="0" collapsed="false">
      <c r="A1486" s="10" t="n">
        <v>44741</v>
      </c>
      <c r="B1486" s="11" t="s">
        <v>1618</v>
      </c>
      <c r="C1486" s="11" t="s">
        <v>130</v>
      </c>
      <c r="D1486" s="11" t="s">
        <v>118</v>
      </c>
      <c r="E1486" s="11" t="s">
        <v>68</v>
      </c>
      <c r="F1486" s="12" t="n">
        <v>2852897</v>
      </c>
      <c r="G1486" s="12" t="n">
        <v>2450000</v>
      </c>
      <c r="H1486" s="11" t="n">
        <v>14</v>
      </c>
      <c r="I1486" s="11" t="s">
        <v>86</v>
      </c>
      <c r="J1486" s="11" t="s">
        <v>87</v>
      </c>
      <c r="K1486" s="11" t="s">
        <v>88</v>
      </c>
      <c r="L1486" s="11" t="s">
        <v>89</v>
      </c>
      <c r="M1486" s="11" t="s">
        <v>90</v>
      </c>
      <c r="N1486" s="11" t="s">
        <v>123</v>
      </c>
      <c r="O1486" s="11" t="s">
        <v>60</v>
      </c>
      <c r="P1486" s="11" t="s">
        <v>106</v>
      </c>
      <c r="Q1486" s="13" t="n">
        <f aca="false">F1486*H1486</f>
        <v>39940558</v>
      </c>
      <c r="R1486" s="13" t="n">
        <f aca="false">G1486*H1486</f>
        <v>34300000</v>
      </c>
      <c r="S1486" s="13" t="n">
        <f aca="false">Q1486-R1486</f>
        <v>5640558</v>
      </c>
      <c r="T1486" s="14" t="n">
        <f aca="false">IFERROR(S1486/Q1486,0)</f>
        <v>0.141223815651249</v>
      </c>
      <c r="U1486" s="15" t="str">
        <f aca="false">TEXT(A1486,"yyyy-mm")</f>
        <v>2022-06</v>
      </c>
    </row>
    <row r="1487" customFormat="false" ht="15" hidden="false" customHeight="false" outlineLevel="0" collapsed="false">
      <c r="A1487" s="10" t="n">
        <v>44742</v>
      </c>
      <c r="B1487" s="11" t="s">
        <v>1619</v>
      </c>
      <c r="C1487" s="11" t="s">
        <v>132</v>
      </c>
      <c r="D1487" s="11" t="s">
        <v>118</v>
      </c>
      <c r="E1487" s="11" t="s">
        <v>68</v>
      </c>
      <c r="F1487" s="12" t="n">
        <v>4803603</v>
      </c>
      <c r="G1487" s="12" t="n">
        <v>4121000</v>
      </c>
      <c r="H1487" s="11" t="n">
        <v>1</v>
      </c>
      <c r="I1487" s="11" t="s">
        <v>69</v>
      </c>
      <c r="J1487" s="11" t="s">
        <v>80</v>
      </c>
      <c r="K1487" s="11" t="s">
        <v>81</v>
      </c>
      <c r="L1487" s="11" t="s">
        <v>82</v>
      </c>
      <c r="M1487" s="11" t="s">
        <v>73</v>
      </c>
      <c r="N1487" s="11" t="s">
        <v>143</v>
      </c>
      <c r="O1487" s="11" t="s">
        <v>144</v>
      </c>
      <c r="P1487" s="11" t="s">
        <v>101</v>
      </c>
      <c r="Q1487" s="13" t="n">
        <f aca="false">F1487*H1487</f>
        <v>4803603</v>
      </c>
      <c r="R1487" s="13" t="n">
        <f aca="false">G1487*H1487</f>
        <v>4121000</v>
      </c>
      <c r="S1487" s="13" t="n">
        <f aca="false">Q1487-R1487</f>
        <v>682603</v>
      </c>
      <c r="T1487" s="14" t="n">
        <f aca="false">IFERROR(S1487/Q1487,0)</f>
        <v>0.142102292799801</v>
      </c>
      <c r="U1487" s="15" t="str">
        <f aca="false">TEXT(A1487,"yyyy-mm")</f>
        <v>2022-06</v>
      </c>
    </row>
    <row r="1488" customFormat="false" ht="15" hidden="false" customHeight="false" outlineLevel="0" collapsed="false">
      <c r="A1488" s="10" t="n">
        <v>44742</v>
      </c>
      <c r="B1488" s="11" t="s">
        <v>1620</v>
      </c>
      <c r="C1488" s="11" t="s">
        <v>135</v>
      </c>
      <c r="D1488" s="11" t="s">
        <v>118</v>
      </c>
      <c r="E1488" s="11" t="s">
        <v>68</v>
      </c>
      <c r="F1488" s="12" t="n">
        <v>5689947</v>
      </c>
      <c r="G1488" s="12" t="n">
        <v>5235000</v>
      </c>
      <c r="H1488" s="11" t="n">
        <v>23</v>
      </c>
      <c r="I1488" s="11" t="s">
        <v>69</v>
      </c>
      <c r="J1488" s="11" t="s">
        <v>80</v>
      </c>
      <c r="K1488" s="11" t="s">
        <v>81</v>
      </c>
      <c r="L1488" s="11" t="s">
        <v>82</v>
      </c>
      <c r="M1488" s="11" t="s">
        <v>73</v>
      </c>
      <c r="N1488" s="11" t="s">
        <v>149</v>
      </c>
      <c r="O1488" s="11" t="s">
        <v>150</v>
      </c>
      <c r="P1488" s="11" t="s">
        <v>151</v>
      </c>
      <c r="Q1488" s="13" t="n">
        <f aca="false">F1488*H1488</f>
        <v>130868781</v>
      </c>
      <c r="R1488" s="13" t="n">
        <f aca="false">G1488*H1488</f>
        <v>120405000</v>
      </c>
      <c r="S1488" s="13" t="n">
        <f aca="false">Q1488-R1488</f>
        <v>10463781</v>
      </c>
      <c r="T1488" s="14" t="n">
        <f aca="false">IFERROR(S1488/Q1488,0)</f>
        <v>0.0799562807878527</v>
      </c>
      <c r="U1488" s="15" t="str">
        <f aca="false">TEXT(A1488,"yyyy-mm")</f>
        <v>2022-06</v>
      </c>
    </row>
    <row r="1489" customFormat="false" ht="15" hidden="false" customHeight="false" outlineLevel="0" collapsed="false">
      <c r="A1489" s="10" t="n">
        <v>44742</v>
      </c>
      <c r="B1489" s="11" t="s">
        <v>1621</v>
      </c>
      <c r="C1489" s="11" t="s">
        <v>137</v>
      </c>
      <c r="D1489" s="11" t="s">
        <v>138</v>
      </c>
      <c r="E1489" s="11" t="s">
        <v>139</v>
      </c>
      <c r="F1489" s="12" t="n">
        <v>5171827</v>
      </c>
      <c r="G1489" s="12" t="n">
        <v>4890000</v>
      </c>
      <c r="H1489" s="11" t="n">
        <v>15</v>
      </c>
      <c r="I1489" s="11" t="s">
        <v>69</v>
      </c>
      <c r="J1489" s="11" t="s">
        <v>112</v>
      </c>
      <c r="K1489" s="11" t="s">
        <v>113</v>
      </c>
      <c r="L1489" s="11" t="s">
        <v>82</v>
      </c>
      <c r="M1489" s="11" t="s">
        <v>157</v>
      </c>
      <c r="N1489" s="11" t="s">
        <v>99</v>
      </c>
      <c r="O1489" s="11" t="s">
        <v>100</v>
      </c>
      <c r="P1489" s="11" t="s">
        <v>101</v>
      </c>
      <c r="Q1489" s="13" t="n">
        <f aca="false">F1489*H1489</f>
        <v>77577405</v>
      </c>
      <c r="R1489" s="13" t="n">
        <f aca="false">G1489*H1489</f>
        <v>73350000</v>
      </c>
      <c r="S1489" s="13" t="n">
        <f aca="false">Q1489-R1489</f>
        <v>4227405</v>
      </c>
      <c r="T1489" s="14" t="n">
        <f aca="false">IFERROR(S1489/Q1489,0)</f>
        <v>0.0544927353525166</v>
      </c>
      <c r="U1489" s="15" t="str">
        <f aca="false">TEXT(A1489,"yyyy-mm")</f>
        <v>2022-06</v>
      </c>
    </row>
    <row r="1490" customFormat="false" ht="15" hidden="false" customHeight="false" outlineLevel="0" collapsed="false">
      <c r="A1490" s="10" t="n">
        <v>44743</v>
      </c>
      <c r="B1490" s="11" t="s">
        <v>1622</v>
      </c>
      <c r="C1490" s="11" t="s">
        <v>141</v>
      </c>
      <c r="D1490" s="11" t="s">
        <v>138</v>
      </c>
      <c r="E1490" s="11" t="s">
        <v>142</v>
      </c>
      <c r="F1490" s="12" t="n">
        <v>2805124</v>
      </c>
      <c r="G1490" s="12" t="n">
        <v>2178000</v>
      </c>
      <c r="H1490" s="11" t="n">
        <v>12</v>
      </c>
      <c r="I1490" s="11" t="s">
        <v>69</v>
      </c>
      <c r="J1490" s="11" t="s">
        <v>112</v>
      </c>
      <c r="K1490" s="11" t="s">
        <v>113</v>
      </c>
      <c r="L1490" s="11" t="s">
        <v>82</v>
      </c>
      <c r="M1490" s="11" t="s">
        <v>157</v>
      </c>
      <c r="N1490" s="11" t="s">
        <v>74</v>
      </c>
      <c r="O1490" s="11" t="s">
        <v>75</v>
      </c>
      <c r="P1490" s="11" t="s">
        <v>76</v>
      </c>
      <c r="Q1490" s="13" t="n">
        <f aca="false">F1490*H1490</f>
        <v>33661488</v>
      </c>
      <c r="R1490" s="13" t="n">
        <f aca="false">G1490*H1490</f>
        <v>26136000</v>
      </c>
      <c r="S1490" s="13" t="n">
        <f aca="false">Q1490-R1490</f>
        <v>7525488</v>
      </c>
      <c r="T1490" s="14" t="n">
        <f aca="false">IFERROR(S1490/Q1490,0)</f>
        <v>0.22356373550688</v>
      </c>
      <c r="U1490" s="15" t="str">
        <f aca="false">TEXT(A1490,"yyyy-mm")</f>
        <v>2022-07</v>
      </c>
    </row>
    <row r="1491" customFormat="false" ht="15" hidden="false" customHeight="false" outlineLevel="0" collapsed="false">
      <c r="A1491" s="10" t="n">
        <v>44744</v>
      </c>
      <c r="B1491" s="11" t="s">
        <v>1623</v>
      </c>
      <c r="C1491" s="11" t="s">
        <v>146</v>
      </c>
      <c r="D1491" s="11" t="s">
        <v>138</v>
      </c>
      <c r="E1491" s="11" t="s">
        <v>139</v>
      </c>
      <c r="F1491" s="12" t="n">
        <v>2728100</v>
      </c>
      <c r="G1491" s="12" t="n">
        <v>2321000</v>
      </c>
      <c r="H1491" s="11" t="n">
        <v>11</v>
      </c>
      <c r="I1491" s="11" t="s">
        <v>69</v>
      </c>
      <c r="J1491" s="11" t="s">
        <v>80</v>
      </c>
      <c r="K1491" s="11" t="s">
        <v>81</v>
      </c>
      <c r="L1491" s="11" t="s">
        <v>82</v>
      </c>
      <c r="M1491" s="11" t="s">
        <v>73</v>
      </c>
      <c r="N1491" s="11" t="s">
        <v>74</v>
      </c>
      <c r="O1491" s="11" t="s">
        <v>75</v>
      </c>
      <c r="P1491" s="11" t="s">
        <v>76</v>
      </c>
      <c r="Q1491" s="13" t="n">
        <f aca="false">F1491*H1491</f>
        <v>30009100</v>
      </c>
      <c r="R1491" s="13" t="n">
        <f aca="false">G1491*H1491</f>
        <v>25531000</v>
      </c>
      <c r="S1491" s="13" t="n">
        <f aca="false">Q1491-R1491</f>
        <v>4478100</v>
      </c>
      <c r="T1491" s="14" t="n">
        <f aca="false">IFERROR(S1491/Q1491,0)</f>
        <v>0.149224735163667</v>
      </c>
      <c r="U1491" s="15" t="str">
        <f aca="false">TEXT(A1491,"yyyy-mm")</f>
        <v>2022-07</v>
      </c>
    </row>
    <row r="1492" customFormat="false" ht="15" hidden="false" customHeight="false" outlineLevel="0" collapsed="false">
      <c r="A1492" s="10" t="n">
        <v>44745</v>
      </c>
      <c r="B1492" s="11" t="s">
        <v>1624</v>
      </c>
      <c r="C1492" s="11" t="s">
        <v>148</v>
      </c>
      <c r="D1492" s="11" t="s">
        <v>138</v>
      </c>
      <c r="E1492" s="11" t="s">
        <v>122</v>
      </c>
      <c r="F1492" s="12" t="n">
        <v>4941716</v>
      </c>
      <c r="G1492" s="12" t="n">
        <v>4456000</v>
      </c>
      <c r="H1492" s="11" t="n">
        <v>29</v>
      </c>
      <c r="I1492" s="11" t="s">
        <v>69</v>
      </c>
      <c r="J1492" s="11" t="s">
        <v>70</v>
      </c>
      <c r="K1492" s="11" t="s">
        <v>71</v>
      </c>
      <c r="L1492" s="11" t="s">
        <v>72</v>
      </c>
      <c r="M1492" s="11" t="s">
        <v>73</v>
      </c>
      <c r="N1492" s="11" t="s">
        <v>109</v>
      </c>
      <c r="O1492" s="11" t="s">
        <v>75</v>
      </c>
      <c r="P1492" s="11" t="s">
        <v>95</v>
      </c>
      <c r="Q1492" s="13" t="n">
        <f aca="false">F1492*H1492</f>
        <v>143309764</v>
      </c>
      <c r="R1492" s="13" t="n">
        <f aca="false">G1492*H1492</f>
        <v>129224000</v>
      </c>
      <c r="S1492" s="13" t="n">
        <f aca="false">Q1492-R1492</f>
        <v>14085764</v>
      </c>
      <c r="T1492" s="14" t="n">
        <f aca="false">IFERROR(S1492/Q1492,0)</f>
        <v>0.0982889344511097</v>
      </c>
      <c r="U1492" s="15" t="str">
        <f aca="false">TEXT(A1492,"yyyy-mm")</f>
        <v>2022-07</v>
      </c>
    </row>
    <row r="1493" customFormat="false" ht="15" hidden="false" customHeight="false" outlineLevel="0" collapsed="false">
      <c r="A1493" s="10" t="n">
        <v>44746</v>
      </c>
      <c r="B1493" s="11" t="s">
        <v>1625</v>
      </c>
      <c r="C1493" s="11" t="s">
        <v>66</v>
      </c>
      <c r="D1493" s="11" t="s">
        <v>67</v>
      </c>
      <c r="E1493" s="11" t="s">
        <v>68</v>
      </c>
      <c r="F1493" s="12" t="n">
        <v>3048952</v>
      </c>
      <c r="G1493" s="12" t="n">
        <v>2560000</v>
      </c>
      <c r="H1493" s="11" t="n">
        <v>19</v>
      </c>
      <c r="I1493" s="11" t="s">
        <v>69</v>
      </c>
      <c r="J1493" s="11" t="s">
        <v>70</v>
      </c>
      <c r="K1493" s="11" t="s">
        <v>71</v>
      </c>
      <c r="L1493" s="11" t="s">
        <v>72</v>
      </c>
      <c r="M1493" s="11" t="s">
        <v>73</v>
      </c>
      <c r="N1493" s="11" t="s">
        <v>104</v>
      </c>
      <c r="O1493" s="11" t="s">
        <v>105</v>
      </c>
      <c r="P1493" s="11" t="s">
        <v>106</v>
      </c>
      <c r="Q1493" s="13" t="n">
        <f aca="false">F1493*H1493</f>
        <v>57930088</v>
      </c>
      <c r="R1493" s="13" t="n">
        <f aca="false">G1493*H1493</f>
        <v>48640000</v>
      </c>
      <c r="S1493" s="13" t="n">
        <f aca="false">Q1493-R1493</f>
        <v>9290088</v>
      </c>
      <c r="T1493" s="14" t="n">
        <f aca="false">IFERROR(S1493/Q1493,0)</f>
        <v>0.160367234380863</v>
      </c>
      <c r="U1493" s="15" t="str">
        <f aca="false">TEXT(A1493,"yyyy-mm")</f>
        <v>2022-07</v>
      </c>
    </row>
    <row r="1494" customFormat="false" ht="15" hidden="false" customHeight="false" outlineLevel="0" collapsed="false">
      <c r="A1494" s="10" t="n">
        <v>44746</v>
      </c>
      <c r="B1494" s="11" t="s">
        <v>1626</v>
      </c>
      <c r="C1494" s="11" t="s">
        <v>78</v>
      </c>
      <c r="D1494" s="11" t="s">
        <v>67</v>
      </c>
      <c r="E1494" s="11" t="s">
        <v>79</v>
      </c>
      <c r="F1494" s="12" t="n">
        <v>1870000</v>
      </c>
      <c r="G1494" s="12" t="n">
        <v>1650000</v>
      </c>
      <c r="H1494" s="11" t="n">
        <v>9</v>
      </c>
      <c r="I1494" s="11" t="s">
        <v>69</v>
      </c>
      <c r="J1494" s="11" t="s">
        <v>70</v>
      </c>
      <c r="K1494" s="11" t="s">
        <v>71</v>
      </c>
      <c r="L1494" s="11" t="s">
        <v>72</v>
      </c>
      <c r="M1494" s="11" t="s">
        <v>73</v>
      </c>
      <c r="N1494" s="11" t="s">
        <v>133</v>
      </c>
      <c r="O1494" s="11" t="s">
        <v>60</v>
      </c>
      <c r="P1494" s="11" t="s">
        <v>76</v>
      </c>
      <c r="Q1494" s="13" t="n">
        <f aca="false">F1494*H1494</f>
        <v>16830000</v>
      </c>
      <c r="R1494" s="13" t="n">
        <f aca="false">G1494*H1494</f>
        <v>14850000</v>
      </c>
      <c r="S1494" s="13" t="n">
        <f aca="false">Q1494-R1494</f>
        <v>1980000</v>
      </c>
      <c r="T1494" s="14" t="n">
        <f aca="false">IFERROR(S1494/Q1494,0)</f>
        <v>0.117647058823529</v>
      </c>
      <c r="U1494" s="15" t="str">
        <f aca="false">TEXT(A1494,"yyyy-mm")</f>
        <v>2022-07</v>
      </c>
    </row>
    <row r="1495" customFormat="false" ht="15" hidden="false" customHeight="false" outlineLevel="0" collapsed="false">
      <c r="A1495" s="10" t="n">
        <v>44746</v>
      </c>
      <c r="B1495" s="11" t="s">
        <v>1627</v>
      </c>
      <c r="C1495" s="11" t="s">
        <v>84</v>
      </c>
      <c r="D1495" s="11" t="s">
        <v>67</v>
      </c>
      <c r="E1495" s="11" t="s">
        <v>85</v>
      </c>
      <c r="F1495" s="12" t="n">
        <v>2600000</v>
      </c>
      <c r="G1495" s="12" t="n">
        <v>2300000</v>
      </c>
      <c r="H1495" s="11" t="n">
        <v>10</v>
      </c>
      <c r="I1495" s="11" t="s">
        <v>69</v>
      </c>
      <c r="J1495" s="11" t="s">
        <v>112</v>
      </c>
      <c r="K1495" s="11" t="s">
        <v>113</v>
      </c>
      <c r="L1495" s="11" t="s">
        <v>82</v>
      </c>
      <c r="M1495" s="11" t="s">
        <v>157</v>
      </c>
      <c r="N1495" s="11" t="s">
        <v>99</v>
      </c>
      <c r="O1495" s="11" t="s">
        <v>100</v>
      </c>
      <c r="P1495" s="11" t="s">
        <v>101</v>
      </c>
      <c r="Q1495" s="13" t="n">
        <f aca="false">F1495*H1495</f>
        <v>26000000</v>
      </c>
      <c r="R1495" s="13" t="n">
        <f aca="false">G1495*H1495</f>
        <v>23000000</v>
      </c>
      <c r="S1495" s="13" t="n">
        <f aca="false">Q1495-R1495</f>
        <v>3000000</v>
      </c>
      <c r="T1495" s="14" t="n">
        <f aca="false">IFERROR(S1495/Q1495,0)</f>
        <v>0.115384615384615</v>
      </c>
      <c r="U1495" s="15" t="str">
        <f aca="false">TEXT(A1495,"yyyy-mm")</f>
        <v>2022-07</v>
      </c>
    </row>
    <row r="1496" customFormat="false" ht="15" hidden="false" customHeight="false" outlineLevel="0" collapsed="false">
      <c r="A1496" s="10" t="n">
        <v>44749</v>
      </c>
      <c r="B1496" s="11" t="s">
        <v>1628</v>
      </c>
      <c r="C1496" s="11" t="s">
        <v>92</v>
      </c>
      <c r="D1496" s="11" t="s">
        <v>67</v>
      </c>
      <c r="E1496" s="11" t="s">
        <v>79</v>
      </c>
      <c r="F1496" s="12" t="n">
        <v>3577480</v>
      </c>
      <c r="G1496" s="12" t="n">
        <v>3100000</v>
      </c>
      <c r="H1496" s="11" t="n">
        <v>30</v>
      </c>
      <c r="I1496" s="11" t="s">
        <v>86</v>
      </c>
      <c r="J1496" s="11" t="s">
        <v>87</v>
      </c>
      <c r="K1496" s="11" t="s">
        <v>88</v>
      </c>
      <c r="L1496" s="11" t="s">
        <v>89</v>
      </c>
      <c r="M1496" s="11" t="s">
        <v>90</v>
      </c>
      <c r="N1496" s="11" t="s">
        <v>143</v>
      </c>
      <c r="O1496" s="11" t="s">
        <v>144</v>
      </c>
      <c r="P1496" s="11" t="s">
        <v>101</v>
      </c>
      <c r="Q1496" s="13" t="n">
        <f aca="false">F1496*H1496</f>
        <v>107324400</v>
      </c>
      <c r="R1496" s="13" t="n">
        <f aca="false">G1496*H1496</f>
        <v>93000000</v>
      </c>
      <c r="S1496" s="13" t="n">
        <f aca="false">Q1496-R1496</f>
        <v>14324400</v>
      </c>
      <c r="T1496" s="14" t="n">
        <f aca="false">IFERROR(S1496/Q1496,0)</f>
        <v>0.133468251394837</v>
      </c>
      <c r="U1496" s="15" t="str">
        <f aca="false">TEXT(A1496,"yyyy-mm")</f>
        <v>2022-07</v>
      </c>
    </row>
    <row r="1497" customFormat="false" ht="15" hidden="false" customHeight="false" outlineLevel="0" collapsed="false">
      <c r="A1497" s="10" t="n">
        <v>44749</v>
      </c>
      <c r="B1497" s="11" t="s">
        <v>1629</v>
      </c>
      <c r="C1497" s="11" t="s">
        <v>97</v>
      </c>
      <c r="D1497" s="11" t="s">
        <v>67</v>
      </c>
      <c r="E1497" s="11" t="s">
        <v>98</v>
      </c>
      <c r="F1497" s="12" t="n">
        <v>4969724</v>
      </c>
      <c r="G1497" s="12" t="n">
        <v>4121560</v>
      </c>
      <c r="H1497" s="11" t="n">
        <v>10</v>
      </c>
      <c r="I1497" s="11" t="s">
        <v>69</v>
      </c>
      <c r="J1497" s="11" t="s">
        <v>70</v>
      </c>
      <c r="K1497" s="11" t="s">
        <v>71</v>
      </c>
      <c r="L1497" s="11" t="s">
        <v>72</v>
      </c>
      <c r="M1497" s="11" t="s">
        <v>73</v>
      </c>
      <c r="N1497" s="11" t="s">
        <v>133</v>
      </c>
      <c r="O1497" s="11" t="s">
        <v>60</v>
      </c>
      <c r="P1497" s="11" t="s">
        <v>76</v>
      </c>
      <c r="Q1497" s="13" t="n">
        <f aca="false">F1497*H1497</f>
        <v>49697240</v>
      </c>
      <c r="R1497" s="13" t="n">
        <f aca="false">G1497*H1497</f>
        <v>41215600</v>
      </c>
      <c r="S1497" s="13" t="n">
        <f aca="false">Q1497-R1497</f>
        <v>8481640</v>
      </c>
      <c r="T1497" s="14" t="n">
        <f aca="false">IFERROR(S1497/Q1497,0)</f>
        <v>0.170666218083741</v>
      </c>
      <c r="U1497" s="15" t="str">
        <f aca="false">TEXT(A1497,"yyyy-mm")</f>
        <v>2022-07</v>
      </c>
    </row>
    <row r="1498" customFormat="false" ht="15" hidden="false" customHeight="false" outlineLevel="0" collapsed="false">
      <c r="A1498" s="10" t="n">
        <v>44750</v>
      </c>
      <c r="B1498" s="11" t="s">
        <v>1630</v>
      </c>
      <c r="C1498" s="11" t="s">
        <v>103</v>
      </c>
      <c r="D1498" s="11" t="s">
        <v>67</v>
      </c>
      <c r="E1498" s="11" t="s">
        <v>68</v>
      </c>
      <c r="F1498" s="12" t="n">
        <v>3319925</v>
      </c>
      <c r="G1498" s="12" t="n">
        <v>2800000</v>
      </c>
      <c r="H1498" s="11" t="n">
        <v>10</v>
      </c>
      <c r="I1498" s="11" t="s">
        <v>69</v>
      </c>
      <c r="J1498" s="11" t="s">
        <v>80</v>
      </c>
      <c r="K1498" s="11" t="s">
        <v>81</v>
      </c>
      <c r="L1498" s="11" t="s">
        <v>82</v>
      </c>
      <c r="M1498" s="11" t="s">
        <v>73</v>
      </c>
      <c r="N1498" s="11" t="s">
        <v>149</v>
      </c>
      <c r="O1498" s="11" t="s">
        <v>150</v>
      </c>
      <c r="P1498" s="11" t="s">
        <v>151</v>
      </c>
      <c r="Q1498" s="13" t="n">
        <f aca="false">F1498*H1498</f>
        <v>33199250</v>
      </c>
      <c r="R1498" s="13" t="n">
        <f aca="false">G1498*H1498</f>
        <v>28000000</v>
      </c>
      <c r="S1498" s="13" t="n">
        <f aca="false">Q1498-R1498</f>
        <v>5199250</v>
      </c>
      <c r="T1498" s="14" t="n">
        <f aca="false">IFERROR(S1498/Q1498,0)</f>
        <v>0.15660745348163</v>
      </c>
      <c r="U1498" s="15" t="str">
        <f aca="false">TEXT(A1498,"yyyy-mm")</f>
        <v>2022-07</v>
      </c>
    </row>
    <row r="1499" customFormat="false" ht="15" hidden="false" customHeight="false" outlineLevel="0" collapsed="false">
      <c r="A1499" s="10" t="n">
        <v>44750</v>
      </c>
      <c r="B1499" s="11" t="s">
        <v>1631</v>
      </c>
      <c r="C1499" s="11" t="s">
        <v>108</v>
      </c>
      <c r="D1499" s="11" t="s">
        <v>67</v>
      </c>
      <c r="E1499" s="11" t="s">
        <v>68</v>
      </c>
      <c r="F1499" s="12" t="n">
        <v>4757880</v>
      </c>
      <c r="G1499" s="12" t="n">
        <v>3450000</v>
      </c>
      <c r="H1499" s="11" t="n">
        <v>5</v>
      </c>
      <c r="I1499" s="11" t="s">
        <v>69</v>
      </c>
      <c r="J1499" s="11" t="s">
        <v>80</v>
      </c>
      <c r="K1499" s="11" t="s">
        <v>81</v>
      </c>
      <c r="L1499" s="11" t="s">
        <v>82</v>
      </c>
      <c r="M1499" s="11" t="s">
        <v>73</v>
      </c>
      <c r="N1499" s="11" t="s">
        <v>99</v>
      </c>
      <c r="O1499" s="11" t="s">
        <v>100</v>
      </c>
      <c r="P1499" s="11" t="s">
        <v>101</v>
      </c>
      <c r="Q1499" s="13" t="n">
        <f aca="false">F1499*H1499</f>
        <v>23789400</v>
      </c>
      <c r="R1499" s="13" t="n">
        <f aca="false">G1499*H1499</f>
        <v>17250000</v>
      </c>
      <c r="S1499" s="13" t="n">
        <f aca="false">Q1499-R1499</f>
        <v>6539400</v>
      </c>
      <c r="T1499" s="14" t="n">
        <f aca="false">IFERROR(S1499/Q1499,0)</f>
        <v>0.274887134606169</v>
      </c>
      <c r="U1499" s="15" t="str">
        <f aca="false">TEXT(A1499,"yyyy-mm")</f>
        <v>2022-07</v>
      </c>
    </row>
    <row r="1500" customFormat="false" ht="15" hidden="false" customHeight="false" outlineLevel="0" collapsed="false">
      <c r="A1500" s="10" t="n">
        <v>44751</v>
      </c>
      <c r="B1500" s="11" t="s">
        <v>1632</v>
      </c>
      <c r="C1500" s="11" t="s">
        <v>111</v>
      </c>
      <c r="D1500" s="11" t="s">
        <v>67</v>
      </c>
      <c r="E1500" s="11" t="s">
        <v>79</v>
      </c>
      <c r="F1500" s="12" t="n">
        <v>3545808</v>
      </c>
      <c r="G1500" s="12" t="n">
        <v>3350000</v>
      </c>
      <c r="H1500" s="11" t="n">
        <v>16</v>
      </c>
      <c r="I1500" s="11" t="s">
        <v>69</v>
      </c>
      <c r="J1500" s="11" t="s">
        <v>70</v>
      </c>
      <c r="K1500" s="11" t="s">
        <v>71</v>
      </c>
      <c r="L1500" s="11" t="s">
        <v>72</v>
      </c>
      <c r="M1500" s="11" t="s">
        <v>73</v>
      </c>
      <c r="N1500" s="11" t="s">
        <v>99</v>
      </c>
      <c r="O1500" s="11" t="s">
        <v>100</v>
      </c>
      <c r="P1500" s="11" t="s">
        <v>101</v>
      </c>
      <c r="Q1500" s="13" t="n">
        <f aca="false">F1500*H1500</f>
        <v>56732928</v>
      </c>
      <c r="R1500" s="13" t="n">
        <f aca="false">G1500*H1500</f>
        <v>53600000</v>
      </c>
      <c r="S1500" s="13" t="n">
        <f aca="false">Q1500-R1500</f>
        <v>3132928</v>
      </c>
      <c r="T1500" s="14" t="n">
        <f aca="false">IFERROR(S1500/Q1500,0)</f>
        <v>0.0552223921881839</v>
      </c>
      <c r="U1500" s="15" t="str">
        <f aca="false">TEXT(A1500,"yyyy-mm")</f>
        <v>2022-07</v>
      </c>
    </row>
    <row r="1501" customFormat="false" ht="15" hidden="false" customHeight="false" outlineLevel="0" collapsed="false">
      <c r="A1501" s="10" t="n">
        <v>44751</v>
      </c>
      <c r="B1501" s="11" t="s">
        <v>1633</v>
      </c>
      <c r="C1501" s="11" t="s">
        <v>115</v>
      </c>
      <c r="D1501" s="11" t="s">
        <v>67</v>
      </c>
      <c r="E1501" s="11" t="s">
        <v>98</v>
      </c>
      <c r="F1501" s="12" t="n">
        <v>4200743</v>
      </c>
      <c r="G1501" s="12" t="n">
        <v>4101000</v>
      </c>
      <c r="H1501" s="11" t="n">
        <v>8</v>
      </c>
      <c r="I1501" s="11" t="s">
        <v>86</v>
      </c>
      <c r="J1501" s="11" t="s">
        <v>87</v>
      </c>
      <c r="K1501" s="11" t="s">
        <v>88</v>
      </c>
      <c r="L1501" s="11" t="s">
        <v>89</v>
      </c>
      <c r="M1501" s="11" t="s">
        <v>90</v>
      </c>
      <c r="N1501" s="11" t="s">
        <v>149</v>
      </c>
      <c r="O1501" s="11" t="s">
        <v>150</v>
      </c>
      <c r="P1501" s="11" t="s">
        <v>151</v>
      </c>
      <c r="Q1501" s="13" t="n">
        <f aca="false">F1501*H1501</f>
        <v>33605944</v>
      </c>
      <c r="R1501" s="13" t="n">
        <f aca="false">G1501*H1501</f>
        <v>32808000</v>
      </c>
      <c r="S1501" s="13" t="n">
        <f aca="false">Q1501-R1501</f>
        <v>797944</v>
      </c>
      <c r="T1501" s="14" t="n">
        <f aca="false">IFERROR(S1501/Q1501,0)</f>
        <v>0.023744132883159</v>
      </c>
      <c r="U1501" s="15" t="str">
        <f aca="false">TEXT(A1501,"yyyy-mm")</f>
        <v>2022-07</v>
      </c>
    </row>
    <row r="1502" customFormat="false" ht="15" hidden="false" customHeight="false" outlineLevel="0" collapsed="false">
      <c r="A1502" s="10" t="n">
        <v>44753</v>
      </c>
      <c r="B1502" s="11" t="s">
        <v>1634</v>
      </c>
      <c r="C1502" s="11" t="s">
        <v>117</v>
      </c>
      <c r="D1502" s="11" t="s">
        <v>118</v>
      </c>
      <c r="E1502" s="11" t="s">
        <v>119</v>
      </c>
      <c r="F1502" s="12" t="n">
        <v>8220549</v>
      </c>
      <c r="G1502" s="12" t="n">
        <v>6500000</v>
      </c>
      <c r="H1502" s="11" t="n">
        <v>7</v>
      </c>
      <c r="I1502" s="11" t="s">
        <v>86</v>
      </c>
      <c r="J1502" s="11" t="s">
        <v>87</v>
      </c>
      <c r="K1502" s="11" t="s">
        <v>88</v>
      </c>
      <c r="L1502" s="11" t="s">
        <v>89</v>
      </c>
      <c r="M1502" s="11" t="s">
        <v>90</v>
      </c>
      <c r="N1502" s="11" t="s">
        <v>123</v>
      </c>
      <c r="O1502" s="11" t="s">
        <v>60</v>
      </c>
      <c r="P1502" s="11" t="s">
        <v>106</v>
      </c>
      <c r="Q1502" s="13" t="n">
        <f aca="false">F1502*H1502</f>
        <v>57543843</v>
      </c>
      <c r="R1502" s="13" t="n">
        <f aca="false">G1502*H1502</f>
        <v>45500000</v>
      </c>
      <c r="S1502" s="13" t="n">
        <f aca="false">Q1502-R1502</f>
        <v>12043843</v>
      </c>
      <c r="T1502" s="14" t="n">
        <f aca="false">IFERROR(S1502/Q1502,0)</f>
        <v>0.209298551714733</v>
      </c>
      <c r="U1502" s="15" t="str">
        <f aca="false">TEXT(A1502,"yyyy-mm")</f>
        <v>2022-07</v>
      </c>
    </row>
    <row r="1503" customFormat="false" ht="15" hidden="false" customHeight="false" outlineLevel="0" collapsed="false">
      <c r="A1503" s="10" t="n">
        <v>44754</v>
      </c>
      <c r="B1503" s="11" t="s">
        <v>1635</v>
      </c>
      <c r="C1503" s="11" t="s">
        <v>121</v>
      </c>
      <c r="D1503" s="11" t="s">
        <v>118</v>
      </c>
      <c r="E1503" s="11" t="s">
        <v>122</v>
      </c>
      <c r="F1503" s="12" t="n">
        <v>7687274</v>
      </c>
      <c r="G1503" s="12" t="n">
        <v>6500000</v>
      </c>
      <c r="H1503" s="11" t="n">
        <v>6</v>
      </c>
      <c r="I1503" s="11" t="s">
        <v>69</v>
      </c>
      <c r="J1503" s="11" t="s">
        <v>80</v>
      </c>
      <c r="K1503" s="11" t="s">
        <v>81</v>
      </c>
      <c r="L1503" s="11" t="s">
        <v>82</v>
      </c>
      <c r="M1503" s="11" t="s">
        <v>73</v>
      </c>
      <c r="N1503" s="11" t="s">
        <v>109</v>
      </c>
      <c r="O1503" s="11" t="s">
        <v>75</v>
      </c>
      <c r="P1503" s="11" t="s">
        <v>95</v>
      </c>
      <c r="Q1503" s="13" t="n">
        <f aca="false">F1503*H1503</f>
        <v>46123644</v>
      </c>
      <c r="R1503" s="13" t="n">
        <f aca="false">G1503*H1503</f>
        <v>39000000</v>
      </c>
      <c r="S1503" s="13" t="n">
        <f aca="false">Q1503-R1503</f>
        <v>7123644</v>
      </c>
      <c r="T1503" s="14" t="n">
        <f aca="false">IFERROR(S1503/Q1503,0)</f>
        <v>0.154446686822923</v>
      </c>
      <c r="U1503" s="15" t="str">
        <f aca="false">TEXT(A1503,"yyyy-mm")</f>
        <v>2022-07</v>
      </c>
    </row>
    <row r="1504" customFormat="false" ht="15" hidden="false" customHeight="false" outlineLevel="0" collapsed="false">
      <c r="A1504" s="10" t="n">
        <v>44755</v>
      </c>
      <c r="B1504" s="11" t="s">
        <v>1636</v>
      </c>
      <c r="C1504" s="11" t="s">
        <v>125</v>
      </c>
      <c r="D1504" s="11" t="s">
        <v>118</v>
      </c>
      <c r="E1504" s="11" t="s">
        <v>126</v>
      </c>
      <c r="F1504" s="12" t="n">
        <v>5684211</v>
      </c>
      <c r="G1504" s="12" t="n">
        <v>4300000</v>
      </c>
      <c r="H1504" s="11" t="n">
        <v>11</v>
      </c>
      <c r="I1504" s="11" t="s">
        <v>69</v>
      </c>
      <c r="J1504" s="11" t="s">
        <v>112</v>
      </c>
      <c r="K1504" s="11" t="s">
        <v>113</v>
      </c>
      <c r="L1504" s="11" t="s">
        <v>82</v>
      </c>
      <c r="M1504" s="11" t="s">
        <v>157</v>
      </c>
      <c r="N1504" s="11" t="s">
        <v>104</v>
      </c>
      <c r="O1504" s="11" t="s">
        <v>105</v>
      </c>
      <c r="P1504" s="11" t="s">
        <v>106</v>
      </c>
      <c r="Q1504" s="13" t="n">
        <f aca="false">F1504*H1504</f>
        <v>62526321</v>
      </c>
      <c r="R1504" s="13" t="n">
        <f aca="false">G1504*H1504</f>
        <v>47300000</v>
      </c>
      <c r="S1504" s="13" t="n">
        <f aca="false">Q1504-R1504</f>
        <v>15226321</v>
      </c>
      <c r="T1504" s="14" t="n">
        <f aca="false">IFERROR(S1504/Q1504,0)</f>
        <v>0.243518581558637</v>
      </c>
      <c r="U1504" s="15" t="str">
        <f aca="false">TEXT(A1504,"yyyy-mm")</f>
        <v>2022-07</v>
      </c>
    </row>
    <row r="1505" customFormat="false" ht="15" hidden="false" customHeight="false" outlineLevel="0" collapsed="false">
      <c r="A1505" s="10" t="n">
        <v>44755</v>
      </c>
      <c r="B1505" s="11" t="s">
        <v>1637</v>
      </c>
      <c r="C1505" s="11" t="s">
        <v>128</v>
      </c>
      <c r="D1505" s="11" t="s">
        <v>118</v>
      </c>
      <c r="E1505" s="11" t="s">
        <v>119</v>
      </c>
      <c r="F1505" s="12" t="n">
        <v>3370302</v>
      </c>
      <c r="G1505" s="12" t="n">
        <v>2100000</v>
      </c>
      <c r="H1505" s="11" t="n">
        <v>9</v>
      </c>
      <c r="I1505" s="11" t="s">
        <v>69</v>
      </c>
      <c r="J1505" s="11" t="s">
        <v>80</v>
      </c>
      <c r="K1505" s="11" t="s">
        <v>81</v>
      </c>
      <c r="L1505" s="11" t="s">
        <v>82</v>
      </c>
      <c r="M1505" s="11" t="s">
        <v>73</v>
      </c>
      <c r="N1505" s="11" t="s">
        <v>173</v>
      </c>
      <c r="O1505" s="11" t="s">
        <v>174</v>
      </c>
      <c r="P1505" s="11" t="s">
        <v>95</v>
      </c>
      <c r="Q1505" s="13" t="n">
        <f aca="false">F1505*H1505</f>
        <v>30332718</v>
      </c>
      <c r="R1505" s="13" t="n">
        <f aca="false">G1505*H1505</f>
        <v>18900000</v>
      </c>
      <c r="S1505" s="13" t="n">
        <f aca="false">Q1505-R1505</f>
        <v>11432718</v>
      </c>
      <c r="T1505" s="14" t="n">
        <f aca="false">IFERROR(S1505/Q1505,0)</f>
        <v>0.37691043710623</v>
      </c>
      <c r="U1505" s="15" t="str">
        <f aca="false">TEXT(A1505,"yyyy-mm")</f>
        <v>2022-07</v>
      </c>
    </row>
    <row r="1506" customFormat="false" ht="15" hidden="false" customHeight="false" outlineLevel="0" collapsed="false">
      <c r="A1506" s="10" t="n">
        <v>44756</v>
      </c>
      <c r="B1506" s="11" t="s">
        <v>1638</v>
      </c>
      <c r="C1506" s="11" t="s">
        <v>130</v>
      </c>
      <c r="D1506" s="11" t="s">
        <v>118</v>
      </c>
      <c r="E1506" s="11" t="s">
        <v>68</v>
      </c>
      <c r="F1506" s="12" t="n">
        <v>2852897</v>
      </c>
      <c r="G1506" s="12" t="n">
        <v>2450000</v>
      </c>
      <c r="H1506" s="11" t="n">
        <v>12</v>
      </c>
      <c r="I1506" s="11" t="s">
        <v>69</v>
      </c>
      <c r="J1506" s="11" t="s">
        <v>112</v>
      </c>
      <c r="K1506" s="11" t="s">
        <v>113</v>
      </c>
      <c r="L1506" s="11" t="s">
        <v>82</v>
      </c>
      <c r="M1506" s="11" t="s">
        <v>157</v>
      </c>
      <c r="N1506" s="11" t="s">
        <v>93</v>
      </c>
      <c r="O1506" s="11" t="s">
        <v>94</v>
      </c>
      <c r="P1506" s="11" t="s">
        <v>95</v>
      </c>
      <c r="Q1506" s="13" t="n">
        <f aca="false">F1506*H1506</f>
        <v>34234764</v>
      </c>
      <c r="R1506" s="13" t="n">
        <f aca="false">G1506*H1506</f>
        <v>29400000</v>
      </c>
      <c r="S1506" s="13" t="n">
        <f aca="false">Q1506-R1506</f>
        <v>4834764</v>
      </c>
      <c r="T1506" s="14" t="n">
        <f aca="false">IFERROR(S1506/Q1506,0)</f>
        <v>0.141223815651249</v>
      </c>
      <c r="U1506" s="15" t="str">
        <f aca="false">TEXT(A1506,"yyyy-mm")</f>
        <v>2022-07</v>
      </c>
    </row>
    <row r="1507" customFormat="false" ht="15" hidden="false" customHeight="false" outlineLevel="0" collapsed="false">
      <c r="A1507" s="10" t="n">
        <v>44756</v>
      </c>
      <c r="B1507" s="11" t="s">
        <v>1639</v>
      </c>
      <c r="C1507" s="11" t="s">
        <v>132</v>
      </c>
      <c r="D1507" s="11" t="s">
        <v>118</v>
      </c>
      <c r="E1507" s="11" t="s">
        <v>68</v>
      </c>
      <c r="F1507" s="12" t="n">
        <v>4803603</v>
      </c>
      <c r="G1507" s="12" t="n">
        <v>4121000</v>
      </c>
      <c r="H1507" s="11" t="n">
        <v>15</v>
      </c>
      <c r="I1507" s="11" t="s">
        <v>69</v>
      </c>
      <c r="J1507" s="11" t="s">
        <v>112</v>
      </c>
      <c r="K1507" s="11" t="s">
        <v>113</v>
      </c>
      <c r="L1507" s="11" t="s">
        <v>82</v>
      </c>
      <c r="M1507" s="11" t="s">
        <v>157</v>
      </c>
      <c r="N1507" s="11" t="s">
        <v>74</v>
      </c>
      <c r="O1507" s="11" t="s">
        <v>75</v>
      </c>
      <c r="P1507" s="11" t="s">
        <v>76</v>
      </c>
      <c r="Q1507" s="13" t="n">
        <f aca="false">F1507*H1507</f>
        <v>72054045</v>
      </c>
      <c r="R1507" s="13" t="n">
        <f aca="false">G1507*H1507</f>
        <v>61815000</v>
      </c>
      <c r="S1507" s="13" t="n">
        <f aca="false">Q1507-R1507</f>
        <v>10239045</v>
      </c>
      <c r="T1507" s="14" t="n">
        <f aca="false">IFERROR(S1507/Q1507,0)</f>
        <v>0.142102292799801</v>
      </c>
      <c r="U1507" s="15" t="str">
        <f aca="false">TEXT(A1507,"yyyy-mm")</f>
        <v>2022-07</v>
      </c>
    </row>
    <row r="1508" customFormat="false" ht="15" hidden="false" customHeight="false" outlineLevel="0" collapsed="false">
      <c r="A1508" s="10" t="n">
        <v>44756</v>
      </c>
      <c r="B1508" s="11" t="s">
        <v>1640</v>
      </c>
      <c r="C1508" s="11" t="s">
        <v>135</v>
      </c>
      <c r="D1508" s="11" t="s">
        <v>118</v>
      </c>
      <c r="E1508" s="11" t="s">
        <v>68</v>
      </c>
      <c r="F1508" s="12" t="n">
        <v>5689947</v>
      </c>
      <c r="G1508" s="12" t="n">
        <v>5235000</v>
      </c>
      <c r="H1508" s="11" t="n">
        <v>9</v>
      </c>
      <c r="I1508" s="11" t="s">
        <v>69</v>
      </c>
      <c r="J1508" s="11" t="s">
        <v>80</v>
      </c>
      <c r="K1508" s="11" t="s">
        <v>81</v>
      </c>
      <c r="L1508" s="11" t="s">
        <v>82</v>
      </c>
      <c r="M1508" s="11" t="s">
        <v>73</v>
      </c>
      <c r="N1508" s="11" t="s">
        <v>93</v>
      </c>
      <c r="O1508" s="11" t="s">
        <v>94</v>
      </c>
      <c r="P1508" s="11" t="s">
        <v>95</v>
      </c>
      <c r="Q1508" s="13" t="n">
        <f aca="false">F1508*H1508</f>
        <v>51209523</v>
      </c>
      <c r="R1508" s="13" t="n">
        <f aca="false">G1508*H1508</f>
        <v>47115000</v>
      </c>
      <c r="S1508" s="13" t="n">
        <f aca="false">Q1508-R1508</f>
        <v>4094523</v>
      </c>
      <c r="T1508" s="14" t="n">
        <f aca="false">IFERROR(S1508/Q1508,0)</f>
        <v>0.0799562807878527</v>
      </c>
      <c r="U1508" s="15" t="str">
        <f aca="false">TEXT(A1508,"yyyy-mm")</f>
        <v>2022-07</v>
      </c>
    </row>
    <row r="1509" customFormat="false" ht="15" hidden="false" customHeight="false" outlineLevel="0" collapsed="false">
      <c r="A1509" s="10" t="n">
        <v>44756</v>
      </c>
      <c r="B1509" s="11" t="s">
        <v>1641</v>
      </c>
      <c r="C1509" s="11" t="s">
        <v>137</v>
      </c>
      <c r="D1509" s="11" t="s">
        <v>138</v>
      </c>
      <c r="E1509" s="11" t="s">
        <v>139</v>
      </c>
      <c r="F1509" s="12" t="n">
        <v>5171827</v>
      </c>
      <c r="G1509" s="12" t="n">
        <v>4890000</v>
      </c>
      <c r="H1509" s="11" t="n">
        <v>9</v>
      </c>
      <c r="I1509" s="11" t="s">
        <v>69</v>
      </c>
      <c r="J1509" s="11" t="s">
        <v>80</v>
      </c>
      <c r="K1509" s="11" t="s">
        <v>81</v>
      </c>
      <c r="L1509" s="11" t="s">
        <v>82</v>
      </c>
      <c r="M1509" s="11" t="s">
        <v>73</v>
      </c>
      <c r="N1509" s="11" t="s">
        <v>149</v>
      </c>
      <c r="O1509" s="11" t="s">
        <v>150</v>
      </c>
      <c r="P1509" s="11" t="s">
        <v>151</v>
      </c>
      <c r="Q1509" s="13" t="n">
        <f aca="false">F1509*H1509</f>
        <v>46546443</v>
      </c>
      <c r="R1509" s="13" t="n">
        <f aca="false">G1509*H1509</f>
        <v>44010000</v>
      </c>
      <c r="S1509" s="13" t="n">
        <f aca="false">Q1509-R1509</f>
        <v>2536443</v>
      </c>
      <c r="T1509" s="14" t="n">
        <f aca="false">IFERROR(S1509/Q1509,0)</f>
        <v>0.0544927353525166</v>
      </c>
      <c r="U1509" s="15" t="str">
        <f aca="false">TEXT(A1509,"yyyy-mm")</f>
        <v>2022-07</v>
      </c>
    </row>
    <row r="1510" customFormat="false" ht="15" hidden="false" customHeight="false" outlineLevel="0" collapsed="false">
      <c r="A1510" s="10" t="n">
        <v>44756</v>
      </c>
      <c r="B1510" s="11" t="s">
        <v>1642</v>
      </c>
      <c r="C1510" s="11" t="s">
        <v>141</v>
      </c>
      <c r="D1510" s="11" t="s">
        <v>138</v>
      </c>
      <c r="E1510" s="11" t="s">
        <v>142</v>
      </c>
      <c r="F1510" s="12" t="n">
        <v>2805124</v>
      </c>
      <c r="G1510" s="12" t="n">
        <v>2178000</v>
      </c>
      <c r="H1510" s="11" t="n">
        <v>27</v>
      </c>
      <c r="I1510" s="11" t="s">
        <v>69</v>
      </c>
      <c r="J1510" s="11" t="s">
        <v>80</v>
      </c>
      <c r="K1510" s="11" t="s">
        <v>81</v>
      </c>
      <c r="L1510" s="11" t="s">
        <v>82</v>
      </c>
      <c r="M1510" s="11" t="s">
        <v>73</v>
      </c>
      <c r="N1510" s="11" t="s">
        <v>133</v>
      </c>
      <c r="O1510" s="11" t="s">
        <v>60</v>
      </c>
      <c r="P1510" s="11" t="s">
        <v>76</v>
      </c>
      <c r="Q1510" s="13" t="n">
        <f aca="false">F1510*H1510</f>
        <v>75738348</v>
      </c>
      <c r="R1510" s="13" t="n">
        <f aca="false">G1510*H1510</f>
        <v>58806000</v>
      </c>
      <c r="S1510" s="13" t="n">
        <f aca="false">Q1510-R1510</f>
        <v>16932348</v>
      </c>
      <c r="T1510" s="14" t="n">
        <f aca="false">IFERROR(S1510/Q1510,0)</f>
        <v>0.22356373550688</v>
      </c>
      <c r="U1510" s="15" t="str">
        <f aca="false">TEXT(A1510,"yyyy-mm")</f>
        <v>2022-07</v>
      </c>
    </row>
    <row r="1511" customFormat="false" ht="15" hidden="false" customHeight="false" outlineLevel="0" collapsed="false">
      <c r="A1511" s="10" t="n">
        <v>44757</v>
      </c>
      <c r="B1511" s="11" t="s">
        <v>1643</v>
      </c>
      <c r="C1511" s="11" t="s">
        <v>146</v>
      </c>
      <c r="D1511" s="11" t="s">
        <v>138</v>
      </c>
      <c r="E1511" s="11" t="s">
        <v>139</v>
      </c>
      <c r="F1511" s="12" t="n">
        <v>2728100</v>
      </c>
      <c r="G1511" s="12" t="n">
        <v>2321000</v>
      </c>
      <c r="H1511" s="11" t="n">
        <v>6</v>
      </c>
      <c r="I1511" s="11" t="s">
        <v>86</v>
      </c>
      <c r="J1511" s="11" t="s">
        <v>87</v>
      </c>
      <c r="K1511" s="11" t="s">
        <v>88</v>
      </c>
      <c r="L1511" s="11" t="s">
        <v>89</v>
      </c>
      <c r="M1511" s="11" t="s">
        <v>90</v>
      </c>
      <c r="N1511" s="11" t="s">
        <v>109</v>
      </c>
      <c r="O1511" s="11" t="s">
        <v>75</v>
      </c>
      <c r="P1511" s="11" t="s">
        <v>95</v>
      </c>
      <c r="Q1511" s="13" t="n">
        <f aca="false">F1511*H1511</f>
        <v>16368600</v>
      </c>
      <c r="R1511" s="13" t="n">
        <f aca="false">G1511*H1511</f>
        <v>13926000</v>
      </c>
      <c r="S1511" s="13" t="n">
        <f aca="false">Q1511-R1511</f>
        <v>2442600</v>
      </c>
      <c r="T1511" s="14" t="n">
        <f aca="false">IFERROR(S1511/Q1511,0)</f>
        <v>0.149224735163667</v>
      </c>
      <c r="U1511" s="15" t="str">
        <f aca="false">TEXT(A1511,"yyyy-mm")</f>
        <v>2022-07</v>
      </c>
    </row>
    <row r="1512" customFormat="false" ht="15" hidden="false" customHeight="false" outlineLevel="0" collapsed="false">
      <c r="A1512" s="10" t="n">
        <v>44757</v>
      </c>
      <c r="B1512" s="11" t="s">
        <v>1644</v>
      </c>
      <c r="C1512" s="11" t="s">
        <v>148</v>
      </c>
      <c r="D1512" s="11" t="s">
        <v>138</v>
      </c>
      <c r="E1512" s="11" t="s">
        <v>122</v>
      </c>
      <c r="F1512" s="12" t="n">
        <v>4941716</v>
      </c>
      <c r="G1512" s="12" t="n">
        <v>4456000</v>
      </c>
      <c r="H1512" s="11" t="n">
        <v>16</v>
      </c>
      <c r="I1512" s="11" t="s">
        <v>69</v>
      </c>
      <c r="J1512" s="11" t="s">
        <v>70</v>
      </c>
      <c r="K1512" s="11" t="s">
        <v>71</v>
      </c>
      <c r="L1512" s="11" t="s">
        <v>72</v>
      </c>
      <c r="M1512" s="11" t="s">
        <v>73</v>
      </c>
      <c r="N1512" s="11" t="s">
        <v>143</v>
      </c>
      <c r="O1512" s="11" t="s">
        <v>144</v>
      </c>
      <c r="P1512" s="11" t="s">
        <v>101</v>
      </c>
      <c r="Q1512" s="13" t="n">
        <f aca="false">F1512*H1512</f>
        <v>79067456</v>
      </c>
      <c r="R1512" s="13" t="n">
        <f aca="false">G1512*H1512</f>
        <v>71296000</v>
      </c>
      <c r="S1512" s="13" t="n">
        <f aca="false">Q1512-R1512</f>
        <v>7771456</v>
      </c>
      <c r="T1512" s="14" t="n">
        <f aca="false">IFERROR(S1512/Q1512,0)</f>
        <v>0.0982889344511097</v>
      </c>
      <c r="U1512" s="15" t="str">
        <f aca="false">TEXT(A1512,"yyyy-mm")</f>
        <v>2022-07</v>
      </c>
    </row>
    <row r="1513" customFormat="false" ht="15" hidden="false" customHeight="false" outlineLevel="0" collapsed="false">
      <c r="A1513" s="10" t="n">
        <v>44757</v>
      </c>
      <c r="B1513" s="11" t="s">
        <v>1645</v>
      </c>
      <c r="C1513" s="11" t="s">
        <v>66</v>
      </c>
      <c r="D1513" s="11" t="s">
        <v>67</v>
      </c>
      <c r="E1513" s="11" t="s">
        <v>68</v>
      </c>
      <c r="F1513" s="12" t="n">
        <v>3048952</v>
      </c>
      <c r="G1513" s="12" t="n">
        <v>2560000</v>
      </c>
      <c r="H1513" s="11" t="n">
        <v>8</v>
      </c>
      <c r="I1513" s="11" t="s">
        <v>69</v>
      </c>
      <c r="J1513" s="11" t="s">
        <v>80</v>
      </c>
      <c r="K1513" s="11" t="s">
        <v>81</v>
      </c>
      <c r="L1513" s="11" t="s">
        <v>82</v>
      </c>
      <c r="M1513" s="11" t="s">
        <v>73</v>
      </c>
      <c r="N1513" s="11" t="s">
        <v>109</v>
      </c>
      <c r="O1513" s="11" t="s">
        <v>75</v>
      </c>
      <c r="P1513" s="11" t="s">
        <v>95</v>
      </c>
      <c r="Q1513" s="13" t="n">
        <f aca="false">F1513*H1513</f>
        <v>24391616</v>
      </c>
      <c r="R1513" s="13" t="n">
        <f aca="false">G1513*H1513</f>
        <v>20480000</v>
      </c>
      <c r="S1513" s="13" t="n">
        <f aca="false">Q1513-R1513</f>
        <v>3911616</v>
      </c>
      <c r="T1513" s="14" t="n">
        <f aca="false">IFERROR(S1513/Q1513,0)</f>
        <v>0.160367234380863</v>
      </c>
      <c r="U1513" s="15" t="str">
        <f aca="false">TEXT(A1513,"yyyy-mm")</f>
        <v>2022-07</v>
      </c>
    </row>
    <row r="1514" customFormat="false" ht="15" hidden="false" customHeight="false" outlineLevel="0" collapsed="false">
      <c r="A1514" s="10" t="n">
        <v>44757</v>
      </c>
      <c r="B1514" s="11" t="s">
        <v>1646</v>
      </c>
      <c r="C1514" s="11" t="s">
        <v>78</v>
      </c>
      <c r="D1514" s="11" t="s">
        <v>67</v>
      </c>
      <c r="E1514" s="11" t="s">
        <v>79</v>
      </c>
      <c r="F1514" s="12" t="n">
        <v>1870000</v>
      </c>
      <c r="G1514" s="12" t="n">
        <v>1650000</v>
      </c>
      <c r="H1514" s="11" t="n">
        <v>18</v>
      </c>
      <c r="I1514" s="11" t="s">
        <v>69</v>
      </c>
      <c r="J1514" s="11" t="s">
        <v>70</v>
      </c>
      <c r="K1514" s="11" t="s">
        <v>71</v>
      </c>
      <c r="L1514" s="11" t="s">
        <v>72</v>
      </c>
      <c r="M1514" s="11" t="s">
        <v>73</v>
      </c>
      <c r="N1514" s="11" t="s">
        <v>133</v>
      </c>
      <c r="O1514" s="11" t="s">
        <v>60</v>
      </c>
      <c r="P1514" s="11" t="s">
        <v>76</v>
      </c>
      <c r="Q1514" s="13" t="n">
        <f aca="false">F1514*H1514</f>
        <v>33660000</v>
      </c>
      <c r="R1514" s="13" t="n">
        <f aca="false">G1514*H1514</f>
        <v>29700000</v>
      </c>
      <c r="S1514" s="13" t="n">
        <f aca="false">Q1514-R1514</f>
        <v>3960000</v>
      </c>
      <c r="T1514" s="14" t="n">
        <f aca="false">IFERROR(S1514/Q1514,0)</f>
        <v>0.117647058823529</v>
      </c>
      <c r="U1514" s="15" t="str">
        <f aca="false">TEXT(A1514,"yyyy-mm")</f>
        <v>2022-07</v>
      </c>
    </row>
    <row r="1515" customFormat="false" ht="15" hidden="false" customHeight="false" outlineLevel="0" collapsed="false">
      <c r="A1515" s="10" t="n">
        <v>44758</v>
      </c>
      <c r="B1515" s="11" t="s">
        <v>1647</v>
      </c>
      <c r="C1515" s="11" t="s">
        <v>84</v>
      </c>
      <c r="D1515" s="11" t="s">
        <v>67</v>
      </c>
      <c r="E1515" s="11" t="s">
        <v>85</v>
      </c>
      <c r="F1515" s="12" t="n">
        <v>2600000</v>
      </c>
      <c r="G1515" s="12" t="n">
        <v>2300000</v>
      </c>
      <c r="H1515" s="11" t="n">
        <v>17</v>
      </c>
      <c r="I1515" s="11" t="s">
        <v>69</v>
      </c>
      <c r="J1515" s="11" t="s">
        <v>70</v>
      </c>
      <c r="K1515" s="11" t="s">
        <v>71</v>
      </c>
      <c r="L1515" s="11" t="s">
        <v>72</v>
      </c>
      <c r="M1515" s="11" t="s">
        <v>73</v>
      </c>
      <c r="N1515" s="11" t="s">
        <v>93</v>
      </c>
      <c r="O1515" s="11" t="s">
        <v>94</v>
      </c>
      <c r="P1515" s="11" t="s">
        <v>95</v>
      </c>
      <c r="Q1515" s="13" t="n">
        <f aca="false">F1515*H1515</f>
        <v>44200000</v>
      </c>
      <c r="R1515" s="13" t="n">
        <f aca="false">G1515*H1515</f>
        <v>39100000</v>
      </c>
      <c r="S1515" s="13" t="n">
        <f aca="false">Q1515-R1515</f>
        <v>5100000</v>
      </c>
      <c r="T1515" s="14" t="n">
        <f aca="false">IFERROR(S1515/Q1515,0)</f>
        <v>0.115384615384615</v>
      </c>
      <c r="U1515" s="15" t="str">
        <f aca="false">TEXT(A1515,"yyyy-mm")</f>
        <v>2022-07</v>
      </c>
    </row>
    <row r="1516" customFormat="false" ht="15" hidden="false" customHeight="false" outlineLevel="0" collapsed="false">
      <c r="A1516" s="10" t="n">
        <v>44758</v>
      </c>
      <c r="B1516" s="11" t="s">
        <v>1648</v>
      </c>
      <c r="C1516" s="11" t="s">
        <v>92</v>
      </c>
      <c r="D1516" s="11" t="s">
        <v>67</v>
      </c>
      <c r="E1516" s="11" t="s">
        <v>79</v>
      </c>
      <c r="F1516" s="12" t="n">
        <v>3577480</v>
      </c>
      <c r="G1516" s="12" t="n">
        <v>3100000</v>
      </c>
      <c r="H1516" s="11" t="n">
        <v>10</v>
      </c>
      <c r="I1516" s="11" t="s">
        <v>69</v>
      </c>
      <c r="J1516" s="11" t="s">
        <v>112</v>
      </c>
      <c r="K1516" s="11" t="s">
        <v>113</v>
      </c>
      <c r="L1516" s="11" t="s">
        <v>82</v>
      </c>
      <c r="M1516" s="11" t="s">
        <v>157</v>
      </c>
      <c r="N1516" s="11" t="s">
        <v>143</v>
      </c>
      <c r="O1516" s="11" t="s">
        <v>144</v>
      </c>
      <c r="P1516" s="11" t="s">
        <v>101</v>
      </c>
      <c r="Q1516" s="13" t="n">
        <f aca="false">F1516*H1516</f>
        <v>35774800</v>
      </c>
      <c r="R1516" s="13" t="n">
        <f aca="false">G1516*H1516</f>
        <v>31000000</v>
      </c>
      <c r="S1516" s="13" t="n">
        <f aca="false">Q1516-R1516</f>
        <v>4774800</v>
      </c>
      <c r="T1516" s="14" t="n">
        <f aca="false">IFERROR(S1516/Q1516,0)</f>
        <v>0.133468251394837</v>
      </c>
      <c r="U1516" s="15" t="str">
        <f aca="false">TEXT(A1516,"yyyy-mm")</f>
        <v>2022-07</v>
      </c>
    </row>
    <row r="1517" customFormat="false" ht="15" hidden="false" customHeight="false" outlineLevel="0" collapsed="false">
      <c r="A1517" s="10" t="n">
        <v>44758</v>
      </c>
      <c r="B1517" s="11" t="s">
        <v>1649</v>
      </c>
      <c r="C1517" s="11" t="s">
        <v>97</v>
      </c>
      <c r="D1517" s="11" t="s">
        <v>67</v>
      </c>
      <c r="E1517" s="11" t="s">
        <v>98</v>
      </c>
      <c r="F1517" s="12" t="n">
        <v>4969724</v>
      </c>
      <c r="G1517" s="12" t="n">
        <v>4121560</v>
      </c>
      <c r="H1517" s="11" t="n">
        <v>17</v>
      </c>
      <c r="I1517" s="11" t="s">
        <v>69</v>
      </c>
      <c r="J1517" s="11" t="s">
        <v>80</v>
      </c>
      <c r="K1517" s="11" t="s">
        <v>81</v>
      </c>
      <c r="L1517" s="11" t="s">
        <v>82</v>
      </c>
      <c r="M1517" s="11" t="s">
        <v>73</v>
      </c>
      <c r="N1517" s="11" t="s">
        <v>99</v>
      </c>
      <c r="O1517" s="11" t="s">
        <v>100</v>
      </c>
      <c r="P1517" s="11" t="s">
        <v>101</v>
      </c>
      <c r="Q1517" s="13" t="n">
        <f aca="false">F1517*H1517</f>
        <v>84485308</v>
      </c>
      <c r="R1517" s="13" t="n">
        <f aca="false">G1517*H1517</f>
        <v>70066520</v>
      </c>
      <c r="S1517" s="13" t="n">
        <f aca="false">Q1517-R1517</f>
        <v>14418788</v>
      </c>
      <c r="T1517" s="14" t="n">
        <f aca="false">IFERROR(S1517/Q1517,0)</f>
        <v>0.170666218083741</v>
      </c>
      <c r="U1517" s="15" t="str">
        <f aca="false">TEXT(A1517,"yyyy-mm")</f>
        <v>2022-07</v>
      </c>
    </row>
    <row r="1518" customFormat="false" ht="15" hidden="false" customHeight="false" outlineLevel="0" collapsed="false">
      <c r="A1518" s="10" t="n">
        <v>44759</v>
      </c>
      <c r="B1518" s="11" t="s">
        <v>1650</v>
      </c>
      <c r="C1518" s="11" t="s">
        <v>103</v>
      </c>
      <c r="D1518" s="11" t="s">
        <v>67</v>
      </c>
      <c r="E1518" s="11" t="s">
        <v>68</v>
      </c>
      <c r="F1518" s="12" t="n">
        <v>3319925</v>
      </c>
      <c r="G1518" s="12" t="n">
        <v>2800000</v>
      </c>
      <c r="H1518" s="11" t="n">
        <v>1</v>
      </c>
      <c r="I1518" s="11" t="s">
        <v>69</v>
      </c>
      <c r="J1518" s="11" t="s">
        <v>80</v>
      </c>
      <c r="K1518" s="11" t="s">
        <v>81</v>
      </c>
      <c r="L1518" s="11" t="s">
        <v>82</v>
      </c>
      <c r="M1518" s="11" t="s">
        <v>73</v>
      </c>
      <c r="N1518" s="11" t="s">
        <v>93</v>
      </c>
      <c r="O1518" s="11" t="s">
        <v>94</v>
      </c>
      <c r="P1518" s="11" t="s">
        <v>95</v>
      </c>
      <c r="Q1518" s="13" t="n">
        <f aca="false">F1518*H1518</f>
        <v>3319925</v>
      </c>
      <c r="R1518" s="13" t="n">
        <f aca="false">G1518*H1518</f>
        <v>2800000</v>
      </c>
      <c r="S1518" s="13" t="n">
        <f aca="false">Q1518-R1518</f>
        <v>519925</v>
      </c>
      <c r="T1518" s="14" t="n">
        <f aca="false">IFERROR(S1518/Q1518,0)</f>
        <v>0.15660745348163</v>
      </c>
      <c r="U1518" s="15" t="str">
        <f aca="false">TEXT(A1518,"yyyy-mm")</f>
        <v>2022-07</v>
      </c>
    </row>
    <row r="1519" customFormat="false" ht="15" hidden="false" customHeight="false" outlineLevel="0" collapsed="false">
      <c r="A1519" s="10" t="n">
        <v>44759</v>
      </c>
      <c r="B1519" s="11" t="s">
        <v>1651</v>
      </c>
      <c r="C1519" s="11" t="s">
        <v>108</v>
      </c>
      <c r="D1519" s="11" t="s">
        <v>67</v>
      </c>
      <c r="E1519" s="11" t="s">
        <v>68</v>
      </c>
      <c r="F1519" s="12" t="n">
        <v>4757880</v>
      </c>
      <c r="G1519" s="12" t="n">
        <v>3450000</v>
      </c>
      <c r="H1519" s="11" t="n">
        <v>7</v>
      </c>
      <c r="I1519" s="11" t="s">
        <v>86</v>
      </c>
      <c r="J1519" s="11" t="s">
        <v>87</v>
      </c>
      <c r="K1519" s="11" t="s">
        <v>88</v>
      </c>
      <c r="L1519" s="11" t="s">
        <v>89</v>
      </c>
      <c r="M1519" s="11" t="s">
        <v>90</v>
      </c>
      <c r="N1519" s="11" t="s">
        <v>123</v>
      </c>
      <c r="O1519" s="11" t="s">
        <v>60</v>
      </c>
      <c r="P1519" s="11" t="s">
        <v>106</v>
      </c>
      <c r="Q1519" s="13" t="n">
        <f aca="false">F1519*H1519</f>
        <v>33305160</v>
      </c>
      <c r="R1519" s="13" t="n">
        <f aca="false">G1519*H1519</f>
        <v>24150000</v>
      </c>
      <c r="S1519" s="13" t="n">
        <f aca="false">Q1519-R1519</f>
        <v>9155160</v>
      </c>
      <c r="T1519" s="14" t="n">
        <f aca="false">IFERROR(S1519/Q1519,0)</f>
        <v>0.274887134606169</v>
      </c>
      <c r="U1519" s="15" t="str">
        <f aca="false">TEXT(A1519,"yyyy-mm")</f>
        <v>2022-07</v>
      </c>
    </row>
    <row r="1520" customFormat="false" ht="15" hidden="false" customHeight="false" outlineLevel="0" collapsed="false">
      <c r="A1520" s="10" t="n">
        <v>44761</v>
      </c>
      <c r="B1520" s="11" t="s">
        <v>1652</v>
      </c>
      <c r="C1520" s="11" t="s">
        <v>111</v>
      </c>
      <c r="D1520" s="11" t="s">
        <v>67</v>
      </c>
      <c r="E1520" s="11" t="s">
        <v>79</v>
      </c>
      <c r="F1520" s="12" t="n">
        <v>3545808</v>
      </c>
      <c r="G1520" s="12" t="n">
        <v>3350000</v>
      </c>
      <c r="H1520" s="11" t="n">
        <v>5</v>
      </c>
      <c r="I1520" s="11" t="s">
        <v>86</v>
      </c>
      <c r="J1520" s="11" t="s">
        <v>87</v>
      </c>
      <c r="K1520" s="11" t="s">
        <v>88</v>
      </c>
      <c r="L1520" s="11" t="s">
        <v>89</v>
      </c>
      <c r="M1520" s="11" t="s">
        <v>90</v>
      </c>
      <c r="N1520" s="11" t="s">
        <v>149</v>
      </c>
      <c r="O1520" s="11" t="s">
        <v>150</v>
      </c>
      <c r="P1520" s="11" t="s">
        <v>151</v>
      </c>
      <c r="Q1520" s="13" t="n">
        <f aca="false">F1520*H1520</f>
        <v>17729040</v>
      </c>
      <c r="R1520" s="13" t="n">
        <f aca="false">G1520*H1520</f>
        <v>16750000</v>
      </c>
      <c r="S1520" s="13" t="n">
        <f aca="false">Q1520-R1520</f>
        <v>979040</v>
      </c>
      <c r="T1520" s="14" t="n">
        <f aca="false">IFERROR(S1520/Q1520,0)</f>
        <v>0.0552223921881839</v>
      </c>
      <c r="U1520" s="15" t="str">
        <f aca="false">TEXT(A1520,"yyyy-mm")</f>
        <v>2022-07</v>
      </c>
    </row>
    <row r="1521" customFormat="false" ht="15" hidden="false" customHeight="false" outlineLevel="0" collapsed="false">
      <c r="A1521" s="10" t="n">
        <v>44761</v>
      </c>
      <c r="B1521" s="11" t="s">
        <v>1653</v>
      </c>
      <c r="C1521" s="11" t="s">
        <v>115</v>
      </c>
      <c r="D1521" s="11" t="s">
        <v>67</v>
      </c>
      <c r="E1521" s="11" t="s">
        <v>98</v>
      </c>
      <c r="F1521" s="12" t="n">
        <v>4200743</v>
      </c>
      <c r="G1521" s="12" t="n">
        <v>4101000</v>
      </c>
      <c r="H1521" s="11" t="n">
        <v>9</v>
      </c>
      <c r="I1521" s="11" t="s">
        <v>69</v>
      </c>
      <c r="J1521" s="11" t="s">
        <v>112</v>
      </c>
      <c r="K1521" s="11" t="s">
        <v>113</v>
      </c>
      <c r="L1521" s="11" t="s">
        <v>82</v>
      </c>
      <c r="M1521" s="11" t="s">
        <v>157</v>
      </c>
      <c r="N1521" s="11" t="s">
        <v>149</v>
      </c>
      <c r="O1521" s="11" t="s">
        <v>150</v>
      </c>
      <c r="P1521" s="11" t="s">
        <v>151</v>
      </c>
      <c r="Q1521" s="13" t="n">
        <f aca="false">F1521*H1521</f>
        <v>37806687</v>
      </c>
      <c r="R1521" s="13" t="n">
        <f aca="false">G1521*H1521</f>
        <v>36909000</v>
      </c>
      <c r="S1521" s="13" t="n">
        <f aca="false">Q1521-R1521</f>
        <v>897687</v>
      </c>
      <c r="T1521" s="14" t="n">
        <f aca="false">IFERROR(S1521/Q1521,0)</f>
        <v>0.023744132883159</v>
      </c>
      <c r="U1521" s="15" t="str">
        <f aca="false">TEXT(A1521,"yyyy-mm")</f>
        <v>2022-07</v>
      </c>
    </row>
    <row r="1522" customFormat="false" ht="15" hidden="false" customHeight="false" outlineLevel="0" collapsed="false">
      <c r="A1522" s="10" t="n">
        <v>44761</v>
      </c>
      <c r="B1522" s="11" t="s">
        <v>1654</v>
      </c>
      <c r="C1522" s="11" t="s">
        <v>117</v>
      </c>
      <c r="D1522" s="11" t="s">
        <v>118</v>
      </c>
      <c r="E1522" s="11" t="s">
        <v>119</v>
      </c>
      <c r="F1522" s="12" t="n">
        <v>8220549</v>
      </c>
      <c r="G1522" s="12" t="n">
        <v>6500000</v>
      </c>
      <c r="H1522" s="11" t="n">
        <v>14</v>
      </c>
      <c r="I1522" s="11" t="s">
        <v>69</v>
      </c>
      <c r="J1522" s="11" t="s">
        <v>80</v>
      </c>
      <c r="K1522" s="11" t="s">
        <v>81</v>
      </c>
      <c r="L1522" s="11" t="s">
        <v>82</v>
      </c>
      <c r="M1522" s="11" t="s">
        <v>73</v>
      </c>
      <c r="N1522" s="11" t="s">
        <v>99</v>
      </c>
      <c r="O1522" s="11" t="s">
        <v>100</v>
      </c>
      <c r="P1522" s="11" t="s">
        <v>101</v>
      </c>
      <c r="Q1522" s="13" t="n">
        <f aca="false">F1522*H1522</f>
        <v>115087686</v>
      </c>
      <c r="R1522" s="13" t="n">
        <f aca="false">G1522*H1522</f>
        <v>91000000</v>
      </c>
      <c r="S1522" s="13" t="n">
        <f aca="false">Q1522-R1522</f>
        <v>24087686</v>
      </c>
      <c r="T1522" s="14" t="n">
        <f aca="false">IFERROR(S1522/Q1522,0)</f>
        <v>0.209298551714733</v>
      </c>
      <c r="U1522" s="15" t="str">
        <f aca="false">TEXT(A1522,"yyyy-mm")</f>
        <v>2022-07</v>
      </c>
    </row>
    <row r="1523" customFormat="false" ht="15" hidden="false" customHeight="false" outlineLevel="0" collapsed="false">
      <c r="A1523" s="10" t="n">
        <v>44762</v>
      </c>
      <c r="B1523" s="11" t="s">
        <v>1655</v>
      </c>
      <c r="C1523" s="11" t="s">
        <v>121</v>
      </c>
      <c r="D1523" s="11" t="s">
        <v>118</v>
      </c>
      <c r="E1523" s="11" t="s">
        <v>122</v>
      </c>
      <c r="F1523" s="12" t="n">
        <v>7687274</v>
      </c>
      <c r="G1523" s="12" t="n">
        <v>6500000</v>
      </c>
      <c r="H1523" s="11" t="n">
        <v>14</v>
      </c>
      <c r="I1523" s="11" t="s">
        <v>69</v>
      </c>
      <c r="J1523" s="11" t="s">
        <v>80</v>
      </c>
      <c r="K1523" s="11" t="s">
        <v>81</v>
      </c>
      <c r="L1523" s="11" t="s">
        <v>82</v>
      </c>
      <c r="M1523" s="11" t="s">
        <v>73</v>
      </c>
      <c r="N1523" s="11" t="s">
        <v>104</v>
      </c>
      <c r="O1523" s="11" t="s">
        <v>105</v>
      </c>
      <c r="P1523" s="11" t="s">
        <v>106</v>
      </c>
      <c r="Q1523" s="13" t="n">
        <f aca="false">F1523*H1523</f>
        <v>107621836</v>
      </c>
      <c r="R1523" s="13" t="n">
        <f aca="false">G1523*H1523</f>
        <v>91000000</v>
      </c>
      <c r="S1523" s="13" t="n">
        <f aca="false">Q1523-R1523</f>
        <v>16621836</v>
      </c>
      <c r="T1523" s="14" t="n">
        <f aca="false">IFERROR(S1523/Q1523,0)</f>
        <v>0.154446686822923</v>
      </c>
      <c r="U1523" s="15" t="str">
        <f aca="false">TEXT(A1523,"yyyy-mm")</f>
        <v>2022-07</v>
      </c>
    </row>
    <row r="1524" customFormat="false" ht="15" hidden="false" customHeight="false" outlineLevel="0" collapsed="false">
      <c r="A1524" s="10" t="n">
        <v>44762</v>
      </c>
      <c r="B1524" s="11" t="s">
        <v>1656</v>
      </c>
      <c r="C1524" s="11" t="s">
        <v>125</v>
      </c>
      <c r="D1524" s="11" t="s">
        <v>118</v>
      </c>
      <c r="E1524" s="11" t="s">
        <v>126</v>
      </c>
      <c r="F1524" s="12" t="n">
        <v>5684211</v>
      </c>
      <c r="G1524" s="12" t="n">
        <v>4300000</v>
      </c>
      <c r="H1524" s="11" t="n">
        <v>11</v>
      </c>
      <c r="I1524" s="11" t="s">
        <v>69</v>
      </c>
      <c r="J1524" s="11" t="s">
        <v>70</v>
      </c>
      <c r="K1524" s="11" t="s">
        <v>71</v>
      </c>
      <c r="L1524" s="11" t="s">
        <v>72</v>
      </c>
      <c r="M1524" s="11" t="s">
        <v>73</v>
      </c>
      <c r="N1524" s="11" t="s">
        <v>143</v>
      </c>
      <c r="O1524" s="11" t="s">
        <v>144</v>
      </c>
      <c r="P1524" s="11" t="s">
        <v>101</v>
      </c>
      <c r="Q1524" s="13" t="n">
        <f aca="false">F1524*H1524</f>
        <v>62526321</v>
      </c>
      <c r="R1524" s="13" t="n">
        <f aca="false">G1524*H1524</f>
        <v>47300000</v>
      </c>
      <c r="S1524" s="13" t="n">
        <f aca="false">Q1524-R1524</f>
        <v>15226321</v>
      </c>
      <c r="T1524" s="14" t="n">
        <f aca="false">IFERROR(S1524/Q1524,0)</f>
        <v>0.243518581558637</v>
      </c>
      <c r="U1524" s="15" t="str">
        <f aca="false">TEXT(A1524,"yyyy-mm")</f>
        <v>2022-07</v>
      </c>
    </row>
    <row r="1525" customFormat="false" ht="15" hidden="false" customHeight="false" outlineLevel="0" collapsed="false">
      <c r="A1525" s="10" t="n">
        <v>44762</v>
      </c>
      <c r="B1525" s="11" t="s">
        <v>1657</v>
      </c>
      <c r="C1525" s="11" t="s">
        <v>128</v>
      </c>
      <c r="D1525" s="11" t="s">
        <v>118</v>
      </c>
      <c r="E1525" s="11" t="s">
        <v>119</v>
      </c>
      <c r="F1525" s="12" t="n">
        <v>3370302</v>
      </c>
      <c r="G1525" s="12" t="n">
        <v>2100000</v>
      </c>
      <c r="H1525" s="11" t="n">
        <v>13</v>
      </c>
      <c r="I1525" s="11" t="s">
        <v>69</v>
      </c>
      <c r="J1525" s="11" t="s">
        <v>80</v>
      </c>
      <c r="K1525" s="11" t="s">
        <v>81</v>
      </c>
      <c r="L1525" s="11" t="s">
        <v>82</v>
      </c>
      <c r="M1525" s="11" t="s">
        <v>73</v>
      </c>
      <c r="N1525" s="11" t="s">
        <v>104</v>
      </c>
      <c r="O1525" s="11" t="s">
        <v>105</v>
      </c>
      <c r="P1525" s="11" t="s">
        <v>106</v>
      </c>
      <c r="Q1525" s="13" t="n">
        <f aca="false">F1525*H1525</f>
        <v>43813926</v>
      </c>
      <c r="R1525" s="13" t="n">
        <f aca="false">G1525*H1525</f>
        <v>27300000</v>
      </c>
      <c r="S1525" s="13" t="n">
        <f aca="false">Q1525-R1525</f>
        <v>16513926</v>
      </c>
      <c r="T1525" s="14" t="n">
        <f aca="false">IFERROR(S1525/Q1525,0)</f>
        <v>0.37691043710623</v>
      </c>
      <c r="U1525" s="15" t="str">
        <f aca="false">TEXT(A1525,"yyyy-mm")</f>
        <v>2022-07</v>
      </c>
    </row>
    <row r="1526" customFormat="false" ht="15" hidden="false" customHeight="false" outlineLevel="0" collapsed="false">
      <c r="A1526" s="10" t="n">
        <v>44763</v>
      </c>
      <c r="B1526" s="11" t="s">
        <v>1658</v>
      </c>
      <c r="C1526" s="11" t="s">
        <v>130</v>
      </c>
      <c r="D1526" s="11" t="s">
        <v>118</v>
      </c>
      <c r="E1526" s="11" t="s">
        <v>68</v>
      </c>
      <c r="F1526" s="12" t="n">
        <v>2852897</v>
      </c>
      <c r="G1526" s="12" t="n">
        <v>2450000</v>
      </c>
      <c r="H1526" s="11" t="n">
        <v>12</v>
      </c>
      <c r="I1526" s="11" t="s">
        <v>69</v>
      </c>
      <c r="J1526" s="11" t="s">
        <v>112</v>
      </c>
      <c r="K1526" s="11" t="s">
        <v>113</v>
      </c>
      <c r="L1526" s="11" t="s">
        <v>82</v>
      </c>
      <c r="M1526" s="11" t="s">
        <v>157</v>
      </c>
      <c r="N1526" s="11" t="s">
        <v>173</v>
      </c>
      <c r="O1526" s="11" t="s">
        <v>174</v>
      </c>
      <c r="P1526" s="11" t="s">
        <v>95</v>
      </c>
      <c r="Q1526" s="13" t="n">
        <f aca="false">F1526*H1526</f>
        <v>34234764</v>
      </c>
      <c r="R1526" s="13" t="n">
        <f aca="false">G1526*H1526</f>
        <v>29400000</v>
      </c>
      <c r="S1526" s="13" t="n">
        <f aca="false">Q1526-R1526</f>
        <v>4834764</v>
      </c>
      <c r="T1526" s="14" t="n">
        <f aca="false">IFERROR(S1526/Q1526,0)</f>
        <v>0.141223815651249</v>
      </c>
      <c r="U1526" s="15" t="str">
        <f aca="false">TEXT(A1526,"yyyy-mm")</f>
        <v>2022-07</v>
      </c>
    </row>
    <row r="1527" customFormat="false" ht="15" hidden="false" customHeight="false" outlineLevel="0" collapsed="false">
      <c r="A1527" s="10" t="n">
        <v>44763</v>
      </c>
      <c r="B1527" s="11" t="s">
        <v>1659</v>
      </c>
      <c r="C1527" s="11" t="s">
        <v>132</v>
      </c>
      <c r="D1527" s="11" t="s">
        <v>118</v>
      </c>
      <c r="E1527" s="11" t="s">
        <v>68</v>
      </c>
      <c r="F1527" s="12" t="n">
        <v>4803603</v>
      </c>
      <c r="G1527" s="12" t="n">
        <v>4121000</v>
      </c>
      <c r="H1527" s="11" t="n">
        <v>20</v>
      </c>
      <c r="I1527" s="11" t="s">
        <v>69</v>
      </c>
      <c r="J1527" s="11" t="s">
        <v>80</v>
      </c>
      <c r="K1527" s="11" t="s">
        <v>81</v>
      </c>
      <c r="L1527" s="11" t="s">
        <v>82</v>
      </c>
      <c r="M1527" s="11" t="s">
        <v>73</v>
      </c>
      <c r="N1527" s="11" t="s">
        <v>143</v>
      </c>
      <c r="O1527" s="11" t="s">
        <v>144</v>
      </c>
      <c r="P1527" s="11" t="s">
        <v>101</v>
      </c>
      <c r="Q1527" s="13" t="n">
        <f aca="false">F1527*H1527</f>
        <v>96072060</v>
      </c>
      <c r="R1527" s="13" t="n">
        <f aca="false">G1527*H1527</f>
        <v>82420000</v>
      </c>
      <c r="S1527" s="13" t="n">
        <f aca="false">Q1527-R1527</f>
        <v>13652060</v>
      </c>
      <c r="T1527" s="14" t="n">
        <f aca="false">IFERROR(S1527/Q1527,0)</f>
        <v>0.142102292799801</v>
      </c>
      <c r="U1527" s="15" t="str">
        <f aca="false">TEXT(A1527,"yyyy-mm")</f>
        <v>2022-07</v>
      </c>
    </row>
    <row r="1528" customFormat="false" ht="15" hidden="false" customHeight="false" outlineLevel="0" collapsed="false">
      <c r="A1528" s="10" t="n">
        <v>44763</v>
      </c>
      <c r="B1528" s="11" t="s">
        <v>1660</v>
      </c>
      <c r="C1528" s="11" t="s">
        <v>135</v>
      </c>
      <c r="D1528" s="11" t="s">
        <v>118</v>
      </c>
      <c r="E1528" s="11" t="s">
        <v>68</v>
      </c>
      <c r="F1528" s="12" t="n">
        <v>5689947</v>
      </c>
      <c r="G1528" s="12" t="n">
        <v>5235000</v>
      </c>
      <c r="H1528" s="11" t="n">
        <v>13</v>
      </c>
      <c r="I1528" s="11" t="s">
        <v>86</v>
      </c>
      <c r="J1528" s="11" t="s">
        <v>87</v>
      </c>
      <c r="K1528" s="11" t="s">
        <v>88</v>
      </c>
      <c r="L1528" s="11" t="s">
        <v>89</v>
      </c>
      <c r="M1528" s="11" t="s">
        <v>90</v>
      </c>
      <c r="N1528" s="11" t="s">
        <v>123</v>
      </c>
      <c r="O1528" s="11" t="s">
        <v>60</v>
      </c>
      <c r="P1528" s="11" t="s">
        <v>106</v>
      </c>
      <c r="Q1528" s="13" t="n">
        <f aca="false">F1528*H1528</f>
        <v>73969311</v>
      </c>
      <c r="R1528" s="13" t="n">
        <f aca="false">G1528*H1528</f>
        <v>68055000</v>
      </c>
      <c r="S1528" s="13" t="n">
        <f aca="false">Q1528-R1528</f>
        <v>5914311</v>
      </c>
      <c r="T1528" s="14" t="n">
        <f aca="false">IFERROR(S1528/Q1528,0)</f>
        <v>0.0799562807878527</v>
      </c>
      <c r="U1528" s="15" t="str">
        <f aca="false">TEXT(A1528,"yyyy-mm")</f>
        <v>2022-07</v>
      </c>
    </row>
    <row r="1529" customFormat="false" ht="15" hidden="false" customHeight="false" outlineLevel="0" collapsed="false">
      <c r="A1529" s="10" t="n">
        <v>44763</v>
      </c>
      <c r="B1529" s="11" t="s">
        <v>1661</v>
      </c>
      <c r="C1529" s="11" t="s">
        <v>137</v>
      </c>
      <c r="D1529" s="11" t="s">
        <v>138</v>
      </c>
      <c r="E1529" s="11" t="s">
        <v>139</v>
      </c>
      <c r="F1529" s="12" t="n">
        <v>5171827</v>
      </c>
      <c r="G1529" s="12" t="n">
        <v>4890000</v>
      </c>
      <c r="H1529" s="11" t="n">
        <v>20</v>
      </c>
      <c r="I1529" s="11" t="s">
        <v>86</v>
      </c>
      <c r="J1529" s="11" t="s">
        <v>87</v>
      </c>
      <c r="K1529" s="11" t="s">
        <v>88</v>
      </c>
      <c r="L1529" s="11" t="s">
        <v>89</v>
      </c>
      <c r="M1529" s="11" t="s">
        <v>90</v>
      </c>
      <c r="N1529" s="11" t="s">
        <v>109</v>
      </c>
      <c r="O1529" s="11" t="s">
        <v>75</v>
      </c>
      <c r="P1529" s="11" t="s">
        <v>95</v>
      </c>
      <c r="Q1529" s="13" t="n">
        <f aca="false">F1529*H1529</f>
        <v>103436540</v>
      </c>
      <c r="R1529" s="13" t="n">
        <f aca="false">G1529*H1529</f>
        <v>97800000</v>
      </c>
      <c r="S1529" s="13" t="n">
        <f aca="false">Q1529-R1529</f>
        <v>5636540</v>
      </c>
      <c r="T1529" s="14" t="n">
        <f aca="false">IFERROR(S1529/Q1529,0)</f>
        <v>0.0544927353525166</v>
      </c>
      <c r="U1529" s="15" t="str">
        <f aca="false">TEXT(A1529,"yyyy-mm")</f>
        <v>2022-07</v>
      </c>
    </row>
    <row r="1530" customFormat="false" ht="15" hidden="false" customHeight="false" outlineLevel="0" collapsed="false">
      <c r="A1530" s="10" t="n">
        <v>44765</v>
      </c>
      <c r="B1530" s="11" t="s">
        <v>1662</v>
      </c>
      <c r="C1530" s="11" t="s">
        <v>141</v>
      </c>
      <c r="D1530" s="11" t="s">
        <v>138</v>
      </c>
      <c r="E1530" s="11" t="s">
        <v>142</v>
      </c>
      <c r="F1530" s="12" t="n">
        <v>2805124</v>
      </c>
      <c r="G1530" s="12" t="n">
        <v>2178000</v>
      </c>
      <c r="H1530" s="11" t="n">
        <v>9</v>
      </c>
      <c r="I1530" s="11" t="s">
        <v>69</v>
      </c>
      <c r="J1530" s="11" t="s">
        <v>112</v>
      </c>
      <c r="K1530" s="11" t="s">
        <v>113</v>
      </c>
      <c r="L1530" s="11" t="s">
        <v>82</v>
      </c>
      <c r="M1530" s="11" t="s">
        <v>157</v>
      </c>
      <c r="N1530" s="11" t="s">
        <v>173</v>
      </c>
      <c r="O1530" s="11" t="s">
        <v>174</v>
      </c>
      <c r="P1530" s="11" t="s">
        <v>95</v>
      </c>
      <c r="Q1530" s="13" t="n">
        <f aca="false">F1530*H1530</f>
        <v>25246116</v>
      </c>
      <c r="R1530" s="13" t="n">
        <f aca="false">G1530*H1530</f>
        <v>19602000</v>
      </c>
      <c r="S1530" s="13" t="n">
        <f aca="false">Q1530-R1530</f>
        <v>5644116</v>
      </c>
      <c r="T1530" s="14" t="n">
        <f aca="false">IFERROR(S1530/Q1530,0)</f>
        <v>0.22356373550688</v>
      </c>
      <c r="U1530" s="15" t="str">
        <f aca="false">TEXT(A1530,"yyyy-mm")</f>
        <v>2022-07</v>
      </c>
    </row>
    <row r="1531" customFormat="false" ht="15" hidden="false" customHeight="false" outlineLevel="0" collapsed="false">
      <c r="A1531" s="10" t="n">
        <v>44765</v>
      </c>
      <c r="B1531" s="11" t="s">
        <v>1663</v>
      </c>
      <c r="C1531" s="11" t="s">
        <v>146</v>
      </c>
      <c r="D1531" s="11" t="s">
        <v>138</v>
      </c>
      <c r="E1531" s="11" t="s">
        <v>139</v>
      </c>
      <c r="F1531" s="12" t="n">
        <v>2728100</v>
      </c>
      <c r="G1531" s="12" t="n">
        <v>2321000</v>
      </c>
      <c r="H1531" s="11" t="n">
        <v>9</v>
      </c>
      <c r="I1531" s="11" t="s">
        <v>86</v>
      </c>
      <c r="J1531" s="11" t="s">
        <v>87</v>
      </c>
      <c r="K1531" s="11" t="s">
        <v>88</v>
      </c>
      <c r="L1531" s="11" t="s">
        <v>89</v>
      </c>
      <c r="M1531" s="11" t="s">
        <v>90</v>
      </c>
      <c r="N1531" s="11" t="s">
        <v>133</v>
      </c>
      <c r="O1531" s="11" t="s">
        <v>60</v>
      </c>
      <c r="P1531" s="11" t="s">
        <v>76</v>
      </c>
      <c r="Q1531" s="13" t="n">
        <f aca="false">F1531*H1531</f>
        <v>24552900</v>
      </c>
      <c r="R1531" s="13" t="n">
        <f aca="false">G1531*H1531</f>
        <v>20889000</v>
      </c>
      <c r="S1531" s="13" t="n">
        <f aca="false">Q1531-R1531</f>
        <v>3663900</v>
      </c>
      <c r="T1531" s="14" t="n">
        <f aca="false">IFERROR(S1531/Q1531,0)</f>
        <v>0.149224735163667</v>
      </c>
      <c r="U1531" s="15" t="str">
        <f aca="false">TEXT(A1531,"yyyy-mm")</f>
        <v>2022-07</v>
      </c>
    </row>
    <row r="1532" customFormat="false" ht="15" hidden="false" customHeight="false" outlineLevel="0" collapsed="false">
      <c r="A1532" s="10" t="n">
        <v>44765</v>
      </c>
      <c r="B1532" s="11" t="s">
        <v>1664</v>
      </c>
      <c r="C1532" s="11" t="s">
        <v>148</v>
      </c>
      <c r="D1532" s="11" t="s">
        <v>138</v>
      </c>
      <c r="E1532" s="11" t="s">
        <v>122</v>
      </c>
      <c r="F1532" s="12" t="n">
        <v>4941716</v>
      </c>
      <c r="G1532" s="12" t="n">
        <v>4456000</v>
      </c>
      <c r="H1532" s="11" t="n">
        <v>6</v>
      </c>
      <c r="I1532" s="11" t="s">
        <v>86</v>
      </c>
      <c r="J1532" s="11" t="s">
        <v>87</v>
      </c>
      <c r="K1532" s="11" t="s">
        <v>88</v>
      </c>
      <c r="L1532" s="11" t="s">
        <v>89</v>
      </c>
      <c r="M1532" s="11" t="s">
        <v>90</v>
      </c>
      <c r="N1532" s="11" t="s">
        <v>149</v>
      </c>
      <c r="O1532" s="11" t="s">
        <v>150</v>
      </c>
      <c r="P1532" s="11" t="s">
        <v>151</v>
      </c>
      <c r="Q1532" s="13" t="n">
        <f aca="false">F1532*H1532</f>
        <v>29650296</v>
      </c>
      <c r="R1532" s="13" t="n">
        <f aca="false">G1532*H1532</f>
        <v>26736000</v>
      </c>
      <c r="S1532" s="13" t="n">
        <f aca="false">Q1532-R1532</f>
        <v>2914296</v>
      </c>
      <c r="T1532" s="14" t="n">
        <f aca="false">IFERROR(S1532/Q1532,0)</f>
        <v>0.0982889344511097</v>
      </c>
      <c r="U1532" s="15" t="str">
        <f aca="false">TEXT(A1532,"yyyy-mm")</f>
        <v>2022-07</v>
      </c>
    </row>
    <row r="1533" customFormat="false" ht="15" hidden="false" customHeight="false" outlineLevel="0" collapsed="false">
      <c r="A1533" s="10" t="n">
        <v>44766</v>
      </c>
      <c r="B1533" s="11" t="s">
        <v>1665</v>
      </c>
      <c r="C1533" s="11" t="s">
        <v>66</v>
      </c>
      <c r="D1533" s="11" t="s">
        <v>67</v>
      </c>
      <c r="E1533" s="11" t="s">
        <v>68</v>
      </c>
      <c r="F1533" s="12" t="n">
        <v>3048952</v>
      </c>
      <c r="G1533" s="12" t="n">
        <v>2560000</v>
      </c>
      <c r="H1533" s="11" t="n">
        <v>17</v>
      </c>
      <c r="I1533" s="11" t="s">
        <v>86</v>
      </c>
      <c r="J1533" s="11" t="s">
        <v>87</v>
      </c>
      <c r="K1533" s="11" t="s">
        <v>88</v>
      </c>
      <c r="L1533" s="11" t="s">
        <v>89</v>
      </c>
      <c r="M1533" s="11" t="s">
        <v>90</v>
      </c>
      <c r="N1533" s="11" t="s">
        <v>74</v>
      </c>
      <c r="O1533" s="11" t="s">
        <v>75</v>
      </c>
      <c r="P1533" s="11" t="s">
        <v>76</v>
      </c>
      <c r="Q1533" s="13" t="n">
        <f aca="false">F1533*H1533</f>
        <v>51832184</v>
      </c>
      <c r="R1533" s="13" t="n">
        <f aca="false">G1533*H1533</f>
        <v>43520000</v>
      </c>
      <c r="S1533" s="13" t="n">
        <f aca="false">Q1533-R1533</f>
        <v>8312184</v>
      </c>
      <c r="T1533" s="14" t="n">
        <f aca="false">IFERROR(S1533/Q1533,0)</f>
        <v>0.160367234380863</v>
      </c>
      <c r="U1533" s="15" t="str">
        <f aca="false">TEXT(A1533,"yyyy-mm")</f>
        <v>2022-07</v>
      </c>
    </row>
    <row r="1534" customFormat="false" ht="15" hidden="false" customHeight="false" outlineLevel="0" collapsed="false">
      <c r="A1534" s="10" t="n">
        <v>44767</v>
      </c>
      <c r="B1534" s="11" t="s">
        <v>1666</v>
      </c>
      <c r="C1534" s="11" t="s">
        <v>78</v>
      </c>
      <c r="D1534" s="11" t="s">
        <v>67</v>
      </c>
      <c r="E1534" s="11" t="s">
        <v>79</v>
      </c>
      <c r="F1534" s="12" t="n">
        <v>1870000</v>
      </c>
      <c r="G1534" s="12" t="n">
        <v>1650000</v>
      </c>
      <c r="H1534" s="11" t="n">
        <v>23</v>
      </c>
      <c r="I1534" s="11" t="s">
        <v>69</v>
      </c>
      <c r="J1534" s="11" t="s">
        <v>112</v>
      </c>
      <c r="K1534" s="11" t="s">
        <v>113</v>
      </c>
      <c r="L1534" s="11" t="s">
        <v>82</v>
      </c>
      <c r="M1534" s="11" t="s">
        <v>157</v>
      </c>
      <c r="N1534" s="11" t="s">
        <v>99</v>
      </c>
      <c r="O1534" s="11" t="s">
        <v>100</v>
      </c>
      <c r="P1534" s="11" t="s">
        <v>101</v>
      </c>
      <c r="Q1534" s="13" t="n">
        <f aca="false">F1534*H1534</f>
        <v>43010000</v>
      </c>
      <c r="R1534" s="13" t="n">
        <f aca="false">G1534*H1534</f>
        <v>37950000</v>
      </c>
      <c r="S1534" s="13" t="n">
        <f aca="false">Q1534-R1534</f>
        <v>5060000</v>
      </c>
      <c r="T1534" s="14" t="n">
        <f aca="false">IFERROR(S1534/Q1534,0)</f>
        <v>0.117647058823529</v>
      </c>
      <c r="U1534" s="15" t="str">
        <f aca="false">TEXT(A1534,"yyyy-mm")</f>
        <v>2022-07</v>
      </c>
    </row>
    <row r="1535" customFormat="false" ht="15" hidden="false" customHeight="false" outlineLevel="0" collapsed="false">
      <c r="A1535" s="10" t="n">
        <v>44767</v>
      </c>
      <c r="B1535" s="11" t="s">
        <v>1667</v>
      </c>
      <c r="C1535" s="11" t="s">
        <v>84</v>
      </c>
      <c r="D1535" s="11" t="s">
        <v>67</v>
      </c>
      <c r="E1535" s="11" t="s">
        <v>85</v>
      </c>
      <c r="F1535" s="12" t="n">
        <v>2600000</v>
      </c>
      <c r="G1535" s="12" t="n">
        <v>2300000</v>
      </c>
      <c r="H1535" s="11" t="n">
        <v>15</v>
      </c>
      <c r="I1535" s="11" t="s">
        <v>69</v>
      </c>
      <c r="J1535" s="11" t="s">
        <v>70</v>
      </c>
      <c r="K1535" s="11" t="s">
        <v>71</v>
      </c>
      <c r="L1535" s="11" t="s">
        <v>72</v>
      </c>
      <c r="M1535" s="11" t="s">
        <v>73</v>
      </c>
      <c r="N1535" s="11" t="s">
        <v>104</v>
      </c>
      <c r="O1535" s="11" t="s">
        <v>105</v>
      </c>
      <c r="P1535" s="11" t="s">
        <v>106</v>
      </c>
      <c r="Q1535" s="13" t="n">
        <f aca="false">F1535*H1535</f>
        <v>39000000</v>
      </c>
      <c r="R1535" s="13" t="n">
        <f aca="false">G1535*H1535</f>
        <v>34500000</v>
      </c>
      <c r="S1535" s="13" t="n">
        <f aca="false">Q1535-R1535</f>
        <v>4500000</v>
      </c>
      <c r="T1535" s="14" t="n">
        <f aca="false">IFERROR(S1535/Q1535,0)</f>
        <v>0.115384615384615</v>
      </c>
      <c r="U1535" s="15" t="str">
        <f aca="false">TEXT(A1535,"yyyy-mm")</f>
        <v>2022-07</v>
      </c>
    </row>
    <row r="1536" customFormat="false" ht="15" hidden="false" customHeight="false" outlineLevel="0" collapsed="false">
      <c r="A1536" s="10" t="n">
        <v>44768</v>
      </c>
      <c r="B1536" s="11" t="s">
        <v>1668</v>
      </c>
      <c r="C1536" s="11" t="s">
        <v>92</v>
      </c>
      <c r="D1536" s="11" t="s">
        <v>67</v>
      </c>
      <c r="E1536" s="11" t="s">
        <v>79</v>
      </c>
      <c r="F1536" s="12" t="n">
        <v>3577480</v>
      </c>
      <c r="G1536" s="12" t="n">
        <v>3100000</v>
      </c>
      <c r="H1536" s="11" t="n">
        <v>25</v>
      </c>
      <c r="I1536" s="11" t="s">
        <v>69</v>
      </c>
      <c r="J1536" s="11" t="s">
        <v>80</v>
      </c>
      <c r="K1536" s="11" t="s">
        <v>81</v>
      </c>
      <c r="L1536" s="11" t="s">
        <v>82</v>
      </c>
      <c r="M1536" s="11" t="s">
        <v>73</v>
      </c>
      <c r="N1536" s="11" t="s">
        <v>104</v>
      </c>
      <c r="O1536" s="11" t="s">
        <v>105</v>
      </c>
      <c r="P1536" s="11" t="s">
        <v>106</v>
      </c>
      <c r="Q1536" s="13" t="n">
        <f aca="false">F1536*H1536</f>
        <v>89437000</v>
      </c>
      <c r="R1536" s="13" t="n">
        <f aca="false">G1536*H1536</f>
        <v>77500000</v>
      </c>
      <c r="S1536" s="13" t="n">
        <f aca="false">Q1536-R1536</f>
        <v>11937000</v>
      </c>
      <c r="T1536" s="14" t="n">
        <f aca="false">IFERROR(S1536/Q1536,0)</f>
        <v>0.133468251394837</v>
      </c>
      <c r="U1536" s="15" t="str">
        <f aca="false">TEXT(A1536,"yyyy-mm")</f>
        <v>2022-07</v>
      </c>
    </row>
    <row r="1537" customFormat="false" ht="15" hidden="false" customHeight="false" outlineLevel="0" collapsed="false">
      <c r="A1537" s="10" t="n">
        <v>44768</v>
      </c>
      <c r="B1537" s="11" t="s">
        <v>1669</v>
      </c>
      <c r="C1537" s="11" t="s">
        <v>97</v>
      </c>
      <c r="D1537" s="11" t="s">
        <v>67</v>
      </c>
      <c r="E1537" s="11" t="s">
        <v>98</v>
      </c>
      <c r="F1537" s="12" t="n">
        <v>4969724</v>
      </c>
      <c r="G1537" s="12" t="n">
        <v>4121560</v>
      </c>
      <c r="H1537" s="11" t="n">
        <v>18</v>
      </c>
      <c r="I1537" s="11" t="s">
        <v>69</v>
      </c>
      <c r="J1537" s="11" t="s">
        <v>80</v>
      </c>
      <c r="K1537" s="11" t="s">
        <v>81</v>
      </c>
      <c r="L1537" s="11" t="s">
        <v>82</v>
      </c>
      <c r="M1537" s="11" t="s">
        <v>73</v>
      </c>
      <c r="N1537" s="11" t="s">
        <v>143</v>
      </c>
      <c r="O1537" s="11" t="s">
        <v>144</v>
      </c>
      <c r="P1537" s="11" t="s">
        <v>101</v>
      </c>
      <c r="Q1537" s="13" t="n">
        <f aca="false">F1537*H1537</f>
        <v>89455032</v>
      </c>
      <c r="R1537" s="13" t="n">
        <f aca="false">G1537*H1537</f>
        <v>74188080</v>
      </c>
      <c r="S1537" s="13" t="n">
        <f aca="false">Q1537-R1537</f>
        <v>15266952</v>
      </c>
      <c r="T1537" s="14" t="n">
        <f aca="false">IFERROR(S1537/Q1537,0)</f>
        <v>0.170666218083741</v>
      </c>
      <c r="U1537" s="15" t="str">
        <f aca="false">TEXT(A1537,"yyyy-mm")</f>
        <v>2022-07</v>
      </c>
    </row>
    <row r="1538" customFormat="false" ht="15" hidden="false" customHeight="false" outlineLevel="0" collapsed="false">
      <c r="A1538" s="10" t="n">
        <v>44768</v>
      </c>
      <c r="B1538" s="11" t="s">
        <v>1670</v>
      </c>
      <c r="C1538" s="11" t="s">
        <v>103</v>
      </c>
      <c r="D1538" s="11" t="s">
        <v>67</v>
      </c>
      <c r="E1538" s="11" t="s">
        <v>68</v>
      </c>
      <c r="F1538" s="12" t="n">
        <v>3319925</v>
      </c>
      <c r="G1538" s="12" t="n">
        <v>2800000</v>
      </c>
      <c r="H1538" s="11" t="n">
        <v>16</v>
      </c>
      <c r="I1538" s="11" t="s">
        <v>69</v>
      </c>
      <c r="J1538" s="11" t="s">
        <v>112</v>
      </c>
      <c r="K1538" s="11" t="s">
        <v>113</v>
      </c>
      <c r="L1538" s="11" t="s">
        <v>82</v>
      </c>
      <c r="M1538" s="11" t="s">
        <v>157</v>
      </c>
      <c r="N1538" s="11" t="s">
        <v>133</v>
      </c>
      <c r="O1538" s="11" t="s">
        <v>60</v>
      </c>
      <c r="P1538" s="11" t="s">
        <v>76</v>
      </c>
      <c r="Q1538" s="13" t="n">
        <f aca="false">F1538*H1538</f>
        <v>53118800</v>
      </c>
      <c r="R1538" s="13" t="n">
        <f aca="false">G1538*H1538</f>
        <v>44800000</v>
      </c>
      <c r="S1538" s="13" t="n">
        <f aca="false">Q1538-R1538</f>
        <v>8318800</v>
      </c>
      <c r="T1538" s="14" t="n">
        <f aca="false">IFERROR(S1538/Q1538,0)</f>
        <v>0.15660745348163</v>
      </c>
      <c r="U1538" s="15" t="str">
        <f aca="false">TEXT(A1538,"yyyy-mm")</f>
        <v>2022-07</v>
      </c>
    </row>
    <row r="1539" customFormat="false" ht="15" hidden="false" customHeight="false" outlineLevel="0" collapsed="false">
      <c r="A1539" s="10" t="n">
        <v>44768</v>
      </c>
      <c r="B1539" s="11" t="s">
        <v>1671</v>
      </c>
      <c r="C1539" s="11" t="s">
        <v>108</v>
      </c>
      <c r="D1539" s="11" t="s">
        <v>67</v>
      </c>
      <c r="E1539" s="11" t="s">
        <v>68</v>
      </c>
      <c r="F1539" s="12" t="n">
        <v>4757880</v>
      </c>
      <c r="G1539" s="12" t="n">
        <v>3450000</v>
      </c>
      <c r="H1539" s="11" t="n">
        <v>7</v>
      </c>
      <c r="I1539" s="11" t="s">
        <v>69</v>
      </c>
      <c r="J1539" s="11" t="s">
        <v>70</v>
      </c>
      <c r="K1539" s="11" t="s">
        <v>71</v>
      </c>
      <c r="L1539" s="11" t="s">
        <v>72</v>
      </c>
      <c r="M1539" s="11" t="s">
        <v>73</v>
      </c>
      <c r="N1539" s="11" t="s">
        <v>143</v>
      </c>
      <c r="O1539" s="11" t="s">
        <v>144</v>
      </c>
      <c r="P1539" s="11" t="s">
        <v>101</v>
      </c>
      <c r="Q1539" s="13" t="n">
        <f aca="false">F1539*H1539</f>
        <v>33305160</v>
      </c>
      <c r="R1539" s="13" t="n">
        <f aca="false">G1539*H1539</f>
        <v>24150000</v>
      </c>
      <c r="S1539" s="13" t="n">
        <f aca="false">Q1539-R1539</f>
        <v>9155160</v>
      </c>
      <c r="T1539" s="14" t="n">
        <f aca="false">IFERROR(S1539/Q1539,0)</f>
        <v>0.274887134606169</v>
      </c>
      <c r="U1539" s="15" t="str">
        <f aca="false">TEXT(A1539,"yyyy-mm")</f>
        <v>2022-07</v>
      </c>
    </row>
    <row r="1540" customFormat="false" ht="15" hidden="false" customHeight="false" outlineLevel="0" collapsed="false">
      <c r="A1540" s="10" t="n">
        <v>44769</v>
      </c>
      <c r="B1540" s="11" t="s">
        <v>1672</v>
      </c>
      <c r="C1540" s="11" t="s">
        <v>111</v>
      </c>
      <c r="D1540" s="11" t="s">
        <v>67</v>
      </c>
      <c r="E1540" s="11" t="s">
        <v>79</v>
      </c>
      <c r="F1540" s="12" t="n">
        <v>3545808</v>
      </c>
      <c r="G1540" s="12" t="n">
        <v>3350000</v>
      </c>
      <c r="H1540" s="11" t="n">
        <v>11</v>
      </c>
      <c r="I1540" s="11" t="s">
        <v>69</v>
      </c>
      <c r="J1540" s="11" t="s">
        <v>70</v>
      </c>
      <c r="K1540" s="11" t="s">
        <v>71</v>
      </c>
      <c r="L1540" s="11" t="s">
        <v>72</v>
      </c>
      <c r="M1540" s="11" t="s">
        <v>73</v>
      </c>
      <c r="N1540" s="11" t="s">
        <v>93</v>
      </c>
      <c r="O1540" s="11" t="s">
        <v>94</v>
      </c>
      <c r="P1540" s="11" t="s">
        <v>95</v>
      </c>
      <c r="Q1540" s="13" t="n">
        <f aca="false">F1540*H1540</f>
        <v>39003888</v>
      </c>
      <c r="R1540" s="13" t="n">
        <f aca="false">G1540*H1540</f>
        <v>36850000</v>
      </c>
      <c r="S1540" s="13" t="n">
        <f aca="false">Q1540-R1540</f>
        <v>2153888</v>
      </c>
      <c r="T1540" s="14" t="n">
        <f aca="false">IFERROR(S1540/Q1540,0)</f>
        <v>0.0552223921881839</v>
      </c>
      <c r="U1540" s="15" t="str">
        <f aca="false">TEXT(A1540,"yyyy-mm")</f>
        <v>2022-07</v>
      </c>
    </row>
    <row r="1541" customFormat="false" ht="15" hidden="false" customHeight="false" outlineLevel="0" collapsed="false">
      <c r="A1541" s="10" t="n">
        <v>44769</v>
      </c>
      <c r="B1541" s="11" t="s">
        <v>1673</v>
      </c>
      <c r="C1541" s="11" t="s">
        <v>115</v>
      </c>
      <c r="D1541" s="11" t="s">
        <v>67</v>
      </c>
      <c r="E1541" s="11" t="s">
        <v>98</v>
      </c>
      <c r="F1541" s="12" t="n">
        <v>4200743</v>
      </c>
      <c r="G1541" s="12" t="n">
        <v>4101000</v>
      </c>
      <c r="H1541" s="11" t="n">
        <v>8</v>
      </c>
      <c r="I1541" s="11" t="s">
        <v>86</v>
      </c>
      <c r="J1541" s="11" t="s">
        <v>87</v>
      </c>
      <c r="K1541" s="11" t="s">
        <v>88</v>
      </c>
      <c r="L1541" s="11" t="s">
        <v>89</v>
      </c>
      <c r="M1541" s="11" t="s">
        <v>90</v>
      </c>
      <c r="N1541" s="11" t="s">
        <v>123</v>
      </c>
      <c r="O1541" s="11" t="s">
        <v>60</v>
      </c>
      <c r="P1541" s="11" t="s">
        <v>106</v>
      </c>
      <c r="Q1541" s="13" t="n">
        <f aca="false">F1541*H1541</f>
        <v>33605944</v>
      </c>
      <c r="R1541" s="13" t="n">
        <f aca="false">G1541*H1541</f>
        <v>32808000</v>
      </c>
      <c r="S1541" s="13" t="n">
        <f aca="false">Q1541-R1541</f>
        <v>797944</v>
      </c>
      <c r="T1541" s="14" t="n">
        <f aca="false">IFERROR(S1541/Q1541,0)</f>
        <v>0.023744132883159</v>
      </c>
      <c r="U1541" s="15" t="str">
        <f aca="false">TEXT(A1541,"yyyy-mm")</f>
        <v>2022-07</v>
      </c>
    </row>
    <row r="1542" customFormat="false" ht="15" hidden="false" customHeight="false" outlineLevel="0" collapsed="false">
      <c r="A1542" s="10" t="n">
        <v>44770</v>
      </c>
      <c r="B1542" s="11" t="s">
        <v>1674</v>
      </c>
      <c r="C1542" s="11" t="s">
        <v>117</v>
      </c>
      <c r="D1542" s="11" t="s">
        <v>118</v>
      </c>
      <c r="E1542" s="11" t="s">
        <v>119</v>
      </c>
      <c r="F1542" s="12" t="n">
        <v>8220549</v>
      </c>
      <c r="G1542" s="12" t="n">
        <v>6500000</v>
      </c>
      <c r="H1542" s="11" t="n">
        <v>11</v>
      </c>
      <c r="I1542" s="11" t="s">
        <v>69</v>
      </c>
      <c r="J1542" s="11" t="s">
        <v>70</v>
      </c>
      <c r="K1542" s="11" t="s">
        <v>71</v>
      </c>
      <c r="L1542" s="11" t="s">
        <v>72</v>
      </c>
      <c r="M1542" s="11" t="s">
        <v>73</v>
      </c>
      <c r="N1542" s="11" t="s">
        <v>74</v>
      </c>
      <c r="O1542" s="11" t="s">
        <v>75</v>
      </c>
      <c r="P1542" s="11" t="s">
        <v>76</v>
      </c>
      <c r="Q1542" s="13" t="n">
        <f aca="false">F1542*H1542</f>
        <v>90426039</v>
      </c>
      <c r="R1542" s="13" t="n">
        <f aca="false">G1542*H1542</f>
        <v>71500000</v>
      </c>
      <c r="S1542" s="13" t="n">
        <f aca="false">Q1542-R1542</f>
        <v>18926039</v>
      </c>
      <c r="T1542" s="14" t="n">
        <f aca="false">IFERROR(S1542/Q1542,0)</f>
        <v>0.209298551714733</v>
      </c>
      <c r="U1542" s="15" t="str">
        <f aca="false">TEXT(A1542,"yyyy-mm")</f>
        <v>2022-07</v>
      </c>
    </row>
    <row r="1543" customFormat="false" ht="15" hidden="false" customHeight="false" outlineLevel="0" collapsed="false">
      <c r="A1543" s="10" t="n">
        <v>44770</v>
      </c>
      <c r="B1543" s="11" t="s">
        <v>1675</v>
      </c>
      <c r="C1543" s="11" t="s">
        <v>121</v>
      </c>
      <c r="D1543" s="11" t="s">
        <v>118</v>
      </c>
      <c r="E1543" s="11" t="s">
        <v>122</v>
      </c>
      <c r="F1543" s="12" t="n">
        <v>7687274</v>
      </c>
      <c r="G1543" s="12" t="n">
        <v>6500000</v>
      </c>
      <c r="H1543" s="11" t="n">
        <v>4</v>
      </c>
      <c r="I1543" s="11" t="s">
        <v>69</v>
      </c>
      <c r="J1543" s="11" t="s">
        <v>112</v>
      </c>
      <c r="K1543" s="11" t="s">
        <v>113</v>
      </c>
      <c r="L1543" s="11" t="s">
        <v>82</v>
      </c>
      <c r="M1543" s="11" t="s">
        <v>157</v>
      </c>
      <c r="N1543" s="11" t="s">
        <v>123</v>
      </c>
      <c r="O1543" s="11" t="s">
        <v>60</v>
      </c>
      <c r="P1543" s="11" t="s">
        <v>106</v>
      </c>
      <c r="Q1543" s="13" t="n">
        <f aca="false">F1543*H1543</f>
        <v>30749096</v>
      </c>
      <c r="R1543" s="13" t="n">
        <f aca="false">G1543*H1543</f>
        <v>26000000</v>
      </c>
      <c r="S1543" s="13" t="n">
        <f aca="false">Q1543-R1543</f>
        <v>4749096</v>
      </c>
      <c r="T1543" s="14" t="n">
        <f aca="false">IFERROR(S1543/Q1543,0)</f>
        <v>0.154446686822923</v>
      </c>
      <c r="U1543" s="15" t="str">
        <f aca="false">TEXT(A1543,"yyyy-mm")</f>
        <v>2022-07</v>
      </c>
    </row>
    <row r="1544" customFormat="false" ht="15" hidden="false" customHeight="false" outlineLevel="0" collapsed="false">
      <c r="A1544" s="10" t="n">
        <v>44771</v>
      </c>
      <c r="B1544" s="11" t="s">
        <v>1676</v>
      </c>
      <c r="C1544" s="11" t="s">
        <v>125</v>
      </c>
      <c r="D1544" s="11" t="s">
        <v>118</v>
      </c>
      <c r="E1544" s="11" t="s">
        <v>126</v>
      </c>
      <c r="F1544" s="12" t="n">
        <v>5684211</v>
      </c>
      <c r="G1544" s="12" t="n">
        <v>4300000</v>
      </c>
      <c r="H1544" s="11" t="n">
        <v>12</v>
      </c>
      <c r="I1544" s="11" t="s">
        <v>69</v>
      </c>
      <c r="J1544" s="11" t="s">
        <v>112</v>
      </c>
      <c r="K1544" s="11" t="s">
        <v>113</v>
      </c>
      <c r="L1544" s="11" t="s">
        <v>82</v>
      </c>
      <c r="M1544" s="11" t="s">
        <v>157</v>
      </c>
      <c r="N1544" s="11" t="s">
        <v>173</v>
      </c>
      <c r="O1544" s="11" t="s">
        <v>174</v>
      </c>
      <c r="P1544" s="11" t="s">
        <v>95</v>
      </c>
      <c r="Q1544" s="13" t="n">
        <f aca="false">F1544*H1544</f>
        <v>68210532</v>
      </c>
      <c r="R1544" s="13" t="n">
        <f aca="false">G1544*H1544</f>
        <v>51600000</v>
      </c>
      <c r="S1544" s="13" t="n">
        <f aca="false">Q1544-R1544</f>
        <v>16610532</v>
      </c>
      <c r="T1544" s="14" t="n">
        <f aca="false">IFERROR(S1544/Q1544,0)</f>
        <v>0.243518581558637</v>
      </c>
      <c r="U1544" s="15" t="str">
        <f aca="false">TEXT(A1544,"yyyy-mm")</f>
        <v>2022-07</v>
      </c>
    </row>
    <row r="1545" customFormat="false" ht="15" hidden="false" customHeight="false" outlineLevel="0" collapsed="false">
      <c r="A1545" s="10" t="n">
        <v>44771</v>
      </c>
      <c r="B1545" s="11" t="s">
        <v>1677</v>
      </c>
      <c r="C1545" s="11" t="s">
        <v>128</v>
      </c>
      <c r="D1545" s="11" t="s">
        <v>118</v>
      </c>
      <c r="E1545" s="11" t="s">
        <v>119</v>
      </c>
      <c r="F1545" s="12" t="n">
        <v>3370302</v>
      </c>
      <c r="G1545" s="12" t="n">
        <v>2100000</v>
      </c>
      <c r="H1545" s="11" t="n">
        <v>22</v>
      </c>
      <c r="I1545" s="11" t="s">
        <v>69</v>
      </c>
      <c r="J1545" s="11" t="s">
        <v>112</v>
      </c>
      <c r="K1545" s="11" t="s">
        <v>113</v>
      </c>
      <c r="L1545" s="11" t="s">
        <v>82</v>
      </c>
      <c r="M1545" s="11" t="s">
        <v>157</v>
      </c>
      <c r="N1545" s="11" t="s">
        <v>143</v>
      </c>
      <c r="O1545" s="11" t="s">
        <v>144</v>
      </c>
      <c r="P1545" s="11" t="s">
        <v>101</v>
      </c>
      <c r="Q1545" s="13" t="n">
        <f aca="false">F1545*H1545</f>
        <v>74146644</v>
      </c>
      <c r="R1545" s="13" t="n">
        <f aca="false">G1545*H1545</f>
        <v>46200000</v>
      </c>
      <c r="S1545" s="13" t="n">
        <f aca="false">Q1545-R1545</f>
        <v>27946644</v>
      </c>
      <c r="T1545" s="14" t="n">
        <f aca="false">IFERROR(S1545/Q1545,0)</f>
        <v>0.37691043710623</v>
      </c>
      <c r="U1545" s="15" t="str">
        <f aca="false">TEXT(A1545,"yyyy-mm")</f>
        <v>2022-07</v>
      </c>
    </row>
    <row r="1546" customFormat="false" ht="15" hidden="false" customHeight="false" outlineLevel="0" collapsed="false">
      <c r="A1546" s="10" t="n">
        <v>44773</v>
      </c>
      <c r="B1546" s="11" t="s">
        <v>1678</v>
      </c>
      <c r="C1546" s="11" t="s">
        <v>130</v>
      </c>
      <c r="D1546" s="11" t="s">
        <v>118</v>
      </c>
      <c r="E1546" s="11" t="s">
        <v>68</v>
      </c>
      <c r="F1546" s="12" t="n">
        <v>2852897</v>
      </c>
      <c r="G1546" s="12" t="n">
        <v>2450000</v>
      </c>
      <c r="H1546" s="11" t="n">
        <v>15</v>
      </c>
      <c r="I1546" s="11" t="s">
        <v>69</v>
      </c>
      <c r="J1546" s="11" t="s">
        <v>112</v>
      </c>
      <c r="K1546" s="11" t="s">
        <v>113</v>
      </c>
      <c r="L1546" s="11" t="s">
        <v>82</v>
      </c>
      <c r="M1546" s="11" t="s">
        <v>157</v>
      </c>
      <c r="N1546" s="11" t="s">
        <v>109</v>
      </c>
      <c r="O1546" s="11" t="s">
        <v>75</v>
      </c>
      <c r="P1546" s="11" t="s">
        <v>95</v>
      </c>
      <c r="Q1546" s="13" t="n">
        <f aca="false">F1546*H1546</f>
        <v>42793455</v>
      </c>
      <c r="R1546" s="13" t="n">
        <f aca="false">G1546*H1546</f>
        <v>36750000</v>
      </c>
      <c r="S1546" s="13" t="n">
        <f aca="false">Q1546-R1546</f>
        <v>6043455</v>
      </c>
      <c r="T1546" s="14" t="n">
        <f aca="false">IFERROR(S1546/Q1546,0)</f>
        <v>0.141223815651249</v>
      </c>
      <c r="U1546" s="15" t="str">
        <f aca="false">TEXT(A1546,"yyyy-mm")</f>
        <v>2022-07</v>
      </c>
    </row>
    <row r="1547" customFormat="false" ht="15" hidden="false" customHeight="false" outlineLevel="0" collapsed="false">
      <c r="A1547" s="10" t="n">
        <v>44774</v>
      </c>
      <c r="B1547" s="11" t="s">
        <v>1679</v>
      </c>
      <c r="C1547" s="11" t="s">
        <v>132</v>
      </c>
      <c r="D1547" s="11" t="s">
        <v>118</v>
      </c>
      <c r="E1547" s="11" t="s">
        <v>68</v>
      </c>
      <c r="F1547" s="12" t="n">
        <v>4803603</v>
      </c>
      <c r="G1547" s="12" t="n">
        <v>4121000</v>
      </c>
      <c r="H1547" s="11" t="n">
        <v>17</v>
      </c>
      <c r="I1547" s="11" t="s">
        <v>86</v>
      </c>
      <c r="J1547" s="11" t="s">
        <v>87</v>
      </c>
      <c r="K1547" s="11" t="s">
        <v>88</v>
      </c>
      <c r="L1547" s="11" t="s">
        <v>89</v>
      </c>
      <c r="M1547" s="11" t="s">
        <v>90</v>
      </c>
      <c r="N1547" s="11" t="s">
        <v>109</v>
      </c>
      <c r="O1547" s="11" t="s">
        <v>75</v>
      </c>
      <c r="P1547" s="11" t="s">
        <v>95</v>
      </c>
      <c r="Q1547" s="13" t="n">
        <f aca="false">F1547*H1547</f>
        <v>81661251</v>
      </c>
      <c r="R1547" s="13" t="n">
        <f aca="false">G1547*H1547</f>
        <v>70057000</v>
      </c>
      <c r="S1547" s="13" t="n">
        <f aca="false">Q1547-R1547</f>
        <v>11604251</v>
      </c>
      <c r="T1547" s="14" t="n">
        <f aca="false">IFERROR(S1547/Q1547,0)</f>
        <v>0.142102292799801</v>
      </c>
      <c r="U1547" s="15" t="str">
        <f aca="false">TEXT(A1547,"yyyy-mm")</f>
        <v>2022-08</v>
      </c>
    </row>
    <row r="1548" customFormat="false" ht="15" hidden="false" customHeight="false" outlineLevel="0" collapsed="false">
      <c r="A1548" s="10" t="n">
        <v>44777</v>
      </c>
      <c r="B1548" s="11" t="s">
        <v>1680</v>
      </c>
      <c r="C1548" s="11" t="s">
        <v>135</v>
      </c>
      <c r="D1548" s="11" t="s">
        <v>118</v>
      </c>
      <c r="E1548" s="11" t="s">
        <v>68</v>
      </c>
      <c r="F1548" s="12" t="n">
        <v>5689947</v>
      </c>
      <c r="G1548" s="12" t="n">
        <v>5235000</v>
      </c>
      <c r="H1548" s="11" t="n">
        <v>13</v>
      </c>
      <c r="I1548" s="11" t="s">
        <v>69</v>
      </c>
      <c r="J1548" s="11" t="s">
        <v>70</v>
      </c>
      <c r="K1548" s="11" t="s">
        <v>71</v>
      </c>
      <c r="L1548" s="11" t="s">
        <v>72</v>
      </c>
      <c r="M1548" s="11" t="s">
        <v>73</v>
      </c>
      <c r="N1548" s="11" t="s">
        <v>99</v>
      </c>
      <c r="O1548" s="11" t="s">
        <v>100</v>
      </c>
      <c r="P1548" s="11" t="s">
        <v>101</v>
      </c>
      <c r="Q1548" s="13" t="n">
        <f aca="false">F1548*H1548</f>
        <v>73969311</v>
      </c>
      <c r="R1548" s="13" t="n">
        <f aca="false">G1548*H1548</f>
        <v>68055000</v>
      </c>
      <c r="S1548" s="13" t="n">
        <f aca="false">Q1548-R1548</f>
        <v>5914311</v>
      </c>
      <c r="T1548" s="14" t="n">
        <f aca="false">IFERROR(S1548/Q1548,0)</f>
        <v>0.0799562807878527</v>
      </c>
      <c r="U1548" s="15" t="str">
        <f aca="false">TEXT(A1548,"yyyy-mm")</f>
        <v>2022-08</v>
      </c>
    </row>
    <row r="1549" customFormat="false" ht="15" hidden="false" customHeight="false" outlineLevel="0" collapsed="false">
      <c r="A1549" s="10" t="n">
        <v>44777</v>
      </c>
      <c r="B1549" s="11" t="s">
        <v>1681</v>
      </c>
      <c r="C1549" s="11" t="s">
        <v>137</v>
      </c>
      <c r="D1549" s="11" t="s">
        <v>138</v>
      </c>
      <c r="E1549" s="11" t="s">
        <v>139</v>
      </c>
      <c r="F1549" s="12" t="n">
        <v>5171827</v>
      </c>
      <c r="G1549" s="12" t="n">
        <v>4890000</v>
      </c>
      <c r="H1549" s="11" t="n">
        <v>1</v>
      </c>
      <c r="I1549" s="11" t="s">
        <v>69</v>
      </c>
      <c r="J1549" s="11" t="s">
        <v>112</v>
      </c>
      <c r="K1549" s="11" t="s">
        <v>113</v>
      </c>
      <c r="L1549" s="11" t="s">
        <v>82</v>
      </c>
      <c r="M1549" s="11" t="s">
        <v>157</v>
      </c>
      <c r="N1549" s="11" t="s">
        <v>143</v>
      </c>
      <c r="O1549" s="11" t="s">
        <v>144</v>
      </c>
      <c r="P1549" s="11" t="s">
        <v>101</v>
      </c>
      <c r="Q1549" s="13" t="n">
        <f aca="false">F1549*H1549</f>
        <v>5171827</v>
      </c>
      <c r="R1549" s="13" t="n">
        <f aca="false">G1549*H1549</f>
        <v>4890000</v>
      </c>
      <c r="S1549" s="13" t="n">
        <f aca="false">Q1549-R1549</f>
        <v>281827</v>
      </c>
      <c r="T1549" s="14" t="n">
        <f aca="false">IFERROR(S1549/Q1549,0)</f>
        <v>0.0544927353525166</v>
      </c>
      <c r="U1549" s="15" t="str">
        <f aca="false">TEXT(A1549,"yyyy-mm")</f>
        <v>2022-08</v>
      </c>
    </row>
    <row r="1550" customFormat="false" ht="15" hidden="false" customHeight="false" outlineLevel="0" collapsed="false">
      <c r="A1550" s="10" t="n">
        <v>44777</v>
      </c>
      <c r="B1550" s="11" t="s">
        <v>1682</v>
      </c>
      <c r="C1550" s="11" t="s">
        <v>141</v>
      </c>
      <c r="D1550" s="11" t="s">
        <v>138</v>
      </c>
      <c r="E1550" s="11" t="s">
        <v>142</v>
      </c>
      <c r="F1550" s="12" t="n">
        <v>2805124</v>
      </c>
      <c r="G1550" s="12" t="n">
        <v>2178000</v>
      </c>
      <c r="H1550" s="11" t="n">
        <v>29</v>
      </c>
      <c r="I1550" s="11" t="s">
        <v>69</v>
      </c>
      <c r="J1550" s="11" t="s">
        <v>80</v>
      </c>
      <c r="K1550" s="11" t="s">
        <v>81</v>
      </c>
      <c r="L1550" s="11" t="s">
        <v>82</v>
      </c>
      <c r="M1550" s="11" t="s">
        <v>73</v>
      </c>
      <c r="N1550" s="11" t="s">
        <v>74</v>
      </c>
      <c r="O1550" s="11" t="s">
        <v>75</v>
      </c>
      <c r="P1550" s="11" t="s">
        <v>76</v>
      </c>
      <c r="Q1550" s="13" t="n">
        <f aca="false">F1550*H1550</f>
        <v>81348596</v>
      </c>
      <c r="R1550" s="13" t="n">
        <f aca="false">G1550*H1550</f>
        <v>63162000</v>
      </c>
      <c r="S1550" s="13" t="n">
        <f aca="false">Q1550-R1550</f>
        <v>18186596</v>
      </c>
      <c r="T1550" s="14" t="n">
        <f aca="false">IFERROR(S1550/Q1550,0)</f>
        <v>0.22356373550688</v>
      </c>
      <c r="U1550" s="15" t="str">
        <f aca="false">TEXT(A1550,"yyyy-mm")</f>
        <v>2022-08</v>
      </c>
    </row>
    <row r="1551" customFormat="false" ht="15" hidden="false" customHeight="false" outlineLevel="0" collapsed="false">
      <c r="A1551" s="10" t="n">
        <v>44777</v>
      </c>
      <c r="B1551" s="11" t="s">
        <v>1683</v>
      </c>
      <c r="C1551" s="11" t="s">
        <v>146</v>
      </c>
      <c r="D1551" s="11" t="s">
        <v>138</v>
      </c>
      <c r="E1551" s="11" t="s">
        <v>139</v>
      </c>
      <c r="F1551" s="12" t="n">
        <v>2728100</v>
      </c>
      <c r="G1551" s="12" t="n">
        <v>2321000</v>
      </c>
      <c r="H1551" s="11" t="n">
        <v>8</v>
      </c>
      <c r="I1551" s="11" t="s">
        <v>69</v>
      </c>
      <c r="J1551" s="11" t="s">
        <v>70</v>
      </c>
      <c r="K1551" s="11" t="s">
        <v>71</v>
      </c>
      <c r="L1551" s="11" t="s">
        <v>72</v>
      </c>
      <c r="M1551" s="11" t="s">
        <v>73</v>
      </c>
      <c r="N1551" s="11" t="s">
        <v>104</v>
      </c>
      <c r="O1551" s="11" t="s">
        <v>105</v>
      </c>
      <c r="P1551" s="11" t="s">
        <v>106</v>
      </c>
      <c r="Q1551" s="13" t="n">
        <f aca="false">F1551*H1551</f>
        <v>21824800</v>
      </c>
      <c r="R1551" s="13" t="n">
        <f aca="false">G1551*H1551</f>
        <v>18568000</v>
      </c>
      <c r="S1551" s="13" t="n">
        <f aca="false">Q1551-R1551</f>
        <v>3256800</v>
      </c>
      <c r="T1551" s="14" t="n">
        <f aca="false">IFERROR(S1551/Q1551,0)</f>
        <v>0.149224735163667</v>
      </c>
      <c r="U1551" s="15" t="str">
        <f aca="false">TEXT(A1551,"yyyy-mm")</f>
        <v>2022-08</v>
      </c>
    </row>
    <row r="1552" customFormat="false" ht="15" hidden="false" customHeight="false" outlineLevel="0" collapsed="false">
      <c r="A1552" s="10" t="n">
        <v>44777</v>
      </c>
      <c r="B1552" s="11" t="s">
        <v>1684</v>
      </c>
      <c r="C1552" s="11" t="s">
        <v>148</v>
      </c>
      <c r="D1552" s="11" t="s">
        <v>138</v>
      </c>
      <c r="E1552" s="11" t="s">
        <v>122</v>
      </c>
      <c r="F1552" s="12" t="n">
        <v>4941716</v>
      </c>
      <c r="G1552" s="12" t="n">
        <v>4456000</v>
      </c>
      <c r="H1552" s="11" t="n">
        <v>18</v>
      </c>
      <c r="I1552" s="11" t="s">
        <v>69</v>
      </c>
      <c r="J1552" s="11" t="s">
        <v>80</v>
      </c>
      <c r="K1552" s="11" t="s">
        <v>81</v>
      </c>
      <c r="L1552" s="11" t="s">
        <v>82</v>
      </c>
      <c r="M1552" s="11" t="s">
        <v>73</v>
      </c>
      <c r="N1552" s="11" t="s">
        <v>123</v>
      </c>
      <c r="O1552" s="11" t="s">
        <v>60</v>
      </c>
      <c r="P1552" s="11" t="s">
        <v>106</v>
      </c>
      <c r="Q1552" s="13" t="n">
        <f aca="false">F1552*H1552</f>
        <v>88950888</v>
      </c>
      <c r="R1552" s="13" t="n">
        <f aca="false">G1552*H1552</f>
        <v>80208000</v>
      </c>
      <c r="S1552" s="13" t="n">
        <f aca="false">Q1552-R1552</f>
        <v>8742888</v>
      </c>
      <c r="T1552" s="14" t="n">
        <f aca="false">IFERROR(S1552/Q1552,0)</f>
        <v>0.0982889344511097</v>
      </c>
      <c r="U1552" s="15" t="str">
        <f aca="false">TEXT(A1552,"yyyy-mm")</f>
        <v>2022-08</v>
      </c>
    </row>
    <row r="1553" customFormat="false" ht="15" hidden="false" customHeight="false" outlineLevel="0" collapsed="false">
      <c r="A1553" s="10" t="n">
        <v>44777</v>
      </c>
      <c r="B1553" s="11" t="s">
        <v>1685</v>
      </c>
      <c r="C1553" s="11" t="s">
        <v>66</v>
      </c>
      <c r="D1553" s="11" t="s">
        <v>67</v>
      </c>
      <c r="E1553" s="11" t="s">
        <v>68</v>
      </c>
      <c r="F1553" s="12" t="n">
        <v>3048952</v>
      </c>
      <c r="G1553" s="12" t="n">
        <v>2560000</v>
      </c>
      <c r="H1553" s="11" t="n">
        <v>16</v>
      </c>
      <c r="I1553" s="11" t="s">
        <v>86</v>
      </c>
      <c r="J1553" s="11" t="s">
        <v>87</v>
      </c>
      <c r="K1553" s="11" t="s">
        <v>88</v>
      </c>
      <c r="L1553" s="11" t="s">
        <v>89</v>
      </c>
      <c r="M1553" s="11" t="s">
        <v>90</v>
      </c>
      <c r="N1553" s="11" t="s">
        <v>173</v>
      </c>
      <c r="O1553" s="11" t="s">
        <v>174</v>
      </c>
      <c r="P1553" s="11" t="s">
        <v>95</v>
      </c>
      <c r="Q1553" s="13" t="n">
        <f aca="false">F1553*H1553</f>
        <v>48783232</v>
      </c>
      <c r="R1553" s="13" t="n">
        <f aca="false">G1553*H1553</f>
        <v>40960000</v>
      </c>
      <c r="S1553" s="13" t="n">
        <f aca="false">Q1553-R1553</f>
        <v>7823232</v>
      </c>
      <c r="T1553" s="14" t="n">
        <f aca="false">IFERROR(S1553/Q1553,0)</f>
        <v>0.160367234380863</v>
      </c>
      <c r="U1553" s="15" t="str">
        <f aca="false">TEXT(A1553,"yyyy-mm")</f>
        <v>2022-08</v>
      </c>
    </row>
    <row r="1554" customFormat="false" ht="15" hidden="false" customHeight="false" outlineLevel="0" collapsed="false">
      <c r="A1554" s="10" t="n">
        <v>44777</v>
      </c>
      <c r="B1554" s="11" t="s">
        <v>1686</v>
      </c>
      <c r="C1554" s="11" t="s">
        <v>78</v>
      </c>
      <c r="D1554" s="11" t="s">
        <v>67</v>
      </c>
      <c r="E1554" s="11" t="s">
        <v>79</v>
      </c>
      <c r="F1554" s="12" t="n">
        <v>1870000</v>
      </c>
      <c r="G1554" s="12" t="n">
        <v>1650000</v>
      </c>
      <c r="H1554" s="11" t="n">
        <v>22</v>
      </c>
      <c r="I1554" s="11" t="s">
        <v>69</v>
      </c>
      <c r="J1554" s="11" t="s">
        <v>112</v>
      </c>
      <c r="K1554" s="11" t="s">
        <v>113</v>
      </c>
      <c r="L1554" s="11" t="s">
        <v>82</v>
      </c>
      <c r="M1554" s="11" t="s">
        <v>157</v>
      </c>
      <c r="N1554" s="11" t="s">
        <v>104</v>
      </c>
      <c r="O1554" s="11" t="s">
        <v>105</v>
      </c>
      <c r="P1554" s="11" t="s">
        <v>106</v>
      </c>
      <c r="Q1554" s="13" t="n">
        <f aca="false">F1554*H1554</f>
        <v>41140000</v>
      </c>
      <c r="R1554" s="13" t="n">
        <f aca="false">G1554*H1554</f>
        <v>36300000</v>
      </c>
      <c r="S1554" s="13" t="n">
        <f aca="false">Q1554-R1554</f>
        <v>4840000</v>
      </c>
      <c r="T1554" s="14" t="n">
        <f aca="false">IFERROR(S1554/Q1554,0)</f>
        <v>0.117647058823529</v>
      </c>
      <c r="U1554" s="15" t="str">
        <f aca="false">TEXT(A1554,"yyyy-mm")</f>
        <v>2022-08</v>
      </c>
    </row>
    <row r="1555" customFormat="false" ht="15" hidden="false" customHeight="false" outlineLevel="0" collapsed="false">
      <c r="A1555" s="10" t="n">
        <v>44777</v>
      </c>
      <c r="B1555" s="11" t="s">
        <v>1687</v>
      </c>
      <c r="C1555" s="11" t="s">
        <v>84</v>
      </c>
      <c r="D1555" s="11" t="s">
        <v>67</v>
      </c>
      <c r="E1555" s="11" t="s">
        <v>85</v>
      </c>
      <c r="F1555" s="12" t="n">
        <v>2600000</v>
      </c>
      <c r="G1555" s="12" t="n">
        <v>2300000</v>
      </c>
      <c r="H1555" s="11" t="n">
        <v>10</v>
      </c>
      <c r="I1555" s="11" t="s">
        <v>86</v>
      </c>
      <c r="J1555" s="11" t="s">
        <v>87</v>
      </c>
      <c r="K1555" s="11" t="s">
        <v>88</v>
      </c>
      <c r="L1555" s="11" t="s">
        <v>89</v>
      </c>
      <c r="M1555" s="11" t="s">
        <v>90</v>
      </c>
      <c r="N1555" s="11" t="s">
        <v>123</v>
      </c>
      <c r="O1555" s="11" t="s">
        <v>60</v>
      </c>
      <c r="P1555" s="11" t="s">
        <v>106</v>
      </c>
      <c r="Q1555" s="13" t="n">
        <f aca="false">F1555*H1555</f>
        <v>26000000</v>
      </c>
      <c r="R1555" s="13" t="n">
        <f aca="false">G1555*H1555</f>
        <v>23000000</v>
      </c>
      <c r="S1555" s="13" t="n">
        <f aca="false">Q1555-R1555</f>
        <v>3000000</v>
      </c>
      <c r="T1555" s="14" t="n">
        <f aca="false">IFERROR(S1555/Q1555,0)</f>
        <v>0.115384615384615</v>
      </c>
      <c r="U1555" s="15" t="str">
        <f aca="false">TEXT(A1555,"yyyy-mm")</f>
        <v>2022-08</v>
      </c>
    </row>
    <row r="1556" customFormat="false" ht="15" hidden="false" customHeight="false" outlineLevel="0" collapsed="false">
      <c r="A1556" s="10" t="n">
        <v>44777</v>
      </c>
      <c r="B1556" s="11" t="s">
        <v>1688</v>
      </c>
      <c r="C1556" s="11" t="s">
        <v>92</v>
      </c>
      <c r="D1556" s="11" t="s">
        <v>67</v>
      </c>
      <c r="E1556" s="11" t="s">
        <v>79</v>
      </c>
      <c r="F1556" s="12" t="n">
        <v>3577480</v>
      </c>
      <c r="G1556" s="12" t="n">
        <v>3100000</v>
      </c>
      <c r="H1556" s="11" t="n">
        <v>11</v>
      </c>
      <c r="I1556" s="11" t="s">
        <v>69</v>
      </c>
      <c r="J1556" s="11" t="s">
        <v>112</v>
      </c>
      <c r="K1556" s="11" t="s">
        <v>113</v>
      </c>
      <c r="L1556" s="11" t="s">
        <v>82</v>
      </c>
      <c r="M1556" s="11" t="s">
        <v>157</v>
      </c>
      <c r="N1556" s="11" t="s">
        <v>143</v>
      </c>
      <c r="O1556" s="11" t="s">
        <v>144</v>
      </c>
      <c r="P1556" s="11" t="s">
        <v>101</v>
      </c>
      <c r="Q1556" s="13" t="n">
        <f aca="false">F1556*H1556</f>
        <v>39352280</v>
      </c>
      <c r="R1556" s="13" t="n">
        <f aca="false">G1556*H1556</f>
        <v>34100000</v>
      </c>
      <c r="S1556" s="13" t="n">
        <f aca="false">Q1556-R1556</f>
        <v>5252280</v>
      </c>
      <c r="T1556" s="14" t="n">
        <f aca="false">IFERROR(S1556/Q1556,0)</f>
        <v>0.133468251394837</v>
      </c>
      <c r="U1556" s="15" t="str">
        <f aca="false">TEXT(A1556,"yyyy-mm")</f>
        <v>2022-08</v>
      </c>
    </row>
    <row r="1557" customFormat="false" ht="15" hidden="false" customHeight="false" outlineLevel="0" collapsed="false">
      <c r="A1557" s="10" t="n">
        <v>44778</v>
      </c>
      <c r="B1557" s="11" t="s">
        <v>1689</v>
      </c>
      <c r="C1557" s="11" t="s">
        <v>97</v>
      </c>
      <c r="D1557" s="11" t="s">
        <v>67</v>
      </c>
      <c r="E1557" s="11" t="s">
        <v>98</v>
      </c>
      <c r="F1557" s="12" t="n">
        <v>4969724</v>
      </c>
      <c r="G1557" s="12" t="n">
        <v>4121560</v>
      </c>
      <c r="H1557" s="11" t="n">
        <v>4</v>
      </c>
      <c r="I1557" s="11" t="s">
        <v>69</v>
      </c>
      <c r="J1557" s="11" t="s">
        <v>70</v>
      </c>
      <c r="K1557" s="11" t="s">
        <v>71</v>
      </c>
      <c r="L1557" s="11" t="s">
        <v>72</v>
      </c>
      <c r="M1557" s="11" t="s">
        <v>73</v>
      </c>
      <c r="N1557" s="11" t="s">
        <v>143</v>
      </c>
      <c r="O1557" s="11" t="s">
        <v>144</v>
      </c>
      <c r="P1557" s="11" t="s">
        <v>101</v>
      </c>
      <c r="Q1557" s="13" t="n">
        <f aca="false">F1557*H1557</f>
        <v>19878896</v>
      </c>
      <c r="R1557" s="13" t="n">
        <f aca="false">G1557*H1557</f>
        <v>16486240</v>
      </c>
      <c r="S1557" s="13" t="n">
        <f aca="false">Q1557-R1557</f>
        <v>3392656</v>
      </c>
      <c r="T1557" s="14" t="n">
        <f aca="false">IFERROR(S1557/Q1557,0)</f>
        <v>0.170666218083741</v>
      </c>
      <c r="U1557" s="15" t="str">
        <f aca="false">TEXT(A1557,"yyyy-mm")</f>
        <v>2022-08</v>
      </c>
    </row>
    <row r="1558" customFormat="false" ht="15" hidden="false" customHeight="false" outlineLevel="0" collapsed="false">
      <c r="A1558" s="10" t="n">
        <v>44779</v>
      </c>
      <c r="B1558" s="11" t="s">
        <v>1690</v>
      </c>
      <c r="C1558" s="11" t="s">
        <v>103</v>
      </c>
      <c r="D1558" s="11" t="s">
        <v>67</v>
      </c>
      <c r="E1558" s="11" t="s">
        <v>68</v>
      </c>
      <c r="F1558" s="12" t="n">
        <v>3319925</v>
      </c>
      <c r="G1558" s="12" t="n">
        <v>2800000</v>
      </c>
      <c r="H1558" s="11" t="n">
        <v>11</v>
      </c>
      <c r="I1558" s="11" t="s">
        <v>69</v>
      </c>
      <c r="J1558" s="11" t="s">
        <v>70</v>
      </c>
      <c r="K1558" s="11" t="s">
        <v>71</v>
      </c>
      <c r="L1558" s="11" t="s">
        <v>72</v>
      </c>
      <c r="M1558" s="11" t="s">
        <v>73</v>
      </c>
      <c r="N1558" s="11" t="s">
        <v>109</v>
      </c>
      <c r="O1558" s="11" t="s">
        <v>75</v>
      </c>
      <c r="P1558" s="11" t="s">
        <v>95</v>
      </c>
      <c r="Q1558" s="13" t="n">
        <f aca="false">F1558*H1558</f>
        <v>36519175</v>
      </c>
      <c r="R1558" s="13" t="n">
        <f aca="false">G1558*H1558</f>
        <v>30800000</v>
      </c>
      <c r="S1558" s="13" t="n">
        <f aca="false">Q1558-R1558</f>
        <v>5719175</v>
      </c>
      <c r="T1558" s="14" t="n">
        <f aca="false">IFERROR(S1558/Q1558,0)</f>
        <v>0.15660745348163</v>
      </c>
      <c r="U1558" s="15" t="str">
        <f aca="false">TEXT(A1558,"yyyy-mm")</f>
        <v>2022-08</v>
      </c>
    </row>
    <row r="1559" customFormat="false" ht="15" hidden="false" customHeight="false" outlineLevel="0" collapsed="false">
      <c r="A1559" s="10" t="n">
        <v>44779</v>
      </c>
      <c r="B1559" s="11" t="s">
        <v>1691</v>
      </c>
      <c r="C1559" s="11" t="s">
        <v>108</v>
      </c>
      <c r="D1559" s="11" t="s">
        <v>67</v>
      </c>
      <c r="E1559" s="11" t="s">
        <v>68</v>
      </c>
      <c r="F1559" s="12" t="n">
        <v>4757880</v>
      </c>
      <c r="G1559" s="12" t="n">
        <v>3450000</v>
      </c>
      <c r="H1559" s="11" t="n">
        <v>9</v>
      </c>
      <c r="I1559" s="11" t="s">
        <v>69</v>
      </c>
      <c r="J1559" s="11" t="s">
        <v>70</v>
      </c>
      <c r="K1559" s="11" t="s">
        <v>71</v>
      </c>
      <c r="L1559" s="11" t="s">
        <v>72</v>
      </c>
      <c r="M1559" s="11" t="s">
        <v>73</v>
      </c>
      <c r="N1559" s="11" t="s">
        <v>149</v>
      </c>
      <c r="O1559" s="11" t="s">
        <v>150</v>
      </c>
      <c r="P1559" s="11" t="s">
        <v>151</v>
      </c>
      <c r="Q1559" s="13" t="n">
        <f aca="false">F1559*H1559</f>
        <v>42820920</v>
      </c>
      <c r="R1559" s="13" t="n">
        <f aca="false">G1559*H1559</f>
        <v>31050000</v>
      </c>
      <c r="S1559" s="13" t="n">
        <f aca="false">Q1559-R1559</f>
        <v>11770920</v>
      </c>
      <c r="T1559" s="14" t="n">
        <f aca="false">IFERROR(S1559/Q1559,0)</f>
        <v>0.274887134606169</v>
      </c>
      <c r="U1559" s="15" t="str">
        <f aca="false">TEXT(A1559,"yyyy-mm")</f>
        <v>2022-08</v>
      </c>
    </row>
    <row r="1560" customFormat="false" ht="15" hidden="false" customHeight="false" outlineLevel="0" collapsed="false">
      <c r="A1560" s="10" t="n">
        <v>44780</v>
      </c>
      <c r="B1560" s="11" t="s">
        <v>1692</v>
      </c>
      <c r="C1560" s="11" t="s">
        <v>111</v>
      </c>
      <c r="D1560" s="11" t="s">
        <v>67</v>
      </c>
      <c r="E1560" s="11" t="s">
        <v>79</v>
      </c>
      <c r="F1560" s="12" t="n">
        <v>3545808</v>
      </c>
      <c r="G1560" s="12" t="n">
        <v>3350000</v>
      </c>
      <c r="H1560" s="11" t="n">
        <v>15</v>
      </c>
      <c r="I1560" s="11" t="s">
        <v>86</v>
      </c>
      <c r="J1560" s="11" t="s">
        <v>87</v>
      </c>
      <c r="K1560" s="11" t="s">
        <v>88</v>
      </c>
      <c r="L1560" s="11" t="s">
        <v>89</v>
      </c>
      <c r="M1560" s="11" t="s">
        <v>90</v>
      </c>
      <c r="N1560" s="11" t="s">
        <v>93</v>
      </c>
      <c r="O1560" s="11" t="s">
        <v>94</v>
      </c>
      <c r="P1560" s="11" t="s">
        <v>95</v>
      </c>
      <c r="Q1560" s="13" t="n">
        <f aca="false">F1560*H1560</f>
        <v>53187120</v>
      </c>
      <c r="R1560" s="13" t="n">
        <f aca="false">G1560*H1560</f>
        <v>50250000</v>
      </c>
      <c r="S1560" s="13" t="n">
        <f aca="false">Q1560-R1560</f>
        <v>2937120</v>
      </c>
      <c r="T1560" s="14" t="n">
        <f aca="false">IFERROR(S1560/Q1560,0)</f>
        <v>0.0552223921881839</v>
      </c>
      <c r="U1560" s="15" t="str">
        <f aca="false">TEXT(A1560,"yyyy-mm")</f>
        <v>2022-08</v>
      </c>
    </row>
    <row r="1561" customFormat="false" ht="15" hidden="false" customHeight="false" outlineLevel="0" collapsed="false">
      <c r="A1561" s="10" t="n">
        <v>44780</v>
      </c>
      <c r="B1561" s="11" t="s">
        <v>1693</v>
      </c>
      <c r="C1561" s="11" t="s">
        <v>115</v>
      </c>
      <c r="D1561" s="11" t="s">
        <v>67</v>
      </c>
      <c r="E1561" s="11" t="s">
        <v>98</v>
      </c>
      <c r="F1561" s="12" t="n">
        <v>4200743</v>
      </c>
      <c r="G1561" s="12" t="n">
        <v>4101000</v>
      </c>
      <c r="H1561" s="11" t="n">
        <v>3</v>
      </c>
      <c r="I1561" s="11" t="s">
        <v>86</v>
      </c>
      <c r="J1561" s="11" t="s">
        <v>87</v>
      </c>
      <c r="K1561" s="11" t="s">
        <v>88</v>
      </c>
      <c r="L1561" s="11" t="s">
        <v>89</v>
      </c>
      <c r="M1561" s="11" t="s">
        <v>90</v>
      </c>
      <c r="N1561" s="11" t="s">
        <v>149</v>
      </c>
      <c r="O1561" s="11" t="s">
        <v>150</v>
      </c>
      <c r="P1561" s="11" t="s">
        <v>151</v>
      </c>
      <c r="Q1561" s="13" t="n">
        <f aca="false">F1561*H1561</f>
        <v>12602229</v>
      </c>
      <c r="R1561" s="13" t="n">
        <f aca="false">G1561*H1561</f>
        <v>12303000</v>
      </c>
      <c r="S1561" s="13" t="n">
        <f aca="false">Q1561-R1561</f>
        <v>299229</v>
      </c>
      <c r="T1561" s="14" t="n">
        <f aca="false">IFERROR(S1561/Q1561,0)</f>
        <v>0.023744132883159</v>
      </c>
      <c r="U1561" s="15" t="str">
        <f aca="false">TEXT(A1561,"yyyy-mm")</f>
        <v>2022-08</v>
      </c>
    </row>
    <row r="1562" customFormat="false" ht="15" hidden="false" customHeight="false" outlineLevel="0" collapsed="false">
      <c r="A1562" s="10" t="n">
        <v>44780</v>
      </c>
      <c r="B1562" s="11" t="s">
        <v>1694</v>
      </c>
      <c r="C1562" s="11" t="s">
        <v>117</v>
      </c>
      <c r="D1562" s="11" t="s">
        <v>118</v>
      </c>
      <c r="E1562" s="11" t="s">
        <v>119</v>
      </c>
      <c r="F1562" s="12" t="n">
        <v>8220549</v>
      </c>
      <c r="G1562" s="12" t="n">
        <v>6500000</v>
      </c>
      <c r="H1562" s="11" t="n">
        <v>6</v>
      </c>
      <c r="I1562" s="11" t="s">
        <v>69</v>
      </c>
      <c r="J1562" s="11" t="s">
        <v>80</v>
      </c>
      <c r="K1562" s="11" t="s">
        <v>81</v>
      </c>
      <c r="L1562" s="11" t="s">
        <v>82</v>
      </c>
      <c r="M1562" s="11" t="s">
        <v>73</v>
      </c>
      <c r="N1562" s="11" t="s">
        <v>143</v>
      </c>
      <c r="O1562" s="11" t="s">
        <v>144</v>
      </c>
      <c r="P1562" s="11" t="s">
        <v>101</v>
      </c>
      <c r="Q1562" s="13" t="n">
        <f aca="false">F1562*H1562</f>
        <v>49323294</v>
      </c>
      <c r="R1562" s="13" t="n">
        <f aca="false">G1562*H1562</f>
        <v>39000000</v>
      </c>
      <c r="S1562" s="13" t="n">
        <f aca="false">Q1562-R1562</f>
        <v>10323294</v>
      </c>
      <c r="T1562" s="14" t="n">
        <f aca="false">IFERROR(S1562/Q1562,0)</f>
        <v>0.209298551714733</v>
      </c>
      <c r="U1562" s="15" t="str">
        <f aca="false">TEXT(A1562,"yyyy-mm")</f>
        <v>2022-08</v>
      </c>
    </row>
    <row r="1563" customFormat="false" ht="15" hidden="false" customHeight="false" outlineLevel="0" collapsed="false">
      <c r="A1563" s="10" t="n">
        <v>44781</v>
      </c>
      <c r="B1563" s="11" t="s">
        <v>1695</v>
      </c>
      <c r="C1563" s="11" t="s">
        <v>121</v>
      </c>
      <c r="D1563" s="11" t="s">
        <v>118</v>
      </c>
      <c r="E1563" s="11" t="s">
        <v>122</v>
      </c>
      <c r="F1563" s="12" t="n">
        <v>7687274</v>
      </c>
      <c r="G1563" s="12" t="n">
        <v>6500000</v>
      </c>
      <c r="H1563" s="11" t="n">
        <v>11</v>
      </c>
      <c r="I1563" s="11" t="s">
        <v>86</v>
      </c>
      <c r="J1563" s="11" t="s">
        <v>87</v>
      </c>
      <c r="K1563" s="11" t="s">
        <v>88</v>
      </c>
      <c r="L1563" s="11" t="s">
        <v>89</v>
      </c>
      <c r="M1563" s="11" t="s">
        <v>90</v>
      </c>
      <c r="N1563" s="11" t="s">
        <v>173</v>
      </c>
      <c r="O1563" s="11" t="s">
        <v>174</v>
      </c>
      <c r="P1563" s="11" t="s">
        <v>95</v>
      </c>
      <c r="Q1563" s="13" t="n">
        <f aca="false">F1563*H1563</f>
        <v>84560014</v>
      </c>
      <c r="R1563" s="13" t="n">
        <f aca="false">G1563*H1563</f>
        <v>71500000</v>
      </c>
      <c r="S1563" s="13" t="n">
        <f aca="false">Q1563-R1563</f>
        <v>13060014</v>
      </c>
      <c r="T1563" s="14" t="n">
        <f aca="false">IFERROR(S1563/Q1563,0)</f>
        <v>0.154446686822923</v>
      </c>
      <c r="U1563" s="15" t="str">
        <f aca="false">TEXT(A1563,"yyyy-mm")</f>
        <v>2022-08</v>
      </c>
    </row>
    <row r="1564" customFormat="false" ht="15" hidden="false" customHeight="false" outlineLevel="0" collapsed="false">
      <c r="A1564" s="10" t="n">
        <v>44782</v>
      </c>
      <c r="B1564" s="11" t="s">
        <v>1696</v>
      </c>
      <c r="C1564" s="11" t="s">
        <v>125</v>
      </c>
      <c r="D1564" s="11" t="s">
        <v>118</v>
      </c>
      <c r="E1564" s="11" t="s">
        <v>126</v>
      </c>
      <c r="F1564" s="12" t="n">
        <v>5684211</v>
      </c>
      <c r="G1564" s="12" t="n">
        <v>4300000</v>
      </c>
      <c r="H1564" s="11" t="n">
        <v>5</v>
      </c>
      <c r="I1564" s="11" t="s">
        <v>69</v>
      </c>
      <c r="J1564" s="11" t="s">
        <v>80</v>
      </c>
      <c r="K1564" s="11" t="s">
        <v>81</v>
      </c>
      <c r="L1564" s="11" t="s">
        <v>82</v>
      </c>
      <c r="M1564" s="11" t="s">
        <v>73</v>
      </c>
      <c r="N1564" s="11" t="s">
        <v>133</v>
      </c>
      <c r="O1564" s="11" t="s">
        <v>60</v>
      </c>
      <c r="P1564" s="11" t="s">
        <v>76</v>
      </c>
      <c r="Q1564" s="13" t="n">
        <f aca="false">F1564*H1564</f>
        <v>28421055</v>
      </c>
      <c r="R1564" s="13" t="n">
        <f aca="false">G1564*H1564</f>
        <v>21500000</v>
      </c>
      <c r="S1564" s="13" t="n">
        <f aca="false">Q1564-R1564</f>
        <v>6921055</v>
      </c>
      <c r="T1564" s="14" t="n">
        <f aca="false">IFERROR(S1564/Q1564,0)</f>
        <v>0.243518581558637</v>
      </c>
      <c r="U1564" s="15" t="str">
        <f aca="false">TEXT(A1564,"yyyy-mm")</f>
        <v>2022-08</v>
      </c>
    </row>
    <row r="1565" customFormat="false" ht="15" hidden="false" customHeight="false" outlineLevel="0" collapsed="false">
      <c r="A1565" s="10" t="n">
        <v>44783</v>
      </c>
      <c r="B1565" s="11" t="s">
        <v>1697</v>
      </c>
      <c r="C1565" s="11" t="s">
        <v>128</v>
      </c>
      <c r="D1565" s="11" t="s">
        <v>118</v>
      </c>
      <c r="E1565" s="11" t="s">
        <v>119</v>
      </c>
      <c r="F1565" s="12" t="n">
        <v>3370302</v>
      </c>
      <c r="G1565" s="12" t="n">
        <v>2100000</v>
      </c>
      <c r="H1565" s="11" t="n">
        <v>31</v>
      </c>
      <c r="I1565" s="11" t="s">
        <v>69</v>
      </c>
      <c r="J1565" s="11" t="s">
        <v>80</v>
      </c>
      <c r="K1565" s="11" t="s">
        <v>81</v>
      </c>
      <c r="L1565" s="11" t="s">
        <v>82</v>
      </c>
      <c r="M1565" s="11" t="s">
        <v>73</v>
      </c>
      <c r="N1565" s="11" t="s">
        <v>74</v>
      </c>
      <c r="O1565" s="11" t="s">
        <v>75</v>
      </c>
      <c r="P1565" s="11" t="s">
        <v>76</v>
      </c>
      <c r="Q1565" s="13" t="n">
        <f aca="false">F1565*H1565</f>
        <v>104479362</v>
      </c>
      <c r="R1565" s="13" t="n">
        <f aca="false">G1565*H1565</f>
        <v>65100000</v>
      </c>
      <c r="S1565" s="13" t="n">
        <f aca="false">Q1565-R1565</f>
        <v>39379362</v>
      </c>
      <c r="T1565" s="14" t="n">
        <f aca="false">IFERROR(S1565/Q1565,0)</f>
        <v>0.37691043710623</v>
      </c>
      <c r="U1565" s="15" t="str">
        <f aca="false">TEXT(A1565,"yyyy-mm")</f>
        <v>2022-08</v>
      </c>
    </row>
    <row r="1566" customFormat="false" ht="15" hidden="false" customHeight="false" outlineLevel="0" collapsed="false">
      <c r="A1566" s="10" t="n">
        <v>44783</v>
      </c>
      <c r="B1566" s="11" t="s">
        <v>1698</v>
      </c>
      <c r="C1566" s="11" t="s">
        <v>130</v>
      </c>
      <c r="D1566" s="11" t="s">
        <v>118</v>
      </c>
      <c r="E1566" s="11" t="s">
        <v>68</v>
      </c>
      <c r="F1566" s="12" t="n">
        <v>2852897</v>
      </c>
      <c r="G1566" s="12" t="n">
        <v>2450000</v>
      </c>
      <c r="H1566" s="11" t="n">
        <v>3</v>
      </c>
      <c r="I1566" s="11" t="s">
        <v>69</v>
      </c>
      <c r="J1566" s="11" t="s">
        <v>70</v>
      </c>
      <c r="K1566" s="11" t="s">
        <v>71</v>
      </c>
      <c r="L1566" s="11" t="s">
        <v>72</v>
      </c>
      <c r="M1566" s="11" t="s">
        <v>73</v>
      </c>
      <c r="N1566" s="11" t="s">
        <v>93</v>
      </c>
      <c r="O1566" s="11" t="s">
        <v>94</v>
      </c>
      <c r="P1566" s="11" t="s">
        <v>95</v>
      </c>
      <c r="Q1566" s="13" t="n">
        <f aca="false">F1566*H1566</f>
        <v>8558691</v>
      </c>
      <c r="R1566" s="13" t="n">
        <f aca="false">G1566*H1566</f>
        <v>7350000</v>
      </c>
      <c r="S1566" s="13" t="n">
        <f aca="false">Q1566-R1566</f>
        <v>1208691</v>
      </c>
      <c r="T1566" s="14" t="n">
        <f aca="false">IFERROR(S1566/Q1566,0)</f>
        <v>0.141223815651249</v>
      </c>
      <c r="U1566" s="15" t="str">
        <f aca="false">TEXT(A1566,"yyyy-mm")</f>
        <v>2022-08</v>
      </c>
    </row>
    <row r="1567" customFormat="false" ht="15" hidden="false" customHeight="false" outlineLevel="0" collapsed="false">
      <c r="A1567" s="10" t="n">
        <v>44783</v>
      </c>
      <c r="B1567" s="11" t="s">
        <v>1699</v>
      </c>
      <c r="C1567" s="11" t="s">
        <v>132</v>
      </c>
      <c r="D1567" s="11" t="s">
        <v>118</v>
      </c>
      <c r="E1567" s="11" t="s">
        <v>68</v>
      </c>
      <c r="F1567" s="12" t="n">
        <v>4803603</v>
      </c>
      <c r="G1567" s="12" t="n">
        <v>4121000</v>
      </c>
      <c r="H1567" s="11" t="n">
        <v>8</v>
      </c>
      <c r="I1567" s="11" t="s">
        <v>86</v>
      </c>
      <c r="J1567" s="11" t="s">
        <v>87</v>
      </c>
      <c r="K1567" s="11" t="s">
        <v>88</v>
      </c>
      <c r="L1567" s="11" t="s">
        <v>89</v>
      </c>
      <c r="M1567" s="11" t="s">
        <v>90</v>
      </c>
      <c r="N1567" s="11" t="s">
        <v>143</v>
      </c>
      <c r="O1567" s="11" t="s">
        <v>144</v>
      </c>
      <c r="P1567" s="11" t="s">
        <v>101</v>
      </c>
      <c r="Q1567" s="13" t="n">
        <f aca="false">F1567*H1567</f>
        <v>38428824</v>
      </c>
      <c r="R1567" s="13" t="n">
        <f aca="false">G1567*H1567</f>
        <v>32968000</v>
      </c>
      <c r="S1567" s="13" t="n">
        <f aca="false">Q1567-R1567</f>
        <v>5460824</v>
      </c>
      <c r="T1567" s="14" t="n">
        <f aca="false">IFERROR(S1567/Q1567,0)</f>
        <v>0.142102292799801</v>
      </c>
      <c r="U1567" s="15" t="str">
        <f aca="false">TEXT(A1567,"yyyy-mm")</f>
        <v>2022-08</v>
      </c>
    </row>
    <row r="1568" customFormat="false" ht="15" hidden="false" customHeight="false" outlineLevel="0" collapsed="false">
      <c r="A1568" s="10" t="n">
        <v>44783</v>
      </c>
      <c r="B1568" s="11" t="s">
        <v>1700</v>
      </c>
      <c r="C1568" s="11" t="s">
        <v>135</v>
      </c>
      <c r="D1568" s="11" t="s">
        <v>118</v>
      </c>
      <c r="E1568" s="11" t="s">
        <v>68</v>
      </c>
      <c r="F1568" s="12" t="n">
        <v>5689947</v>
      </c>
      <c r="G1568" s="12" t="n">
        <v>5235000</v>
      </c>
      <c r="H1568" s="11" t="n">
        <v>24</v>
      </c>
      <c r="I1568" s="11" t="s">
        <v>69</v>
      </c>
      <c r="J1568" s="11" t="s">
        <v>80</v>
      </c>
      <c r="K1568" s="11" t="s">
        <v>81</v>
      </c>
      <c r="L1568" s="11" t="s">
        <v>82</v>
      </c>
      <c r="M1568" s="11" t="s">
        <v>73</v>
      </c>
      <c r="N1568" s="11" t="s">
        <v>149</v>
      </c>
      <c r="O1568" s="11" t="s">
        <v>150</v>
      </c>
      <c r="P1568" s="11" t="s">
        <v>151</v>
      </c>
      <c r="Q1568" s="13" t="n">
        <f aca="false">F1568*H1568</f>
        <v>136558728</v>
      </c>
      <c r="R1568" s="13" t="n">
        <f aca="false">G1568*H1568</f>
        <v>125640000</v>
      </c>
      <c r="S1568" s="13" t="n">
        <f aca="false">Q1568-R1568</f>
        <v>10918728</v>
      </c>
      <c r="T1568" s="14" t="n">
        <f aca="false">IFERROR(S1568/Q1568,0)</f>
        <v>0.0799562807878527</v>
      </c>
      <c r="U1568" s="15" t="str">
        <f aca="false">TEXT(A1568,"yyyy-mm")</f>
        <v>2022-08</v>
      </c>
    </row>
    <row r="1569" customFormat="false" ht="15" hidden="false" customHeight="false" outlineLevel="0" collapsed="false">
      <c r="A1569" s="10" t="n">
        <v>44783</v>
      </c>
      <c r="B1569" s="11" t="s">
        <v>1701</v>
      </c>
      <c r="C1569" s="11" t="s">
        <v>137</v>
      </c>
      <c r="D1569" s="11" t="s">
        <v>138</v>
      </c>
      <c r="E1569" s="11" t="s">
        <v>139</v>
      </c>
      <c r="F1569" s="12" t="n">
        <v>5171827</v>
      </c>
      <c r="G1569" s="12" t="n">
        <v>4890000</v>
      </c>
      <c r="H1569" s="11" t="n">
        <v>20</v>
      </c>
      <c r="I1569" s="11" t="s">
        <v>69</v>
      </c>
      <c r="J1569" s="11" t="s">
        <v>70</v>
      </c>
      <c r="K1569" s="11" t="s">
        <v>71</v>
      </c>
      <c r="L1569" s="11" t="s">
        <v>72</v>
      </c>
      <c r="M1569" s="11" t="s">
        <v>73</v>
      </c>
      <c r="N1569" s="11" t="s">
        <v>143</v>
      </c>
      <c r="O1569" s="11" t="s">
        <v>144</v>
      </c>
      <c r="P1569" s="11" t="s">
        <v>101</v>
      </c>
      <c r="Q1569" s="13" t="n">
        <f aca="false">F1569*H1569</f>
        <v>103436540</v>
      </c>
      <c r="R1569" s="13" t="n">
        <f aca="false">G1569*H1569</f>
        <v>97800000</v>
      </c>
      <c r="S1569" s="13" t="n">
        <f aca="false">Q1569-R1569</f>
        <v>5636540</v>
      </c>
      <c r="T1569" s="14" t="n">
        <f aca="false">IFERROR(S1569/Q1569,0)</f>
        <v>0.0544927353525166</v>
      </c>
      <c r="U1569" s="15" t="str">
        <f aca="false">TEXT(A1569,"yyyy-mm")</f>
        <v>2022-08</v>
      </c>
    </row>
    <row r="1570" customFormat="false" ht="15" hidden="false" customHeight="false" outlineLevel="0" collapsed="false">
      <c r="A1570" s="10" t="n">
        <v>44783</v>
      </c>
      <c r="B1570" s="11" t="s">
        <v>1702</v>
      </c>
      <c r="C1570" s="11" t="s">
        <v>141</v>
      </c>
      <c r="D1570" s="11" t="s">
        <v>138</v>
      </c>
      <c r="E1570" s="11" t="s">
        <v>142</v>
      </c>
      <c r="F1570" s="12" t="n">
        <v>2805124</v>
      </c>
      <c r="G1570" s="12" t="n">
        <v>2178000</v>
      </c>
      <c r="H1570" s="11" t="n">
        <v>9</v>
      </c>
      <c r="I1570" s="11" t="s">
        <v>69</v>
      </c>
      <c r="J1570" s="11" t="s">
        <v>80</v>
      </c>
      <c r="K1570" s="11" t="s">
        <v>81</v>
      </c>
      <c r="L1570" s="11" t="s">
        <v>82</v>
      </c>
      <c r="M1570" s="11" t="s">
        <v>73</v>
      </c>
      <c r="N1570" s="11" t="s">
        <v>109</v>
      </c>
      <c r="O1570" s="11" t="s">
        <v>75</v>
      </c>
      <c r="P1570" s="11" t="s">
        <v>95</v>
      </c>
      <c r="Q1570" s="13" t="n">
        <f aca="false">F1570*H1570</f>
        <v>25246116</v>
      </c>
      <c r="R1570" s="13" t="n">
        <f aca="false">G1570*H1570</f>
        <v>19602000</v>
      </c>
      <c r="S1570" s="13" t="n">
        <f aca="false">Q1570-R1570</f>
        <v>5644116</v>
      </c>
      <c r="T1570" s="14" t="n">
        <f aca="false">IFERROR(S1570/Q1570,0)</f>
        <v>0.22356373550688</v>
      </c>
      <c r="U1570" s="15" t="str">
        <f aca="false">TEXT(A1570,"yyyy-mm")</f>
        <v>2022-08</v>
      </c>
    </row>
    <row r="1571" customFormat="false" ht="15" hidden="false" customHeight="false" outlineLevel="0" collapsed="false">
      <c r="A1571" s="10" t="n">
        <v>44784</v>
      </c>
      <c r="B1571" s="11" t="s">
        <v>1703</v>
      </c>
      <c r="C1571" s="11" t="s">
        <v>146</v>
      </c>
      <c r="D1571" s="11" t="s">
        <v>138</v>
      </c>
      <c r="E1571" s="11" t="s">
        <v>139</v>
      </c>
      <c r="F1571" s="12" t="n">
        <v>2728100</v>
      </c>
      <c r="G1571" s="12" t="n">
        <v>2321000</v>
      </c>
      <c r="H1571" s="11" t="n">
        <v>5</v>
      </c>
      <c r="I1571" s="11" t="s">
        <v>69</v>
      </c>
      <c r="J1571" s="11" t="s">
        <v>70</v>
      </c>
      <c r="K1571" s="11" t="s">
        <v>71</v>
      </c>
      <c r="L1571" s="11" t="s">
        <v>72</v>
      </c>
      <c r="M1571" s="11" t="s">
        <v>73</v>
      </c>
      <c r="N1571" s="11" t="s">
        <v>99</v>
      </c>
      <c r="O1571" s="11" t="s">
        <v>100</v>
      </c>
      <c r="P1571" s="11" t="s">
        <v>101</v>
      </c>
      <c r="Q1571" s="13" t="n">
        <f aca="false">F1571*H1571</f>
        <v>13640500</v>
      </c>
      <c r="R1571" s="13" t="n">
        <f aca="false">G1571*H1571</f>
        <v>11605000</v>
      </c>
      <c r="S1571" s="13" t="n">
        <f aca="false">Q1571-R1571</f>
        <v>2035500</v>
      </c>
      <c r="T1571" s="14" t="n">
        <f aca="false">IFERROR(S1571/Q1571,0)</f>
        <v>0.149224735163667</v>
      </c>
      <c r="U1571" s="15" t="str">
        <f aca="false">TEXT(A1571,"yyyy-mm")</f>
        <v>2022-08</v>
      </c>
    </row>
    <row r="1572" customFormat="false" ht="15" hidden="false" customHeight="false" outlineLevel="0" collapsed="false">
      <c r="A1572" s="10" t="n">
        <v>44785</v>
      </c>
      <c r="B1572" s="11" t="s">
        <v>1704</v>
      </c>
      <c r="C1572" s="11" t="s">
        <v>148</v>
      </c>
      <c r="D1572" s="11" t="s">
        <v>138</v>
      </c>
      <c r="E1572" s="11" t="s">
        <v>122</v>
      </c>
      <c r="F1572" s="12" t="n">
        <v>4941716</v>
      </c>
      <c r="G1572" s="12" t="n">
        <v>4456000</v>
      </c>
      <c r="H1572" s="11" t="n">
        <v>23</v>
      </c>
      <c r="I1572" s="11" t="s">
        <v>69</v>
      </c>
      <c r="J1572" s="11" t="s">
        <v>112</v>
      </c>
      <c r="K1572" s="11" t="s">
        <v>113</v>
      </c>
      <c r="L1572" s="11" t="s">
        <v>82</v>
      </c>
      <c r="M1572" s="11" t="s">
        <v>157</v>
      </c>
      <c r="N1572" s="11" t="s">
        <v>93</v>
      </c>
      <c r="O1572" s="11" t="s">
        <v>94</v>
      </c>
      <c r="P1572" s="11" t="s">
        <v>95</v>
      </c>
      <c r="Q1572" s="13" t="n">
        <f aca="false">F1572*H1572</f>
        <v>113659468</v>
      </c>
      <c r="R1572" s="13" t="n">
        <f aca="false">G1572*H1572</f>
        <v>102488000</v>
      </c>
      <c r="S1572" s="13" t="n">
        <f aca="false">Q1572-R1572</f>
        <v>11171468</v>
      </c>
      <c r="T1572" s="14" t="n">
        <f aca="false">IFERROR(S1572/Q1572,0)</f>
        <v>0.0982889344511097</v>
      </c>
      <c r="U1572" s="15" t="str">
        <f aca="false">TEXT(A1572,"yyyy-mm")</f>
        <v>2022-08</v>
      </c>
    </row>
    <row r="1573" customFormat="false" ht="15" hidden="false" customHeight="false" outlineLevel="0" collapsed="false">
      <c r="A1573" s="10" t="n">
        <v>44785</v>
      </c>
      <c r="B1573" s="11" t="s">
        <v>1705</v>
      </c>
      <c r="C1573" s="11" t="s">
        <v>66</v>
      </c>
      <c r="D1573" s="11" t="s">
        <v>67</v>
      </c>
      <c r="E1573" s="11" t="s">
        <v>68</v>
      </c>
      <c r="F1573" s="12" t="n">
        <v>3048952</v>
      </c>
      <c r="G1573" s="12" t="n">
        <v>2560000</v>
      </c>
      <c r="H1573" s="11" t="n">
        <v>1</v>
      </c>
      <c r="I1573" s="11" t="s">
        <v>69</v>
      </c>
      <c r="J1573" s="11" t="s">
        <v>80</v>
      </c>
      <c r="K1573" s="11" t="s">
        <v>81</v>
      </c>
      <c r="L1573" s="11" t="s">
        <v>82</v>
      </c>
      <c r="M1573" s="11" t="s">
        <v>73</v>
      </c>
      <c r="N1573" s="11" t="s">
        <v>109</v>
      </c>
      <c r="O1573" s="11" t="s">
        <v>75</v>
      </c>
      <c r="P1573" s="11" t="s">
        <v>95</v>
      </c>
      <c r="Q1573" s="13" t="n">
        <f aca="false">F1573*H1573</f>
        <v>3048952</v>
      </c>
      <c r="R1573" s="13" t="n">
        <f aca="false">G1573*H1573</f>
        <v>2560000</v>
      </c>
      <c r="S1573" s="13" t="n">
        <f aca="false">Q1573-R1573</f>
        <v>488952</v>
      </c>
      <c r="T1573" s="14" t="n">
        <f aca="false">IFERROR(S1573/Q1573,0)</f>
        <v>0.160367234380863</v>
      </c>
      <c r="U1573" s="15" t="str">
        <f aca="false">TEXT(A1573,"yyyy-mm")</f>
        <v>2022-08</v>
      </c>
    </row>
    <row r="1574" customFormat="false" ht="15" hidden="false" customHeight="false" outlineLevel="0" collapsed="false">
      <c r="A1574" s="10" t="n">
        <v>44785</v>
      </c>
      <c r="B1574" s="11" t="s">
        <v>1706</v>
      </c>
      <c r="C1574" s="11" t="s">
        <v>78</v>
      </c>
      <c r="D1574" s="11" t="s">
        <v>67</v>
      </c>
      <c r="E1574" s="11" t="s">
        <v>79</v>
      </c>
      <c r="F1574" s="12" t="n">
        <v>1870000</v>
      </c>
      <c r="G1574" s="12" t="n">
        <v>1650000</v>
      </c>
      <c r="H1574" s="11" t="n">
        <v>2</v>
      </c>
      <c r="I1574" s="11" t="s">
        <v>86</v>
      </c>
      <c r="J1574" s="11" t="s">
        <v>87</v>
      </c>
      <c r="K1574" s="11" t="s">
        <v>88</v>
      </c>
      <c r="L1574" s="11" t="s">
        <v>89</v>
      </c>
      <c r="M1574" s="11" t="s">
        <v>90</v>
      </c>
      <c r="N1574" s="11" t="s">
        <v>109</v>
      </c>
      <c r="O1574" s="11" t="s">
        <v>75</v>
      </c>
      <c r="P1574" s="11" t="s">
        <v>95</v>
      </c>
      <c r="Q1574" s="13" t="n">
        <f aca="false">F1574*H1574</f>
        <v>3740000</v>
      </c>
      <c r="R1574" s="13" t="n">
        <f aca="false">G1574*H1574</f>
        <v>3300000</v>
      </c>
      <c r="S1574" s="13" t="n">
        <f aca="false">Q1574-R1574</f>
        <v>440000</v>
      </c>
      <c r="T1574" s="14" t="n">
        <f aca="false">IFERROR(S1574/Q1574,0)</f>
        <v>0.117647058823529</v>
      </c>
      <c r="U1574" s="15" t="str">
        <f aca="false">TEXT(A1574,"yyyy-mm")</f>
        <v>2022-08</v>
      </c>
    </row>
    <row r="1575" customFormat="false" ht="15" hidden="false" customHeight="false" outlineLevel="0" collapsed="false">
      <c r="A1575" s="10" t="n">
        <v>44785</v>
      </c>
      <c r="B1575" s="11" t="s">
        <v>1707</v>
      </c>
      <c r="C1575" s="11" t="s">
        <v>84</v>
      </c>
      <c r="D1575" s="11" t="s">
        <v>67</v>
      </c>
      <c r="E1575" s="11" t="s">
        <v>85</v>
      </c>
      <c r="F1575" s="12" t="n">
        <v>2600000</v>
      </c>
      <c r="G1575" s="12" t="n">
        <v>2300000</v>
      </c>
      <c r="H1575" s="11" t="n">
        <v>16</v>
      </c>
      <c r="I1575" s="11" t="s">
        <v>69</v>
      </c>
      <c r="J1575" s="11" t="s">
        <v>80</v>
      </c>
      <c r="K1575" s="11" t="s">
        <v>81</v>
      </c>
      <c r="L1575" s="11" t="s">
        <v>82</v>
      </c>
      <c r="M1575" s="11" t="s">
        <v>73</v>
      </c>
      <c r="N1575" s="11" t="s">
        <v>143</v>
      </c>
      <c r="O1575" s="11" t="s">
        <v>144</v>
      </c>
      <c r="P1575" s="11" t="s">
        <v>101</v>
      </c>
      <c r="Q1575" s="13" t="n">
        <f aca="false">F1575*H1575</f>
        <v>41600000</v>
      </c>
      <c r="R1575" s="13" t="n">
        <f aca="false">G1575*H1575</f>
        <v>36800000</v>
      </c>
      <c r="S1575" s="13" t="n">
        <f aca="false">Q1575-R1575</f>
        <v>4800000</v>
      </c>
      <c r="T1575" s="14" t="n">
        <f aca="false">IFERROR(S1575/Q1575,0)</f>
        <v>0.115384615384615</v>
      </c>
      <c r="U1575" s="15" t="str">
        <f aca="false">TEXT(A1575,"yyyy-mm")</f>
        <v>2022-08</v>
      </c>
    </row>
    <row r="1576" customFormat="false" ht="15" hidden="false" customHeight="false" outlineLevel="0" collapsed="false">
      <c r="A1576" s="10" t="n">
        <v>44786</v>
      </c>
      <c r="B1576" s="11" t="s">
        <v>1708</v>
      </c>
      <c r="C1576" s="11" t="s">
        <v>92</v>
      </c>
      <c r="D1576" s="11" t="s">
        <v>67</v>
      </c>
      <c r="E1576" s="11" t="s">
        <v>79</v>
      </c>
      <c r="F1576" s="12" t="n">
        <v>3577480</v>
      </c>
      <c r="G1576" s="12" t="n">
        <v>3100000</v>
      </c>
      <c r="H1576" s="11" t="n">
        <v>21</v>
      </c>
      <c r="I1576" s="11" t="s">
        <v>69</v>
      </c>
      <c r="J1576" s="11" t="s">
        <v>70</v>
      </c>
      <c r="K1576" s="11" t="s">
        <v>71</v>
      </c>
      <c r="L1576" s="11" t="s">
        <v>72</v>
      </c>
      <c r="M1576" s="11" t="s">
        <v>73</v>
      </c>
      <c r="N1576" s="11" t="s">
        <v>143</v>
      </c>
      <c r="O1576" s="11" t="s">
        <v>144</v>
      </c>
      <c r="P1576" s="11" t="s">
        <v>101</v>
      </c>
      <c r="Q1576" s="13" t="n">
        <f aca="false">F1576*H1576</f>
        <v>75127080</v>
      </c>
      <c r="R1576" s="13" t="n">
        <f aca="false">G1576*H1576</f>
        <v>65100000</v>
      </c>
      <c r="S1576" s="13" t="n">
        <f aca="false">Q1576-R1576</f>
        <v>10027080</v>
      </c>
      <c r="T1576" s="14" t="n">
        <f aca="false">IFERROR(S1576/Q1576,0)</f>
        <v>0.133468251394837</v>
      </c>
      <c r="U1576" s="15" t="str">
        <f aca="false">TEXT(A1576,"yyyy-mm")</f>
        <v>2022-08</v>
      </c>
    </row>
    <row r="1577" customFormat="false" ht="15" hidden="false" customHeight="false" outlineLevel="0" collapsed="false">
      <c r="A1577" s="10" t="n">
        <v>44786</v>
      </c>
      <c r="B1577" s="11" t="s">
        <v>1709</v>
      </c>
      <c r="C1577" s="11" t="s">
        <v>97</v>
      </c>
      <c r="D1577" s="11" t="s">
        <v>67</v>
      </c>
      <c r="E1577" s="11" t="s">
        <v>98</v>
      </c>
      <c r="F1577" s="12" t="n">
        <v>4969724</v>
      </c>
      <c r="G1577" s="12" t="n">
        <v>4121560</v>
      </c>
      <c r="H1577" s="11" t="n">
        <v>18</v>
      </c>
      <c r="I1577" s="11" t="s">
        <v>69</v>
      </c>
      <c r="J1577" s="11" t="s">
        <v>112</v>
      </c>
      <c r="K1577" s="11" t="s">
        <v>113</v>
      </c>
      <c r="L1577" s="11" t="s">
        <v>82</v>
      </c>
      <c r="M1577" s="11" t="s">
        <v>157</v>
      </c>
      <c r="N1577" s="11" t="s">
        <v>173</v>
      </c>
      <c r="O1577" s="11" t="s">
        <v>174</v>
      </c>
      <c r="P1577" s="11" t="s">
        <v>95</v>
      </c>
      <c r="Q1577" s="13" t="n">
        <f aca="false">F1577*H1577</f>
        <v>89455032</v>
      </c>
      <c r="R1577" s="13" t="n">
        <f aca="false">G1577*H1577</f>
        <v>74188080</v>
      </c>
      <c r="S1577" s="13" t="n">
        <f aca="false">Q1577-R1577</f>
        <v>15266952</v>
      </c>
      <c r="T1577" s="14" t="n">
        <f aca="false">IFERROR(S1577/Q1577,0)</f>
        <v>0.170666218083741</v>
      </c>
      <c r="U1577" s="15" t="str">
        <f aca="false">TEXT(A1577,"yyyy-mm")</f>
        <v>2022-08</v>
      </c>
    </row>
    <row r="1578" customFormat="false" ht="15" hidden="false" customHeight="false" outlineLevel="0" collapsed="false">
      <c r="A1578" s="10" t="n">
        <v>44787</v>
      </c>
      <c r="B1578" s="11" t="s">
        <v>1710</v>
      </c>
      <c r="C1578" s="11" t="s">
        <v>103</v>
      </c>
      <c r="D1578" s="11" t="s">
        <v>67</v>
      </c>
      <c r="E1578" s="11" t="s">
        <v>68</v>
      </c>
      <c r="F1578" s="12" t="n">
        <v>3319925</v>
      </c>
      <c r="G1578" s="12" t="n">
        <v>2800000</v>
      </c>
      <c r="H1578" s="11" t="n">
        <v>5</v>
      </c>
      <c r="I1578" s="11" t="s">
        <v>69</v>
      </c>
      <c r="J1578" s="11" t="s">
        <v>112</v>
      </c>
      <c r="K1578" s="11" t="s">
        <v>113</v>
      </c>
      <c r="L1578" s="11" t="s">
        <v>82</v>
      </c>
      <c r="M1578" s="11" t="s">
        <v>157</v>
      </c>
      <c r="N1578" s="11" t="s">
        <v>104</v>
      </c>
      <c r="O1578" s="11" t="s">
        <v>105</v>
      </c>
      <c r="P1578" s="11" t="s">
        <v>106</v>
      </c>
      <c r="Q1578" s="13" t="n">
        <f aca="false">F1578*H1578</f>
        <v>16599625</v>
      </c>
      <c r="R1578" s="13" t="n">
        <f aca="false">G1578*H1578</f>
        <v>14000000</v>
      </c>
      <c r="S1578" s="13" t="n">
        <f aca="false">Q1578-R1578</f>
        <v>2599625</v>
      </c>
      <c r="T1578" s="14" t="n">
        <f aca="false">IFERROR(S1578/Q1578,0)</f>
        <v>0.15660745348163</v>
      </c>
      <c r="U1578" s="15" t="str">
        <f aca="false">TEXT(A1578,"yyyy-mm")</f>
        <v>2022-08</v>
      </c>
    </row>
    <row r="1579" customFormat="false" ht="15" hidden="false" customHeight="false" outlineLevel="0" collapsed="false">
      <c r="A1579" s="10" t="n">
        <v>44787</v>
      </c>
      <c r="B1579" s="11" t="s">
        <v>1711</v>
      </c>
      <c r="C1579" s="11" t="s">
        <v>108</v>
      </c>
      <c r="D1579" s="11" t="s">
        <v>67</v>
      </c>
      <c r="E1579" s="11" t="s">
        <v>68</v>
      </c>
      <c r="F1579" s="12" t="n">
        <v>4757880</v>
      </c>
      <c r="G1579" s="12" t="n">
        <v>3450000</v>
      </c>
      <c r="H1579" s="11" t="n">
        <v>15</v>
      </c>
      <c r="I1579" s="11" t="s">
        <v>69</v>
      </c>
      <c r="J1579" s="11" t="s">
        <v>70</v>
      </c>
      <c r="K1579" s="11" t="s">
        <v>71</v>
      </c>
      <c r="L1579" s="11" t="s">
        <v>72</v>
      </c>
      <c r="M1579" s="11" t="s">
        <v>73</v>
      </c>
      <c r="N1579" s="11" t="s">
        <v>93</v>
      </c>
      <c r="O1579" s="11" t="s">
        <v>94</v>
      </c>
      <c r="P1579" s="11" t="s">
        <v>95</v>
      </c>
      <c r="Q1579" s="13" t="n">
        <f aca="false">F1579*H1579</f>
        <v>71368200</v>
      </c>
      <c r="R1579" s="13" t="n">
        <f aca="false">G1579*H1579</f>
        <v>51750000</v>
      </c>
      <c r="S1579" s="13" t="n">
        <f aca="false">Q1579-R1579</f>
        <v>19618200</v>
      </c>
      <c r="T1579" s="14" t="n">
        <f aca="false">IFERROR(S1579/Q1579,0)</f>
        <v>0.274887134606169</v>
      </c>
      <c r="U1579" s="15" t="str">
        <f aca="false">TEXT(A1579,"yyyy-mm")</f>
        <v>2022-08</v>
      </c>
    </row>
    <row r="1580" customFormat="false" ht="15" hidden="false" customHeight="false" outlineLevel="0" collapsed="false">
      <c r="A1580" s="10" t="n">
        <v>44788</v>
      </c>
      <c r="B1580" s="11" t="s">
        <v>1712</v>
      </c>
      <c r="C1580" s="11" t="s">
        <v>111</v>
      </c>
      <c r="D1580" s="11" t="s">
        <v>67</v>
      </c>
      <c r="E1580" s="11" t="s">
        <v>79</v>
      </c>
      <c r="F1580" s="12" t="n">
        <v>3545808</v>
      </c>
      <c r="G1580" s="12" t="n">
        <v>3350000</v>
      </c>
      <c r="H1580" s="11" t="n">
        <v>15</v>
      </c>
      <c r="I1580" s="11" t="s">
        <v>86</v>
      </c>
      <c r="J1580" s="11" t="s">
        <v>87</v>
      </c>
      <c r="K1580" s="11" t="s">
        <v>88</v>
      </c>
      <c r="L1580" s="11" t="s">
        <v>89</v>
      </c>
      <c r="M1580" s="11" t="s">
        <v>90</v>
      </c>
      <c r="N1580" s="11" t="s">
        <v>99</v>
      </c>
      <c r="O1580" s="11" t="s">
        <v>100</v>
      </c>
      <c r="P1580" s="11" t="s">
        <v>101</v>
      </c>
      <c r="Q1580" s="13" t="n">
        <f aca="false">F1580*H1580</f>
        <v>53187120</v>
      </c>
      <c r="R1580" s="13" t="n">
        <f aca="false">G1580*H1580</f>
        <v>50250000</v>
      </c>
      <c r="S1580" s="13" t="n">
        <f aca="false">Q1580-R1580</f>
        <v>2937120</v>
      </c>
      <c r="T1580" s="14" t="n">
        <f aca="false">IFERROR(S1580/Q1580,0)</f>
        <v>0.0552223921881839</v>
      </c>
      <c r="U1580" s="15" t="str">
        <f aca="false">TEXT(A1580,"yyyy-mm")</f>
        <v>2022-08</v>
      </c>
    </row>
    <row r="1581" customFormat="false" ht="15" hidden="false" customHeight="false" outlineLevel="0" collapsed="false">
      <c r="A1581" s="10" t="n">
        <v>44788</v>
      </c>
      <c r="B1581" s="11" t="s">
        <v>1713</v>
      </c>
      <c r="C1581" s="11" t="s">
        <v>115</v>
      </c>
      <c r="D1581" s="11" t="s">
        <v>67</v>
      </c>
      <c r="E1581" s="11" t="s">
        <v>98</v>
      </c>
      <c r="F1581" s="12" t="n">
        <v>4200743</v>
      </c>
      <c r="G1581" s="12" t="n">
        <v>4101000</v>
      </c>
      <c r="H1581" s="11" t="n">
        <v>7</v>
      </c>
      <c r="I1581" s="11" t="s">
        <v>69</v>
      </c>
      <c r="J1581" s="11" t="s">
        <v>80</v>
      </c>
      <c r="K1581" s="11" t="s">
        <v>81</v>
      </c>
      <c r="L1581" s="11" t="s">
        <v>82</v>
      </c>
      <c r="M1581" s="11" t="s">
        <v>73</v>
      </c>
      <c r="N1581" s="11" t="s">
        <v>123</v>
      </c>
      <c r="O1581" s="11" t="s">
        <v>60</v>
      </c>
      <c r="P1581" s="11" t="s">
        <v>106</v>
      </c>
      <c r="Q1581" s="13" t="n">
        <f aca="false">F1581*H1581</f>
        <v>29405201</v>
      </c>
      <c r="R1581" s="13" t="n">
        <f aca="false">G1581*H1581</f>
        <v>28707000</v>
      </c>
      <c r="S1581" s="13" t="n">
        <f aca="false">Q1581-R1581</f>
        <v>698201</v>
      </c>
      <c r="T1581" s="14" t="n">
        <f aca="false">IFERROR(S1581/Q1581,0)</f>
        <v>0.023744132883159</v>
      </c>
      <c r="U1581" s="15" t="str">
        <f aca="false">TEXT(A1581,"yyyy-mm")</f>
        <v>2022-08</v>
      </c>
    </row>
    <row r="1582" customFormat="false" ht="15" hidden="false" customHeight="false" outlineLevel="0" collapsed="false">
      <c r="A1582" s="10" t="n">
        <v>44788</v>
      </c>
      <c r="B1582" s="11" t="s">
        <v>1714</v>
      </c>
      <c r="C1582" s="11" t="s">
        <v>117</v>
      </c>
      <c r="D1582" s="11" t="s">
        <v>118</v>
      </c>
      <c r="E1582" s="11" t="s">
        <v>119</v>
      </c>
      <c r="F1582" s="12" t="n">
        <v>8220549</v>
      </c>
      <c r="G1582" s="12" t="n">
        <v>6500000</v>
      </c>
      <c r="H1582" s="11" t="n">
        <v>4</v>
      </c>
      <c r="I1582" s="11" t="s">
        <v>69</v>
      </c>
      <c r="J1582" s="11" t="s">
        <v>70</v>
      </c>
      <c r="K1582" s="11" t="s">
        <v>71</v>
      </c>
      <c r="L1582" s="11" t="s">
        <v>72</v>
      </c>
      <c r="M1582" s="11" t="s">
        <v>73</v>
      </c>
      <c r="N1582" s="11" t="s">
        <v>123</v>
      </c>
      <c r="O1582" s="11" t="s">
        <v>60</v>
      </c>
      <c r="P1582" s="11" t="s">
        <v>106</v>
      </c>
      <c r="Q1582" s="13" t="n">
        <f aca="false">F1582*H1582</f>
        <v>32882196</v>
      </c>
      <c r="R1582" s="13" t="n">
        <f aca="false">G1582*H1582</f>
        <v>26000000</v>
      </c>
      <c r="S1582" s="13" t="n">
        <f aca="false">Q1582-R1582</f>
        <v>6882196</v>
      </c>
      <c r="T1582" s="14" t="n">
        <f aca="false">IFERROR(S1582/Q1582,0)</f>
        <v>0.209298551714733</v>
      </c>
      <c r="U1582" s="15" t="str">
        <f aca="false">TEXT(A1582,"yyyy-mm")</f>
        <v>2022-08</v>
      </c>
    </row>
    <row r="1583" customFormat="false" ht="15" hidden="false" customHeight="false" outlineLevel="0" collapsed="false">
      <c r="A1583" s="10" t="n">
        <v>44789</v>
      </c>
      <c r="B1583" s="11" t="s">
        <v>1715</v>
      </c>
      <c r="C1583" s="11" t="s">
        <v>121</v>
      </c>
      <c r="D1583" s="11" t="s">
        <v>118</v>
      </c>
      <c r="E1583" s="11" t="s">
        <v>122</v>
      </c>
      <c r="F1583" s="12" t="n">
        <v>7687274</v>
      </c>
      <c r="G1583" s="12" t="n">
        <v>6500000</v>
      </c>
      <c r="H1583" s="11" t="n">
        <v>15</v>
      </c>
      <c r="I1583" s="11" t="s">
        <v>86</v>
      </c>
      <c r="J1583" s="11" t="s">
        <v>87</v>
      </c>
      <c r="K1583" s="11" t="s">
        <v>88</v>
      </c>
      <c r="L1583" s="11" t="s">
        <v>89</v>
      </c>
      <c r="M1583" s="11" t="s">
        <v>90</v>
      </c>
      <c r="N1583" s="11" t="s">
        <v>109</v>
      </c>
      <c r="O1583" s="11" t="s">
        <v>75</v>
      </c>
      <c r="P1583" s="11" t="s">
        <v>95</v>
      </c>
      <c r="Q1583" s="13" t="n">
        <f aca="false">F1583*H1583</f>
        <v>115309110</v>
      </c>
      <c r="R1583" s="13" t="n">
        <f aca="false">G1583*H1583</f>
        <v>97500000</v>
      </c>
      <c r="S1583" s="13" t="n">
        <f aca="false">Q1583-R1583</f>
        <v>17809110</v>
      </c>
      <c r="T1583" s="14" t="n">
        <f aca="false">IFERROR(S1583/Q1583,0)</f>
        <v>0.154446686822923</v>
      </c>
      <c r="U1583" s="15" t="str">
        <f aca="false">TEXT(A1583,"yyyy-mm")</f>
        <v>2022-08</v>
      </c>
    </row>
    <row r="1584" customFormat="false" ht="15" hidden="false" customHeight="false" outlineLevel="0" collapsed="false">
      <c r="A1584" s="10" t="n">
        <v>44789</v>
      </c>
      <c r="B1584" s="11" t="s">
        <v>1716</v>
      </c>
      <c r="C1584" s="11" t="s">
        <v>125</v>
      </c>
      <c r="D1584" s="11" t="s">
        <v>118</v>
      </c>
      <c r="E1584" s="11" t="s">
        <v>126</v>
      </c>
      <c r="F1584" s="12" t="n">
        <v>5684211</v>
      </c>
      <c r="G1584" s="12" t="n">
        <v>4300000</v>
      </c>
      <c r="H1584" s="11" t="n">
        <v>3</v>
      </c>
      <c r="I1584" s="11" t="s">
        <v>69</v>
      </c>
      <c r="J1584" s="11" t="s">
        <v>112</v>
      </c>
      <c r="K1584" s="11" t="s">
        <v>113</v>
      </c>
      <c r="L1584" s="11" t="s">
        <v>82</v>
      </c>
      <c r="M1584" s="11" t="s">
        <v>157</v>
      </c>
      <c r="N1584" s="11" t="s">
        <v>173</v>
      </c>
      <c r="O1584" s="11" t="s">
        <v>174</v>
      </c>
      <c r="P1584" s="11" t="s">
        <v>95</v>
      </c>
      <c r="Q1584" s="13" t="n">
        <f aca="false">F1584*H1584</f>
        <v>17052633</v>
      </c>
      <c r="R1584" s="13" t="n">
        <f aca="false">G1584*H1584</f>
        <v>12900000</v>
      </c>
      <c r="S1584" s="13" t="n">
        <f aca="false">Q1584-R1584</f>
        <v>4152633</v>
      </c>
      <c r="T1584" s="14" t="n">
        <f aca="false">IFERROR(S1584/Q1584,0)</f>
        <v>0.243518581558637</v>
      </c>
      <c r="U1584" s="15" t="str">
        <f aca="false">TEXT(A1584,"yyyy-mm")</f>
        <v>2022-08</v>
      </c>
    </row>
    <row r="1585" customFormat="false" ht="15" hidden="false" customHeight="false" outlineLevel="0" collapsed="false">
      <c r="A1585" s="10" t="n">
        <v>44789</v>
      </c>
      <c r="B1585" s="11" t="s">
        <v>1717</v>
      </c>
      <c r="C1585" s="11" t="s">
        <v>128</v>
      </c>
      <c r="D1585" s="11" t="s">
        <v>118</v>
      </c>
      <c r="E1585" s="11" t="s">
        <v>119</v>
      </c>
      <c r="F1585" s="12" t="n">
        <v>3370302</v>
      </c>
      <c r="G1585" s="12" t="n">
        <v>2100000</v>
      </c>
      <c r="H1585" s="11" t="n">
        <v>13</v>
      </c>
      <c r="I1585" s="11" t="s">
        <v>86</v>
      </c>
      <c r="J1585" s="11" t="s">
        <v>87</v>
      </c>
      <c r="K1585" s="11" t="s">
        <v>88</v>
      </c>
      <c r="L1585" s="11" t="s">
        <v>89</v>
      </c>
      <c r="M1585" s="11" t="s">
        <v>90</v>
      </c>
      <c r="N1585" s="11" t="s">
        <v>123</v>
      </c>
      <c r="O1585" s="11" t="s">
        <v>60</v>
      </c>
      <c r="P1585" s="11" t="s">
        <v>106</v>
      </c>
      <c r="Q1585" s="13" t="n">
        <f aca="false">F1585*H1585</f>
        <v>43813926</v>
      </c>
      <c r="R1585" s="13" t="n">
        <f aca="false">G1585*H1585</f>
        <v>27300000</v>
      </c>
      <c r="S1585" s="13" t="n">
        <f aca="false">Q1585-R1585</f>
        <v>16513926</v>
      </c>
      <c r="T1585" s="14" t="n">
        <f aca="false">IFERROR(S1585/Q1585,0)</f>
        <v>0.37691043710623</v>
      </c>
      <c r="U1585" s="15" t="str">
        <f aca="false">TEXT(A1585,"yyyy-mm")</f>
        <v>2022-08</v>
      </c>
    </row>
    <row r="1586" customFormat="false" ht="15" hidden="false" customHeight="false" outlineLevel="0" collapsed="false">
      <c r="A1586" s="10" t="n">
        <v>44789</v>
      </c>
      <c r="B1586" s="11" t="s">
        <v>1718</v>
      </c>
      <c r="C1586" s="11" t="s">
        <v>130</v>
      </c>
      <c r="D1586" s="11" t="s">
        <v>118</v>
      </c>
      <c r="E1586" s="11" t="s">
        <v>68</v>
      </c>
      <c r="F1586" s="12" t="n">
        <v>2852897</v>
      </c>
      <c r="G1586" s="12" t="n">
        <v>2450000</v>
      </c>
      <c r="H1586" s="11" t="n">
        <v>5</v>
      </c>
      <c r="I1586" s="11" t="s">
        <v>86</v>
      </c>
      <c r="J1586" s="11" t="s">
        <v>87</v>
      </c>
      <c r="K1586" s="11" t="s">
        <v>88</v>
      </c>
      <c r="L1586" s="11" t="s">
        <v>89</v>
      </c>
      <c r="M1586" s="11" t="s">
        <v>90</v>
      </c>
      <c r="N1586" s="11" t="s">
        <v>109</v>
      </c>
      <c r="O1586" s="11" t="s">
        <v>75</v>
      </c>
      <c r="P1586" s="11" t="s">
        <v>95</v>
      </c>
      <c r="Q1586" s="13" t="n">
        <f aca="false">F1586*H1586</f>
        <v>14264485</v>
      </c>
      <c r="R1586" s="13" t="n">
        <f aca="false">G1586*H1586</f>
        <v>12250000</v>
      </c>
      <c r="S1586" s="13" t="n">
        <f aca="false">Q1586-R1586</f>
        <v>2014485</v>
      </c>
      <c r="T1586" s="14" t="n">
        <f aca="false">IFERROR(S1586/Q1586,0)</f>
        <v>0.141223815651249</v>
      </c>
      <c r="U1586" s="15" t="str">
        <f aca="false">TEXT(A1586,"yyyy-mm")</f>
        <v>2022-08</v>
      </c>
    </row>
    <row r="1587" customFormat="false" ht="15" hidden="false" customHeight="false" outlineLevel="0" collapsed="false">
      <c r="A1587" s="10" t="n">
        <v>44789</v>
      </c>
      <c r="B1587" s="11" t="s">
        <v>1719</v>
      </c>
      <c r="C1587" s="11" t="s">
        <v>132</v>
      </c>
      <c r="D1587" s="11" t="s">
        <v>118</v>
      </c>
      <c r="E1587" s="11" t="s">
        <v>68</v>
      </c>
      <c r="F1587" s="12" t="n">
        <v>4803603</v>
      </c>
      <c r="G1587" s="12" t="n">
        <v>4121000</v>
      </c>
      <c r="H1587" s="11" t="n">
        <v>25</v>
      </c>
      <c r="I1587" s="11" t="s">
        <v>69</v>
      </c>
      <c r="J1587" s="11" t="s">
        <v>112</v>
      </c>
      <c r="K1587" s="11" t="s">
        <v>113</v>
      </c>
      <c r="L1587" s="11" t="s">
        <v>82</v>
      </c>
      <c r="M1587" s="11" t="s">
        <v>157</v>
      </c>
      <c r="N1587" s="11" t="s">
        <v>104</v>
      </c>
      <c r="O1587" s="11" t="s">
        <v>105</v>
      </c>
      <c r="P1587" s="11" t="s">
        <v>106</v>
      </c>
      <c r="Q1587" s="13" t="n">
        <f aca="false">F1587*H1587</f>
        <v>120090075</v>
      </c>
      <c r="R1587" s="13" t="n">
        <f aca="false">G1587*H1587</f>
        <v>103025000</v>
      </c>
      <c r="S1587" s="13" t="n">
        <f aca="false">Q1587-R1587</f>
        <v>17065075</v>
      </c>
      <c r="T1587" s="14" t="n">
        <f aca="false">IFERROR(S1587/Q1587,0)</f>
        <v>0.142102292799801</v>
      </c>
      <c r="U1587" s="15" t="str">
        <f aca="false">TEXT(A1587,"yyyy-mm")</f>
        <v>2022-08</v>
      </c>
    </row>
    <row r="1588" customFormat="false" ht="15" hidden="false" customHeight="false" outlineLevel="0" collapsed="false">
      <c r="A1588" s="10" t="n">
        <v>44789</v>
      </c>
      <c r="B1588" s="11" t="s">
        <v>1720</v>
      </c>
      <c r="C1588" s="11" t="s">
        <v>135</v>
      </c>
      <c r="D1588" s="11" t="s">
        <v>118</v>
      </c>
      <c r="E1588" s="11" t="s">
        <v>68</v>
      </c>
      <c r="F1588" s="12" t="n">
        <v>5689947</v>
      </c>
      <c r="G1588" s="12" t="n">
        <v>5235000</v>
      </c>
      <c r="H1588" s="11" t="n">
        <v>28</v>
      </c>
      <c r="I1588" s="11" t="s">
        <v>69</v>
      </c>
      <c r="J1588" s="11" t="s">
        <v>80</v>
      </c>
      <c r="K1588" s="11" t="s">
        <v>81</v>
      </c>
      <c r="L1588" s="11" t="s">
        <v>82</v>
      </c>
      <c r="M1588" s="11" t="s">
        <v>73</v>
      </c>
      <c r="N1588" s="11" t="s">
        <v>74</v>
      </c>
      <c r="O1588" s="11" t="s">
        <v>75</v>
      </c>
      <c r="P1588" s="11" t="s">
        <v>76</v>
      </c>
      <c r="Q1588" s="13" t="n">
        <f aca="false">F1588*H1588</f>
        <v>159318516</v>
      </c>
      <c r="R1588" s="13" t="n">
        <f aca="false">G1588*H1588</f>
        <v>146580000</v>
      </c>
      <c r="S1588" s="13" t="n">
        <f aca="false">Q1588-R1588</f>
        <v>12738516</v>
      </c>
      <c r="T1588" s="14" t="n">
        <f aca="false">IFERROR(S1588/Q1588,0)</f>
        <v>0.0799562807878527</v>
      </c>
      <c r="U1588" s="15" t="str">
        <f aca="false">TEXT(A1588,"yyyy-mm")</f>
        <v>2022-08</v>
      </c>
    </row>
    <row r="1589" customFormat="false" ht="15" hidden="false" customHeight="false" outlineLevel="0" collapsed="false">
      <c r="A1589" s="10" t="n">
        <v>44789</v>
      </c>
      <c r="B1589" s="11" t="s">
        <v>1721</v>
      </c>
      <c r="C1589" s="11" t="s">
        <v>137</v>
      </c>
      <c r="D1589" s="11" t="s">
        <v>138</v>
      </c>
      <c r="E1589" s="11" t="s">
        <v>139</v>
      </c>
      <c r="F1589" s="12" t="n">
        <v>5171827</v>
      </c>
      <c r="G1589" s="12" t="n">
        <v>4890000</v>
      </c>
      <c r="H1589" s="11" t="n">
        <v>11</v>
      </c>
      <c r="I1589" s="11" t="s">
        <v>69</v>
      </c>
      <c r="J1589" s="11" t="s">
        <v>80</v>
      </c>
      <c r="K1589" s="11" t="s">
        <v>81</v>
      </c>
      <c r="L1589" s="11" t="s">
        <v>82</v>
      </c>
      <c r="M1589" s="11" t="s">
        <v>73</v>
      </c>
      <c r="N1589" s="11" t="s">
        <v>143</v>
      </c>
      <c r="O1589" s="11" t="s">
        <v>144</v>
      </c>
      <c r="P1589" s="11" t="s">
        <v>101</v>
      </c>
      <c r="Q1589" s="13" t="n">
        <f aca="false">F1589*H1589</f>
        <v>56890097</v>
      </c>
      <c r="R1589" s="13" t="n">
        <f aca="false">G1589*H1589</f>
        <v>53790000</v>
      </c>
      <c r="S1589" s="13" t="n">
        <f aca="false">Q1589-R1589</f>
        <v>3100097</v>
      </c>
      <c r="T1589" s="14" t="n">
        <f aca="false">IFERROR(S1589/Q1589,0)</f>
        <v>0.0544927353525166</v>
      </c>
      <c r="U1589" s="15" t="str">
        <f aca="false">TEXT(A1589,"yyyy-mm")</f>
        <v>2022-08</v>
      </c>
    </row>
    <row r="1590" customFormat="false" ht="15" hidden="false" customHeight="false" outlineLevel="0" collapsed="false">
      <c r="A1590" s="10" t="n">
        <v>44790</v>
      </c>
      <c r="B1590" s="11" t="s">
        <v>1722</v>
      </c>
      <c r="C1590" s="11" t="s">
        <v>141</v>
      </c>
      <c r="D1590" s="11" t="s">
        <v>138</v>
      </c>
      <c r="E1590" s="11" t="s">
        <v>142</v>
      </c>
      <c r="F1590" s="12" t="n">
        <v>2805124</v>
      </c>
      <c r="G1590" s="12" t="n">
        <v>2178000</v>
      </c>
      <c r="H1590" s="11" t="n">
        <v>25</v>
      </c>
      <c r="I1590" s="11" t="s">
        <v>69</v>
      </c>
      <c r="J1590" s="11" t="s">
        <v>80</v>
      </c>
      <c r="K1590" s="11" t="s">
        <v>81</v>
      </c>
      <c r="L1590" s="11" t="s">
        <v>82</v>
      </c>
      <c r="M1590" s="11" t="s">
        <v>73</v>
      </c>
      <c r="N1590" s="11" t="s">
        <v>133</v>
      </c>
      <c r="O1590" s="11" t="s">
        <v>60</v>
      </c>
      <c r="P1590" s="11" t="s">
        <v>76</v>
      </c>
      <c r="Q1590" s="13" t="n">
        <f aca="false">F1590*H1590</f>
        <v>70128100</v>
      </c>
      <c r="R1590" s="13" t="n">
        <f aca="false">G1590*H1590</f>
        <v>54450000</v>
      </c>
      <c r="S1590" s="13" t="n">
        <f aca="false">Q1590-R1590</f>
        <v>15678100</v>
      </c>
      <c r="T1590" s="14" t="n">
        <f aca="false">IFERROR(S1590/Q1590,0)</f>
        <v>0.22356373550688</v>
      </c>
      <c r="U1590" s="15" t="str">
        <f aca="false">TEXT(A1590,"yyyy-mm")</f>
        <v>2022-08</v>
      </c>
    </row>
    <row r="1591" customFormat="false" ht="15" hidden="false" customHeight="false" outlineLevel="0" collapsed="false">
      <c r="A1591" s="10" t="n">
        <v>44790</v>
      </c>
      <c r="B1591" s="11" t="s">
        <v>1723</v>
      </c>
      <c r="C1591" s="11" t="s">
        <v>146</v>
      </c>
      <c r="D1591" s="11" t="s">
        <v>138</v>
      </c>
      <c r="E1591" s="11" t="s">
        <v>139</v>
      </c>
      <c r="F1591" s="12" t="n">
        <v>2728100</v>
      </c>
      <c r="G1591" s="12" t="n">
        <v>2321000</v>
      </c>
      <c r="H1591" s="11" t="n">
        <v>15</v>
      </c>
      <c r="I1591" s="11" t="s">
        <v>69</v>
      </c>
      <c r="J1591" s="11" t="s">
        <v>80</v>
      </c>
      <c r="K1591" s="11" t="s">
        <v>81</v>
      </c>
      <c r="L1591" s="11" t="s">
        <v>82</v>
      </c>
      <c r="M1591" s="11" t="s">
        <v>73</v>
      </c>
      <c r="N1591" s="11" t="s">
        <v>149</v>
      </c>
      <c r="O1591" s="11" t="s">
        <v>150</v>
      </c>
      <c r="P1591" s="11" t="s">
        <v>151</v>
      </c>
      <c r="Q1591" s="13" t="n">
        <f aca="false">F1591*H1591</f>
        <v>40921500</v>
      </c>
      <c r="R1591" s="13" t="n">
        <f aca="false">G1591*H1591</f>
        <v>34815000</v>
      </c>
      <c r="S1591" s="13" t="n">
        <f aca="false">Q1591-R1591</f>
        <v>6106500</v>
      </c>
      <c r="T1591" s="14" t="n">
        <f aca="false">IFERROR(S1591/Q1591,0)</f>
        <v>0.149224735163667</v>
      </c>
      <c r="U1591" s="15" t="str">
        <f aca="false">TEXT(A1591,"yyyy-mm")</f>
        <v>2022-08</v>
      </c>
    </row>
    <row r="1592" customFormat="false" ht="15" hidden="false" customHeight="false" outlineLevel="0" collapsed="false">
      <c r="A1592" s="10" t="n">
        <v>44790</v>
      </c>
      <c r="B1592" s="11" t="s">
        <v>1724</v>
      </c>
      <c r="C1592" s="11" t="s">
        <v>148</v>
      </c>
      <c r="D1592" s="11" t="s">
        <v>138</v>
      </c>
      <c r="E1592" s="11" t="s">
        <v>122</v>
      </c>
      <c r="F1592" s="12" t="n">
        <v>4941716</v>
      </c>
      <c r="G1592" s="12" t="n">
        <v>4456000</v>
      </c>
      <c r="H1592" s="11" t="n">
        <v>9</v>
      </c>
      <c r="I1592" s="11" t="s">
        <v>69</v>
      </c>
      <c r="J1592" s="11" t="s">
        <v>80</v>
      </c>
      <c r="K1592" s="11" t="s">
        <v>81</v>
      </c>
      <c r="L1592" s="11" t="s">
        <v>82</v>
      </c>
      <c r="M1592" s="11" t="s">
        <v>73</v>
      </c>
      <c r="N1592" s="11" t="s">
        <v>104</v>
      </c>
      <c r="O1592" s="11" t="s">
        <v>105</v>
      </c>
      <c r="P1592" s="11" t="s">
        <v>106</v>
      </c>
      <c r="Q1592" s="13" t="n">
        <f aca="false">F1592*H1592</f>
        <v>44475444</v>
      </c>
      <c r="R1592" s="13" t="n">
        <f aca="false">G1592*H1592</f>
        <v>40104000</v>
      </c>
      <c r="S1592" s="13" t="n">
        <f aca="false">Q1592-R1592</f>
        <v>4371444</v>
      </c>
      <c r="T1592" s="14" t="n">
        <f aca="false">IFERROR(S1592/Q1592,0)</f>
        <v>0.0982889344511097</v>
      </c>
      <c r="U1592" s="15" t="str">
        <f aca="false">TEXT(A1592,"yyyy-mm")</f>
        <v>2022-08</v>
      </c>
    </row>
    <row r="1593" customFormat="false" ht="15" hidden="false" customHeight="false" outlineLevel="0" collapsed="false">
      <c r="A1593" s="10" t="n">
        <v>44790</v>
      </c>
      <c r="B1593" s="11" t="s">
        <v>1725</v>
      </c>
      <c r="C1593" s="11" t="s">
        <v>66</v>
      </c>
      <c r="D1593" s="11" t="s">
        <v>67</v>
      </c>
      <c r="E1593" s="11" t="s">
        <v>68</v>
      </c>
      <c r="F1593" s="12" t="n">
        <v>3048952</v>
      </c>
      <c r="G1593" s="12" t="n">
        <v>2560000</v>
      </c>
      <c r="H1593" s="11" t="n">
        <v>12</v>
      </c>
      <c r="I1593" s="11" t="s">
        <v>86</v>
      </c>
      <c r="J1593" s="11" t="s">
        <v>87</v>
      </c>
      <c r="K1593" s="11" t="s">
        <v>88</v>
      </c>
      <c r="L1593" s="11" t="s">
        <v>89</v>
      </c>
      <c r="M1593" s="11" t="s">
        <v>90</v>
      </c>
      <c r="N1593" s="11" t="s">
        <v>109</v>
      </c>
      <c r="O1593" s="11" t="s">
        <v>75</v>
      </c>
      <c r="P1593" s="11" t="s">
        <v>95</v>
      </c>
      <c r="Q1593" s="13" t="n">
        <f aca="false">F1593*H1593</f>
        <v>36587424</v>
      </c>
      <c r="R1593" s="13" t="n">
        <f aca="false">G1593*H1593</f>
        <v>30720000</v>
      </c>
      <c r="S1593" s="13" t="n">
        <f aca="false">Q1593-R1593</f>
        <v>5867424</v>
      </c>
      <c r="T1593" s="14" t="n">
        <f aca="false">IFERROR(S1593/Q1593,0)</f>
        <v>0.160367234380863</v>
      </c>
      <c r="U1593" s="15" t="str">
        <f aca="false">TEXT(A1593,"yyyy-mm")</f>
        <v>2022-08</v>
      </c>
    </row>
    <row r="1594" customFormat="false" ht="15" hidden="false" customHeight="false" outlineLevel="0" collapsed="false">
      <c r="A1594" s="10" t="n">
        <v>44791</v>
      </c>
      <c r="B1594" s="11" t="s">
        <v>1726</v>
      </c>
      <c r="C1594" s="11" t="s">
        <v>78</v>
      </c>
      <c r="D1594" s="11" t="s">
        <v>67</v>
      </c>
      <c r="E1594" s="11" t="s">
        <v>79</v>
      </c>
      <c r="F1594" s="12" t="n">
        <v>1870000</v>
      </c>
      <c r="G1594" s="12" t="n">
        <v>1650000</v>
      </c>
      <c r="H1594" s="11" t="n">
        <v>17</v>
      </c>
      <c r="I1594" s="11" t="s">
        <v>69</v>
      </c>
      <c r="J1594" s="11" t="s">
        <v>112</v>
      </c>
      <c r="K1594" s="11" t="s">
        <v>113</v>
      </c>
      <c r="L1594" s="11" t="s">
        <v>82</v>
      </c>
      <c r="M1594" s="11" t="s">
        <v>157</v>
      </c>
      <c r="N1594" s="11" t="s">
        <v>149</v>
      </c>
      <c r="O1594" s="11" t="s">
        <v>150</v>
      </c>
      <c r="P1594" s="11" t="s">
        <v>151</v>
      </c>
      <c r="Q1594" s="13" t="n">
        <f aca="false">F1594*H1594</f>
        <v>31790000</v>
      </c>
      <c r="R1594" s="13" t="n">
        <f aca="false">G1594*H1594</f>
        <v>28050000</v>
      </c>
      <c r="S1594" s="13" t="n">
        <f aca="false">Q1594-R1594</f>
        <v>3740000</v>
      </c>
      <c r="T1594" s="14" t="n">
        <f aca="false">IFERROR(S1594/Q1594,0)</f>
        <v>0.117647058823529</v>
      </c>
      <c r="U1594" s="15" t="str">
        <f aca="false">TEXT(A1594,"yyyy-mm")</f>
        <v>2022-08</v>
      </c>
    </row>
    <row r="1595" customFormat="false" ht="15" hidden="false" customHeight="false" outlineLevel="0" collapsed="false">
      <c r="A1595" s="10" t="n">
        <v>44791</v>
      </c>
      <c r="B1595" s="11" t="s">
        <v>1727</v>
      </c>
      <c r="C1595" s="11" t="s">
        <v>84</v>
      </c>
      <c r="D1595" s="11" t="s">
        <v>67</v>
      </c>
      <c r="E1595" s="11" t="s">
        <v>85</v>
      </c>
      <c r="F1595" s="12" t="n">
        <v>2600000</v>
      </c>
      <c r="G1595" s="12" t="n">
        <v>2300000</v>
      </c>
      <c r="H1595" s="11" t="n">
        <v>5</v>
      </c>
      <c r="I1595" s="11" t="s">
        <v>69</v>
      </c>
      <c r="J1595" s="11" t="s">
        <v>112</v>
      </c>
      <c r="K1595" s="11" t="s">
        <v>113</v>
      </c>
      <c r="L1595" s="11" t="s">
        <v>82</v>
      </c>
      <c r="M1595" s="11" t="s">
        <v>157</v>
      </c>
      <c r="N1595" s="11" t="s">
        <v>123</v>
      </c>
      <c r="O1595" s="11" t="s">
        <v>60</v>
      </c>
      <c r="P1595" s="11" t="s">
        <v>106</v>
      </c>
      <c r="Q1595" s="13" t="n">
        <f aca="false">F1595*H1595</f>
        <v>13000000</v>
      </c>
      <c r="R1595" s="13" t="n">
        <f aca="false">G1595*H1595</f>
        <v>11500000</v>
      </c>
      <c r="S1595" s="13" t="n">
        <f aca="false">Q1595-R1595</f>
        <v>1500000</v>
      </c>
      <c r="T1595" s="14" t="n">
        <f aca="false">IFERROR(S1595/Q1595,0)</f>
        <v>0.115384615384615</v>
      </c>
      <c r="U1595" s="15" t="str">
        <f aca="false">TEXT(A1595,"yyyy-mm")</f>
        <v>2022-08</v>
      </c>
    </row>
    <row r="1596" customFormat="false" ht="15" hidden="false" customHeight="false" outlineLevel="0" collapsed="false">
      <c r="A1596" s="10" t="n">
        <v>44791</v>
      </c>
      <c r="B1596" s="11" t="s">
        <v>1728</v>
      </c>
      <c r="C1596" s="11" t="s">
        <v>92</v>
      </c>
      <c r="D1596" s="11" t="s">
        <v>67</v>
      </c>
      <c r="E1596" s="11" t="s">
        <v>79</v>
      </c>
      <c r="F1596" s="12" t="n">
        <v>3577480</v>
      </c>
      <c r="G1596" s="12" t="n">
        <v>3100000</v>
      </c>
      <c r="H1596" s="11" t="n">
        <v>13</v>
      </c>
      <c r="I1596" s="11" t="s">
        <v>86</v>
      </c>
      <c r="J1596" s="11" t="s">
        <v>87</v>
      </c>
      <c r="K1596" s="11" t="s">
        <v>88</v>
      </c>
      <c r="L1596" s="11" t="s">
        <v>89</v>
      </c>
      <c r="M1596" s="11" t="s">
        <v>90</v>
      </c>
      <c r="N1596" s="11" t="s">
        <v>149</v>
      </c>
      <c r="O1596" s="11" t="s">
        <v>150</v>
      </c>
      <c r="P1596" s="11" t="s">
        <v>151</v>
      </c>
      <c r="Q1596" s="13" t="n">
        <f aca="false">F1596*H1596</f>
        <v>46507240</v>
      </c>
      <c r="R1596" s="13" t="n">
        <f aca="false">G1596*H1596</f>
        <v>40300000</v>
      </c>
      <c r="S1596" s="13" t="n">
        <f aca="false">Q1596-R1596</f>
        <v>6207240</v>
      </c>
      <c r="T1596" s="14" t="n">
        <f aca="false">IFERROR(S1596/Q1596,0)</f>
        <v>0.133468251394837</v>
      </c>
      <c r="U1596" s="15" t="str">
        <f aca="false">TEXT(A1596,"yyyy-mm")</f>
        <v>2022-08</v>
      </c>
    </row>
    <row r="1597" customFormat="false" ht="15" hidden="false" customHeight="false" outlineLevel="0" collapsed="false">
      <c r="A1597" s="10" t="n">
        <v>44791</v>
      </c>
      <c r="B1597" s="11" t="s">
        <v>1729</v>
      </c>
      <c r="C1597" s="11" t="s">
        <v>97</v>
      </c>
      <c r="D1597" s="11" t="s">
        <v>67</v>
      </c>
      <c r="E1597" s="11" t="s">
        <v>98</v>
      </c>
      <c r="F1597" s="12" t="n">
        <v>4969724</v>
      </c>
      <c r="G1597" s="12" t="n">
        <v>4121560</v>
      </c>
      <c r="H1597" s="11" t="n">
        <v>2</v>
      </c>
      <c r="I1597" s="11" t="s">
        <v>69</v>
      </c>
      <c r="J1597" s="11" t="s">
        <v>112</v>
      </c>
      <c r="K1597" s="11" t="s">
        <v>113</v>
      </c>
      <c r="L1597" s="11" t="s">
        <v>82</v>
      </c>
      <c r="M1597" s="11" t="s">
        <v>157</v>
      </c>
      <c r="N1597" s="11" t="s">
        <v>74</v>
      </c>
      <c r="O1597" s="11" t="s">
        <v>75</v>
      </c>
      <c r="P1597" s="11" t="s">
        <v>76</v>
      </c>
      <c r="Q1597" s="13" t="n">
        <f aca="false">F1597*H1597</f>
        <v>9939448</v>
      </c>
      <c r="R1597" s="13" t="n">
        <f aca="false">G1597*H1597</f>
        <v>8243120</v>
      </c>
      <c r="S1597" s="13" t="n">
        <f aca="false">Q1597-R1597</f>
        <v>1696328</v>
      </c>
      <c r="T1597" s="14" t="n">
        <f aca="false">IFERROR(S1597/Q1597,0)</f>
        <v>0.170666218083741</v>
      </c>
      <c r="U1597" s="15" t="str">
        <f aca="false">TEXT(A1597,"yyyy-mm")</f>
        <v>2022-08</v>
      </c>
    </row>
    <row r="1598" customFormat="false" ht="15" hidden="false" customHeight="false" outlineLevel="0" collapsed="false">
      <c r="A1598" s="10" t="n">
        <v>44791</v>
      </c>
      <c r="B1598" s="11" t="s">
        <v>1730</v>
      </c>
      <c r="C1598" s="11" t="s">
        <v>103</v>
      </c>
      <c r="D1598" s="11" t="s">
        <v>67</v>
      </c>
      <c r="E1598" s="11" t="s">
        <v>68</v>
      </c>
      <c r="F1598" s="12" t="n">
        <v>3319925</v>
      </c>
      <c r="G1598" s="12" t="n">
        <v>2800000</v>
      </c>
      <c r="H1598" s="11" t="n">
        <v>20</v>
      </c>
      <c r="I1598" s="11" t="s">
        <v>69</v>
      </c>
      <c r="J1598" s="11" t="s">
        <v>80</v>
      </c>
      <c r="K1598" s="11" t="s">
        <v>81</v>
      </c>
      <c r="L1598" s="11" t="s">
        <v>82</v>
      </c>
      <c r="M1598" s="11" t="s">
        <v>73</v>
      </c>
      <c r="N1598" s="11" t="s">
        <v>104</v>
      </c>
      <c r="O1598" s="11" t="s">
        <v>105</v>
      </c>
      <c r="P1598" s="11" t="s">
        <v>106</v>
      </c>
      <c r="Q1598" s="13" t="n">
        <f aca="false">F1598*H1598</f>
        <v>66398500</v>
      </c>
      <c r="R1598" s="13" t="n">
        <f aca="false">G1598*H1598</f>
        <v>56000000</v>
      </c>
      <c r="S1598" s="13" t="n">
        <f aca="false">Q1598-R1598</f>
        <v>10398500</v>
      </c>
      <c r="T1598" s="14" t="n">
        <f aca="false">IFERROR(S1598/Q1598,0)</f>
        <v>0.15660745348163</v>
      </c>
      <c r="U1598" s="15" t="str">
        <f aca="false">TEXT(A1598,"yyyy-mm")</f>
        <v>2022-08</v>
      </c>
    </row>
    <row r="1599" customFormat="false" ht="15" hidden="false" customHeight="false" outlineLevel="0" collapsed="false">
      <c r="A1599" s="10" t="n">
        <v>44792</v>
      </c>
      <c r="B1599" s="11" t="s">
        <v>1731</v>
      </c>
      <c r="C1599" s="11" t="s">
        <v>108</v>
      </c>
      <c r="D1599" s="11" t="s">
        <v>67</v>
      </c>
      <c r="E1599" s="11" t="s">
        <v>68</v>
      </c>
      <c r="F1599" s="12" t="n">
        <v>4757880</v>
      </c>
      <c r="G1599" s="12" t="n">
        <v>3450000</v>
      </c>
      <c r="H1599" s="11" t="n">
        <v>4</v>
      </c>
      <c r="I1599" s="11" t="s">
        <v>69</v>
      </c>
      <c r="J1599" s="11" t="s">
        <v>80</v>
      </c>
      <c r="K1599" s="11" t="s">
        <v>81</v>
      </c>
      <c r="L1599" s="11" t="s">
        <v>82</v>
      </c>
      <c r="M1599" s="11" t="s">
        <v>73</v>
      </c>
      <c r="N1599" s="11" t="s">
        <v>133</v>
      </c>
      <c r="O1599" s="11" t="s">
        <v>60</v>
      </c>
      <c r="P1599" s="11" t="s">
        <v>76</v>
      </c>
      <c r="Q1599" s="13" t="n">
        <f aca="false">F1599*H1599</f>
        <v>19031520</v>
      </c>
      <c r="R1599" s="13" t="n">
        <f aca="false">G1599*H1599</f>
        <v>13800000</v>
      </c>
      <c r="S1599" s="13" t="n">
        <f aca="false">Q1599-R1599</f>
        <v>5231520</v>
      </c>
      <c r="T1599" s="14" t="n">
        <f aca="false">IFERROR(S1599/Q1599,0)</f>
        <v>0.274887134606169</v>
      </c>
      <c r="U1599" s="15" t="str">
        <f aca="false">TEXT(A1599,"yyyy-mm")</f>
        <v>2022-08</v>
      </c>
    </row>
    <row r="1600" customFormat="false" ht="15" hidden="false" customHeight="false" outlineLevel="0" collapsed="false">
      <c r="A1600" s="10" t="n">
        <v>44793</v>
      </c>
      <c r="B1600" s="11" t="s">
        <v>1732</v>
      </c>
      <c r="C1600" s="11" t="s">
        <v>111</v>
      </c>
      <c r="D1600" s="11" t="s">
        <v>67</v>
      </c>
      <c r="E1600" s="11" t="s">
        <v>79</v>
      </c>
      <c r="F1600" s="12" t="n">
        <v>3545808</v>
      </c>
      <c r="G1600" s="12" t="n">
        <v>3350000</v>
      </c>
      <c r="H1600" s="11" t="n">
        <v>9</v>
      </c>
      <c r="I1600" s="11" t="s">
        <v>69</v>
      </c>
      <c r="J1600" s="11" t="s">
        <v>80</v>
      </c>
      <c r="K1600" s="11" t="s">
        <v>81</v>
      </c>
      <c r="L1600" s="11" t="s">
        <v>82</v>
      </c>
      <c r="M1600" s="11" t="s">
        <v>73</v>
      </c>
      <c r="N1600" s="11" t="s">
        <v>173</v>
      </c>
      <c r="O1600" s="11" t="s">
        <v>174</v>
      </c>
      <c r="P1600" s="11" t="s">
        <v>95</v>
      </c>
      <c r="Q1600" s="13" t="n">
        <f aca="false">F1600*H1600</f>
        <v>31912272</v>
      </c>
      <c r="R1600" s="13" t="n">
        <f aca="false">G1600*H1600</f>
        <v>30150000</v>
      </c>
      <c r="S1600" s="13" t="n">
        <f aca="false">Q1600-R1600</f>
        <v>1762272</v>
      </c>
      <c r="T1600" s="14" t="n">
        <f aca="false">IFERROR(S1600/Q1600,0)</f>
        <v>0.0552223921881839</v>
      </c>
      <c r="U1600" s="15" t="str">
        <f aca="false">TEXT(A1600,"yyyy-mm")</f>
        <v>2022-08</v>
      </c>
    </row>
    <row r="1601" customFormat="false" ht="15" hidden="false" customHeight="false" outlineLevel="0" collapsed="false">
      <c r="A1601" s="10" t="n">
        <v>44793</v>
      </c>
      <c r="B1601" s="11" t="s">
        <v>1733</v>
      </c>
      <c r="C1601" s="11" t="s">
        <v>115</v>
      </c>
      <c r="D1601" s="11" t="s">
        <v>67</v>
      </c>
      <c r="E1601" s="11" t="s">
        <v>98</v>
      </c>
      <c r="F1601" s="12" t="n">
        <v>4200743</v>
      </c>
      <c r="G1601" s="12" t="n">
        <v>4101000</v>
      </c>
      <c r="H1601" s="11" t="n">
        <v>5</v>
      </c>
      <c r="I1601" s="11" t="s">
        <v>86</v>
      </c>
      <c r="J1601" s="11" t="s">
        <v>87</v>
      </c>
      <c r="K1601" s="11" t="s">
        <v>88</v>
      </c>
      <c r="L1601" s="11" t="s">
        <v>89</v>
      </c>
      <c r="M1601" s="11" t="s">
        <v>90</v>
      </c>
      <c r="N1601" s="11" t="s">
        <v>143</v>
      </c>
      <c r="O1601" s="11" t="s">
        <v>144</v>
      </c>
      <c r="P1601" s="11" t="s">
        <v>101</v>
      </c>
      <c r="Q1601" s="13" t="n">
        <f aca="false">F1601*H1601</f>
        <v>21003715</v>
      </c>
      <c r="R1601" s="13" t="n">
        <f aca="false">G1601*H1601</f>
        <v>20505000</v>
      </c>
      <c r="S1601" s="13" t="n">
        <f aca="false">Q1601-R1601</f>
        <v>498715</v>
      </c>
      <c r="T1601" s="14" t="n">
        <f aca="false">IFERROR(S1601/Q1601,0)</f>
        <v>0.023744132883159</v>
      </c>
      <c r="U1601" s="15" t="str">
        <f aca="false">TEXT(A1601,"yyyy-mm")</f>
        <v>2022-08</v>
      </c>
    </row>
    <row r="1602" customFormat="false" ht="15" hidden="false" customHeight="false" outlineLevel="0" collapsed="false">
      <c r="A1602" s="10" t="n">
        <v>44794</v>
      </c>
      <c r="B1602" s="11" t="s">
        <v>1734</v>
      </c>
      <c r="C1602" s="11" t="s">
        <v>117</v>
      </c>
      <c r="D1602" s="11" t="s">
        <v>118</v>
      </c>
      <c r="E1602" s="11" t="s">
        <v>119</v>
      </c>
      <c r="F1602" s="12" t="n">
        <v>8220549</v>
      </c>
      <c r="G1602" s="12" t="n">
        <v>6500000</v>
      </c>
      <c r="H1602" s="11" t="n">
        <v>8</v>
      </c>
      <c r="I1602" s="11" t="s">
        <v>69</v>
      </c>
      <c r="J1602" s="11" t="s">
        <v>70</v>
      </c>
      <c r="K1602" s="11" t="s">
        <v>71</v>
      </c>
      <c r="L1602" s="11" t="s">
        <v>72</v>
      </c>
      <c r="M1602" s="11" t="s">
        <v>73</v>
      </c>
      <c r="N1602" s="11" t="s">
        <v>93</v>
      </c>
      <c r="O1602" s="11" t="s">
        <v>94</v>
      </c>
      <c r="P1602" s="11" t="s">
        <v>95</v>
      </c>
      <c r="Q1602" s="13" t="n">
        <f aca="false">F1602*H1602</f>
        <v>65764392</v>
      </c>
      <c r="R1602" s="13" t="n">
        <f aca="false">G1602*H1602</f>
        <v>52000000</v>
      </c>
      <c r="S1602" s="13" t="n">
        <f aca="false">Q1602-R1602</f>
        <v>13764392</v>
      </c>
      <c r="T1602" s="14" t="n">
        <f aca="false">IFERROR(S1602/Q1602,0)</f>
        <v>0.209298551714733</v>
      </c>
      <c r="U1602" s="15" t="str">
        <f aca="false">TEXT(A1602,"yyyy-mm")</f>
        <v>2022-08</v>
      </c>
    </row>
    <row r="1603" customFormat="false" ht="15" hidden="false" customHeight="false" outlineLevel="0" collapsed="false">
      <c r="A1603" s="10" t="n">
        <v>44794</v>
      </c>
      <c r="B1603" s="11" t="s">
        <v>1735</v>
      </c>
      <c r="C1603" s="11" t="s">
        <v>121</v>
      </c>
      <c r="D1603" s="11" t="s">
        <v>118</v>
      </c>
      <c r="E1603" s="11" t="s">
        <v>122</v>
      </c>
      <c r="F1603" s="12" t="n">
        <v>7687274</v>
      </c>
      <c r="G1603" s="12" t="n">
        <v>6500000</v>
      </c>
      <c r="H1603" s="11" t="n">
        <v>16</v>
      </c>
      <c r="I1603" s="11" t="s">
        <v>69</v>
      </c>
      <c r="J1603" s="11" t="s">
        <v>112</v>
      </c>
      <c r="K1603" s="11" t="s">
        <v>113</v>
      </c>
      <c r="L1603" s="11" t="s">
        <v>82</v>
      </c>
      <c r="M1603" s="11" t="s">
        <v>157</v>
      </c>
      <c r="N1603" s="11" t="s">
        <v>99</v>
      </c>
      <c r="O1603" s="11" t="s">
        <v>100</v>
      </c>
      <c r="P1603" s="11" t="s">
        <v>101</v>
      </c>
      <c r="Q1603" s="13" t="n">
        <f aca="false">F1603*H1603</f>
        <v>122996384</v>
      </c>
      <c r="R1603" s="13" t="n">
        <f aca="false">G1603*H1603</f>
        <v>104000000</v>
      </c>
      <c r="S1603" s="13" t="n">
        <f aca="false">Q1603-R1603</f>
        <v>18996384</v>
      </c>
      <c r="T1603" s="14" t="n">
        <f aca="false">IFERROR(S1603/Q1603,0)</f>
        <v>0.154446686822923</v>
      </c>
      <c r="U1603" s="15" t="str">
        <f aca="false">TEXT(A1603,"yyyy-mm")</f>
        <v>2022-08</v>
      </c>
    </row>
    <row r="1604" customFormat="false" ht="15" hidden="false" customHeight="false" outlineLevel="0" collapsed="false">
      <c r="A1604" s="10" t="n">
        <v>44795</v>
      </c>
      <c r="B1604" s="11" t="s">
        <v>1736</v>
      </c>
      <c r="C1604" s="11" t="s">
        <v>125</v>
      </c>
      <c r="D1604" s="11" t="s">
        <v>118</v>
      </c>
      <c r="E1604" s="11" t="s">
        <v>126</v>
      </c>
      <c r="F1604" s="12" t="n">
        <v>5684211</v>
      </c>
      <c r="G1604" s="12" t="n">
        <v>4300000</v>
      </c>
      <c r="H1604" s="11" t="n">
        <v>12</v>
      </c>
      <c r="I1604" s="11" t="s">
        <v>69</v>
      </c>
      <c r="J1604" s="11" t="s">
        <v>112</v>
      </c>
      <c r="K1604" s="11" t="s">
        <v>113</v>
      </c>
      <c r="L1604" s="11" t="s">
        <v>82</v>
      </c>
      <c r="M1604" s="11" t="s">
        <v>157</v>
      </c>
      <c r="N1604" s="11" t="s">
        <v>104</v>
      </c>
      <c r="O1604" s="11" t="s">
        <v>105</v>
      </c>
      <c r="P1604" s="11" t="s">
        <v>106</v>
      </c>
      <c r="Q1604" s="13" t="n">
        <f aca="false">F1604*H1604</f>
        <v>68210532</v>
      </c>
      <c r="R1604" s="13" t="n">
        <f aca="false">G1604*H1604</f>
        <v>51600000</v>
      </c>
      <c r="S1604" s="13" t="n">
        <f aca="false">Q1604-R1604</f>
        <v>16610532</v>
      </c>
      <c r="T1604" s="14" t="n">
        <f aca="false">IFERROR(S1604/Q1604,0)</f>
        <v>0.243518581558637</v>
      </c>
      <c r="U1604" s="15" t="str">
        <f aca="false">TEXT(A1604,"yyyy-mm")</f>
        <v>2022-08</v>
      </c>
    </row>
    <row r="1605" customFormat="false" ht="15" hidden="false" customHeight="false" outlineLevel="0" collapsed="false">
      <c r="A1605" s="10" t="n">
        <v>44796</v>
      </c>
      <c r="B1605" s="11" t="s">
        <v>1737</v>
      </c>
      <c r="C1605" s="11" t="s">
        <v>128</v>
      </c>
      <c r="D1605" s="11" t="s">
        <v>118</v>
      </c>
      <c r="E1605" s="11" t="s">
        <v>119</v>
      </c>
      <c r="F1605" s="12" t="n">
        <v>3370302</v>
      </c>
      <c r="G1605" s="12" t="n">
        <v>2100000</v>
      </c>
      <c r="H1605" s="11" t="n">
        <v>22</v>
      </c>
      <c r="I1605" s="11" t="s">
        <v>86</v>
      </c>
      <c r="J1605" s="11" t="s">
        <v>87</v>
      </c>
      <c r="K1605" s="11" t="s">
        <v>88</v>
      </c>
      <c r="L1605" s="11" t="s">
        <v>89</v>
      </c>
      <c r="M1605" s="11" t="s">
        <v>90</v>
      </c>
      <c r="N1605" s="11" t="s">
        <v>99</v>
      </c>
      <c r="O1605" s="11" t="s">
        <v>100</v>
      </c>
      <c r="P1605" s="11" t="s">
        <v>101</v>
      </c>
      <c r="Q1605" s="13" t="n">
        <f aca="false">F1605*H1605</f>
        <v>74146644</v>
      </c>
      <c r="R1605" s="13" t="n">
        <f aca="false">G1605*H1605</f>
        <v>46200000</v>
      </c>
      <c r="S1605" s="13" t="n">
        <f aca="false">Q1605-R1605</f>
        <v>27946644</v>
      </c>
      <c r="T1605" s="14" t="n">
        <f aca="false">IFERROR(S1605/Q1605,0)</f>
        <v>0.37691043710623</v>
      </c>
      <c r="U1605" s="15" t="str">
        <f aca="false">TEXT(A1605,"yyyy-mm")</f>
        <v>2022-08</v>
      </c>
    </row>
    <row r="1606" customFormat="false" ht="15" hidden="false" customHeight="false" outlineLevel="0" collapsed="false">
      <c r="A1606" s="10" t="n">
        <v>44796</v>
      </c>
      <c r="B1606" s="11" t="s">
        <v>1738</v>
      </c>
      <c r="C1606" s="11" t="s">
        <v>130</v>
      </c>
      <c r="D1606" s="11" t="s">
        <v>118</v>
      </c>
      <c r="E1606" s="11" t="s">
        <v>68</v>
      </c>
      <c r="F1606" s="12" t="n">
        <v>2852897</v>
      </c>
      <c r="G1606" s="12" t="n">
        <v>2450000</v>
      </c>
      <c r="H1606" s="11" t="n">
        <v>7</v>
      </c>
      <c r="I1606" s="11" t="s">
        <v>86</v>
      </c>
      <c r="J1606" s="11" t="s">
        <v>87</v>
      </c>
      <c r="K1606" s="11" t="s">
        <v>88</v>
      </c>
      <c r="L1606" s="11" t="s">
        <v>89</v>
      </c>
      <c r="M1606" s="11" t="s">
        <v>90</v>
      </c>
      <c r="N1606" s="11" t="s">
        <v>99</v>
      </c>
      <c r="O1606" s="11" t="s">
        <v>100</v>
      </c>
      <c r="P1606" s="11" t="s">
        <v>101</v>
      </c>
      <c r="Q1606" s="13" t="n">
        <f aca="false">F1606*H1606</f>
        <v>19970279</v>
      </c>
      <c r="R1606" s="13" t="n">
        <f aca="false">G1606*H1606</f>
        <v>17150000</v>
      </c>
      <c r="S1606" s="13" t="n">
        <f aca="false">Q1606-R1606</f>
        <v>2820279</v>
      </c>
      <c r="T1606" s="14" t="n">
        <f aca="false">IFERROR(S1606/Q1606,0)</f>
        <v>0.141223815651249</v>
      </c>
      <c r="U1606" s="15" t="str">
        <f aca="false">TEXT(A1606,"yyyy-mm")</f>
        <v>2022-08</v>
      </c>
    </row>
    <row r="1607" customFormat="false" ht="15" hidden="false" customHeight="false" outlineLevel="0" collapsed="false">
      <c r="A1607" s="10" t="n">
        <v>44796</v>
      </c>
      <c r="B1607" s="11" t="s">
        <v>1739</v>
      </c>
      <c r="C1607" s="11" t="s">
        <v>132</v>
      </c>
      <c r="D1607" s="11" t="s">
        <v>118</v>
      </c>
      <c r="E1607" s="11" t="s">
        <v>68</v>
      </c>
      <c r="F1607" s="12" t="n">
        <v>4803603</v>
      </c>
      <c r="G1607" s="12" t="n">
        <v>4121000</v>
      </c>
      <c r="H1607" s="11" t="n">
        <v>11</v>
      </c>
      <c r="I1607" s="11" t="s">
        <v>69</v>
      </c>
      <c r="J1607" s="11" t="s">
        <v>80</v>
      </c>
      <c r="K1607" s="11" t="s">
        <v>81</v>
      </c>
      <c r="L1607" s="11" t="s">
        <v>82</v>
      </c>
      <c r="M1607" s="11" t="s">
        <v>73</v>
      </c>
      <c r="N1607" s="11" t="s">
        <v>109</v>
      </c>
      <c r="O1607" s="11" t="s">
        <v>75</v>
      </c>
      <c r="P1607" s="11" t="s">
        <v>95</v>
      </c>
      <c r="Q1607" s="13" t="n">
        <f aca="false">F1607*H1607</f>
        <v>52839633</v>
      </c>
      <c r="R1607" s="13" t="n">
        <f aca="false">G1607*H1607</f>
        <v>45331000</v>
      </c>
      <c r="S1607" s="13" t="n">
        <f aca="false">Q1607-R1607</f>
        <v>7508633</v>
      </c>
      <c r="T1607" s="14" t="n">
        <f aca="false">IFERROR(S1607/Q1607,0)</f>
        <v>0.142102292799801</v>
      </c>
      <c r="U1607" s="15" t="str">
        <f aca="false">TEXT(A1607,"yyyy-mm")</f>
        <v>2022-08</v>
      </c>
    </row>
    <row r="1608" customFormat="false" ht="15" hidden="false" customHeight="false" outlineLevel="0" collapsed="false">
      <c r="A1608" s="10" t="n">
        <v>44796</v>
      </c>
      <c r="B1608" s="11" t="s">
        <v>1740</v>
      </c>
      <c r="C1608" s="11" t="s">
        <v>135</v>
      </c>
      <c r="D1608" s="11" t="s">
        <v>118</v>
      </c>
      <c r="E1608" s="11" t="s">
        <v>68</v>
      </c>
      <c r="F1608" s="12" t="n">
        <v>5689947</v>
      </c>
      <c r="G1608" s="12" t="n">
        <v>5235000</v>
      </c>
      <c r="H1608" s="11" t="n">
        <v>19</v>
      </c>
      <c r="I1608" s="11" t="s">
        <v>69</v>
      </c>
      <c r="J1608" s="11" t="s">
        <v>112</v>
      </c>
      <c r="K1608" s="11" t="s">
        <v>113</v>
      </c>
      <c r="L1608" s="11" t="s">
        <v>82</v>
      </c>
      <c r="M1608" s="11" t="s">
        <v>157</v>
      </c>
      <c r="N1608" s="11" t="s">
        <v>93</v>
      </c>
      <c r="O1608" s="11" t="s">
        <v>94</v>
      </c>
      <c r="P1608" s="11" t="s">
        <v>95</v>
      </c>
      <c r="Q1608" s="13" t="n">
        <f aca="false">F1608*H1608</f>
        <v>108108993</v>
      </c>
      <c r="R1608" s="13" t="n">
        <f aca="false">G1608*H1608</f>
        <v>99465000</v>
      </c>
      <c r="S1608" s="13" t="n">
        <f aca="false">Q1608-R1608</f>
        <v>8643993</v>
      </c>
      <c r="T1608" s="14" t="n">
        <f aca="false">IFERROR(S1608/Q1608,0)</f>
        <v>0.0799562807878527</v>
      </c>
      <c r="U1608" s="15" t="str">
        <f aca="false">TEXT(A1608,"yyyy-mm")</f>
        <v>2022-08</v>
      </c>
    </row>
    <row r="1609" customFormat="false" ht="15" hidden="false" customHeight="false" outlineLevel="0" collapsed="false">
      <c r="A1609" s="10" t="n">
        <v>44797</v>
      </c>
      <c r="B1609" s="11" t="s">
        <v>1741</v>
      </c>
      <c r="C1609" s="11" t="s">
        <v>137</v>
      </c>
      <c r="D1609" s="11" t="s">
        <v>138</v>
      </c>
      <c r="E1609" s="11" t="s">
        <v>139</v>
      </c>
      <c r="F1609" s="12" t="n">
        <v>5171827</v>
      </c>
      <c r="G1609" s="12" t="n">
        <v>4890000</v>
      </c>
      <c r="H1609" s="11" t="n">
        <v>17</v>
      </c>
      <c r="I1609" s="11" t="s">
        <v>69</v>
      </c>
      <c r="J1609" s="11" t="s">
        <v>112</v>
      </c>
      <c r="K1609" s="11" t="s">
        <v>113</v>
      </c>
      <c r="L1609" s="11" t="s">
        <v>82</v>
      </c>
      <c r="M1609" s="11" t="s">
        <v>157</v>
      </c>
      <c r="N1609" s="11" t="s">
        <v>74</v>
      </c>
      <c r="O1609" s="11" t="s">
        <v>75</v>
      </c>
      <c r="P1609" s="11" t="s">
        <v>76</v>
      </c>
      <c r="Q1609" s="13" t="n">
        <f aca="false">F1609*H1609</f>
        <v>87921059</v>
      </c>
      <c r="R1609" s="13" t="n">
        <f aca="false">G1609*H1609</f>
        <v>83130000</v>
      </c>
      <c r="S1609" s="13" t="n">
        <f aca="false">Q1609-R1609</f>
        <v>4791059</v>
      </c>
      <c r="T1609" s="14" t="n">
        <f aca="false">IFERROR(S1609/Q1609,0)</f>
        <v>0.0544927353525166</v>
      </c>
      <c r="U1609" s="15" t="str">
        <f aca="false">TEXT(A1609,"yyyy-mm")</f>
        <v>2022-08</v>
      </c>
    </row>
    <row r="1610" customFormat="false" ht="15" hidden="false" customHeight="false" outlineLevel="0" collapsed="false">
      <c r="A1610" s="10" t="n">
        <v>44798</v>
      </c>
      <c r="B1610" s="11" t="s">
        <v>1742</v>
      </c>
      <c r="C1610" s="11" t="s">
        <v>141</v>
      </c>
      <c r="D1610" s="11" t="s">
        <v>138</v>
      </c>
      <c r="E1610" s="11" t="s">
        <v>142</v>
      </c>
      <c r="F1610" s="12" t="n">
        <v>2805124</v>
      </c>
      <c r="G1610" s="12" t="n">
        <v>2178000</v>
      </c>
      <c r="H1610" s="11" t="n">
        <v>15</v>
      </c>
      <c r="I1610" s="11" t="s">
        <v>86</v>
      </c>
      <c r="J1610" s="11" t="s">
        <v>87</v>
      </c>
      <c r="K1610" s="11" t="s">
        <v>88</v>
      </c>
      <c r="L1610" s="11" t="s">
        <v>89</v>
      </c>
      <c r="M1610" s="11" t="s">
        <v>90</v>
      </c>
      <c r="N1610" s="11" t="s">
        <v>133</v>
      </c>
      <c r="O1610" s="11" t="s">
        <v>60</v>
      </c>
      <c r="P1610" s="11" t="s">
        <v>76</v>
      </c>
      <c r="Q1610" s="13" t="n">
        <f aca="false">F1610*H1610</f>
        <v>42076860</v>
      </c>
      <c r="R1610" s="13" t="n">
        <f aca="false">G1610*H1610</f>
        <v>32670000</v>
      </c>
      <c r="S1610" s="13" t="n">
        <f aca="false">Q1610-R1610</f>
        <v>9406860</v>
      </c>
      <c r="T1610" s="14" t="n">
        <f aca="false">IFERROR(S1610/Q1610,0)</f>
        <v>0.22356373550688</v>
      </c>
      <c r="U1610" s="15" t="str">
        <f aca="false">TEXT(A1610,"yyyy-mm")</f>
        <v>2022-08</v>
      </c>
    </row>
    <row r="1611" customFormat="false" ht="15" hidden="false" customHeight="false" outlineLevel="0" collapsed="false">
      <c r="A1611" s="10" t="n">
        <v>44798</v>
      </c>
      <c r="B1611" s="11" t="s">
        <v>1743</v>
      </c>
      <c r="C1611" s="11" t="s">
        <v>146</v>
      </c>
      <c r="D1611" s="11" t="s">
        <v>138</v>
      </c>
      <c r="E1611" s="11" t="s">
        <v>139</v>
      </c>
      <c r="F1611" s="12" t="n">
        <v>2728100</v>
      </c>
      <c r="G1611" s="12" t="n">
        <v>2321000</v>
      </c>
      <c r="H1611" s="11" t="n">
        <v>14</v>
      </c>
      <c r="I1611" s="11" t="s">
        <v>69</v>
      </c>
      <c r="J1611" s="11" t="s">
        <v>80</v>
      </c>
      <c r="K1611" s="11" t="s">
        <v>81</v>
      </c>
      <c r="L1611" s="11" t="s">
        <v>82</v>
      </c>
      <c r="M1611" s="11" t="s">
        <v>73</v>
      </c>
      <c r="N1611" s="11" t="s">
        <v>109</v>
      </c>
      <c r="O1611" s="11" t="s">
        <v>75</v>
      </c>
      <c r="P1611" s="11" t="s">
        <v>95</v>
      </c>
      <c r="Q1611" s="13" t="n">
        <f aca="false">F1611*H1611</f>
        <v>38193400</v>
      </c>
      <c r="R1611" s="13" t="n">
        <f aca="false">G1611*H1611</f>
        <v>32494000</v>
      </c>
      <c r="S1611" s="13" t="n">
        <f aca="false">Q1611-R1611</f>
        <v>5699400</v>
      </c>
      <c r="T1611" s="14" t="n">
        <f aca="false">IFERROR(S1611/Q1611,0)</f>
        <v>0.149224735163667</v>
      </c>
      <c r="U1611" s="15" t="str">
        <f aca="false">TEXT(A1611,"yyyy-mm")</f>
        <v>2022-08</v>
      </c>
    </row>
    <row r="1612" customFormat="false" ht="15" hidden="false" customHeight="false" outlineLevel="0" collapsed="false">
      <c r="A1612" s="10" t="n">
        <v>44799</v>
      </c>
      <c r="B1612" s="11" t="s">
        <v>1744</v>
      </c>
      <c r="C1612" s="11" t="s">
        <v>148</v>
      </c>
      <c r="D1612" s="11" t="s">
        <v>138</v>
      </c>
      <c r="E1612" s="11" t="s">
        <v>122</v>
      </c>
      <c r="F1612" s="12" t="n">
        <v>4941716</v>
      </c>
      <c r="G1612" s="12" t="n">
        <v>4456000</v>
      </c>
      <c r="H1612" s="11" t="n">
        <v>20</v>
      </c>
      <c r="I1612" s="11" t="s">
        <v>69</v>
      </c>
      <c r="J1612" s="11" t="s">
        <v>80</v>
      </c>
      <c r="K1612" s="11" t="s">
        <v>81</v>
      </c>
      <c r="L1612" s="11" t="s">
        <v>82</v>
      </c>
      <c r="M1612" s="11" t="s">
        <v>73</v>
      </c>
      <c r="N1612" s="11" t="s">
        <v>173</v>
      </c>
      <c r="O1612" s="11" t="s">
        <v>174</v>
      </c>
      <c r="P1612" s="11" t="s">
        <v>95</v>
      </c>
      <c r="Q1612" s="13" t="n">
        <f aca="false">F1612*H1612</f>
        <v>98834320</v>
      </c>
      <c r="R1612" s="13" t="n">
        <f aca="false">G1612*H1612</f>
        <v>89120000</v>
      </c>
      <c r="S1612" s="13" t="n">
        <f aca="false">Q1612-R1612</f>
        <v>9714320</v>
      </c>
      <c r="T1612" s="14" t="n">
        <f aca="false">IFERROR(S1612/Q1612,0)</f>
        <v>0.0982889344511097</v>
      </c>
      <c r="U1612" s="15" t="str">
        <f aca="false">TEXT(A1612,"yyyy-mm")</f>
        <v>2022-08</v>
      </c>
    </row>
    <row r="1613" customFormat="false" ht="15" hidden="false" customHeight="false" outlineLevel="0" collapsed="false">
      <c r="A1613" s="10" t="n">
        <v>44799</v>
      </c>
      <c r="B1613" s="11" t="s">
        <v>1745</v>
      </c>
      <c r="C1613" s="11" t="s">
        <v>66</v>
      </c>
      <c r="D1613" s="11" t="s">
        <v>67</v>
      </c>
      <c r="E1613" s="11" t="s">
        <v>68</v>
      </c>
      <c r="F1613" s="12" t="n">
        <v>3048952</v>
      </c>
      <c r="G1613" s="12" t="n">
        <v>2560000</v>
      </c>
      <c r="H1613" s="11" t="n">
        <v>17</v>
      </c>
      <c r="I1613" s="11" t="s">
        <v>69</v>
      </c>
      <c r="J1613" s="11" t="s">
        <v>80</v>
      </c>
      <c r="K1613" s="11" t="s">
        <v>81</v>
      </c>
      <c r="L1613" s="11" t="s">
        <v>82</v>
      </c>
      <c r="M1613" s="11" t="s">
        <v>73</v>
      </c>
      <c r="N1613" s="11" t="s">
        <v>149</v>
      </c>
      <c r="O1613" s="11" t="s">
        <v>150</v>
      </c>
      <c r="P1613" s="11" t="s">
        <v>151</v>
      </c>
      <c r="Q1613" s="13" t="n">
        <f aca="false">F1613*H1613</f>
        <v>51832184</v>
      </c>
      <c r="R1613" s="13" t="n">
        <f aca="false">G1613*H1613</f>
        <v>43520000</v>
      </c>
      <c r="S1613" s="13" t="n">
        <f aca="false">Q1613-R1613</f>
        <v>8312184</v>
      </c>
      <c r="T1613" s="14" t="n">
        <f aca="false">IFERROR(S1613/Q1613,0)</f>
        <v>0.160367234380863</v>
      </c>
      <c r="U1613" s="15" t="str">
        <f aca="false">TEXT(A1613,"yyyy-mm")</f>
        <v>2022-08</v>
      </c>
    </row>
    <row r="1614" customFormat="false" ht="15" hidden="false" customHeight="false" outlineLevel="0" collapsed="false">
      <c r="A1614" s="10" t="n">
        <v>44799</v>
      </c>
      <c r="B1614" s="11" t="s">
        <v>1746</v>
      </c>
      <c r="C1614" s="11" t="s">
        <v>78</v>
      </c>
      <c r="D1614" s="11" t="s">
        <v>67</v>
      </c>
      <c r="E1614" s="11" t="s">
        <v>79</v>
      </c>
      <c r="F1614" s="12" t="n">
        <v>1870000</v>
      </c>
      <c r="G1614" s="12" t="n">
        <v>1650000</v>
      </c>
      <c r="H1614" s="11" t="n">
        <v>24</v>
      </c>
      <c r="I1614" s="11" t="s">
        <v>69</v>
      </c>
      <c r="J1614" s="11" t="s">
        <v>80</v>
      </c>
      <c r="K1614" s="11" t="s">
        <v>81</v>
      </c>
      <c r="L1614" s="11" t="s">
        <v>82</v>
      </c>
      <c r="M1614" s="11" t="s">
        <v>73</v>
      </c>
      <c r="N1614" s="11" t="s">
        <v>109</v>
      </c>
      <c r="O1614" s="11" t="s">
        <v>75</v>
      </c>
      <c r="P1614" s="11" t="s">
        <v>95</v>
      </c>
      <c r="Q1614" s="13" t="n">
        <f aca="false">F1614*H1614</f>
        <v>44880000</v>
      </c>
      <c r="R1614" s="13" t="n">
        <f aca="false">G1614*H1614</f>
        <v>39600000</v>
      </c>
      <c r="S1614" s="13" t="n">
        <f aca="false">Q1614-R1614</f>
        <v>5280000</v>
      </c>
      <c r="T1614" s="14" t="n">
        <f aca="false">IFERROR(S1614/Q1614,0)</f>
        <v>0.117647058823529</v>
      </c>
      <c r="U1614" s="15" t="str">
        <f aca="false">TEXT(A1614,"yyyy-mm")</f>
        <v>2022-08</v>
      </c>
    </row>
    <row r="1615" customFormat="false" ht="15" hidden="false" customHeight="false" outlineLevel="0" collapsed="false">
      <c r="A1615" s="10" t="n">
        <v>44799</v>
      </c>
      <c r="B1615" s="11" t="s">
        <v>1747</v>
      </c>
      <c r="C1615" s="11" t="s">
        <v>84</v>
      </c>
      <c r="D1615" s="11" t="s">
        <v>67</v>
      </c>
      <c r="E1615" s="11" t="s">
        <v>85</v>
      </c>
      <c r="F1615" s="12" t="n">
        <v>2600000</v>
      </c>
      <c r="G1615" s="12" t="n">
        <v>2300000</v>
      </c>
      <c r="H1615" s="11" t="n">
        <v>17</v>
      </c>
      <c r="I1615" s="11" t="s">
        <v>69</v>
      </c>
      <c r="J1615" s="11" t="s">
        <v>70</v>
      </c>
      <c r="K1615" s="11" t="s">
        <v>71</v>
      </c>
      <c r="L1615" s="11" t="s">
        <v>72</v>
      </c>
      <c r="M1615" s="11" t="s">
        <v>73</v>
      </c>
      <c r="N1615" s="11" t="s">
        <v>104</v>
      </c>
      <c r="O1615" s="11" t="s">
        <v>105</v>
      </c>
      <c r="P1615" s="11" t="s">
        <v>106</v>
      </c>
      <c r="Q1615" s="13" t="n">
        <f aca="false">F1615*H1615</f>
        <v>44200000</v>
      </c>
      <c r="R1615" s="13" t="n">
        <f aca="false">G1615*H1615</f>
        <v>39100000</v>
      </c>
      <c r="S1615" s="13" t="n">
        <f aca="false">Q1615-R1615</f>
        <v>5100000</v>
      </c>
      <c r="T1615" s="14" t="n">
        <f aca="false">IFERROR(S1615/Q1615,0)</f>
        <v>0.115384615384615</v>
      </c>
      <c r="U1615" s="15" t="str">
        <f aca="false">TEXT(A1615,"yyyy-mm")</f>
        <v>2022-08</v>
      </c>
    </row>
    <row r="1616" customFormat="false" ht="15" hidden="false" customHeight="false" outlineLevel="0" collapsed="false">
      <c r="A1616" s="10" t="n">
        <v>44800</v>
      </c>
      <c r="B1616" s="11" t="s">
        <v>1748</v>
      </c>
      <c r="C1616" s="11" t="s">
        <v>92</v>
      </c>
      <c r="D1616" s="11" t="s">
        <v>67</v>
      </c>
      <c r="E1616" s="11" t="s">
        <v>79</v>
      </c>
      <c r="F1616" s="12" t="n">
        <v>3577480</v>
      </c>
      <c r="G1616" s="12" t="n">
        <v>3100000</v>
      </c>
      <c r="H1616" s="11" t="n">
        <v>7</v>
      </c>
      <c r="I1616" s="11" t="s">
        <v>69</v>
      </c>
      <c r="J1616" s="11" t="s">
        <v>112</v>
      </c>
      <c r="K1616" s="11" t="s">
        <v>113</v>
      </c>
      <c r="L1616" s="11" t="s">
        <v>82</v>
      </c>
      <c r="M1616" s="11" t="s">
        <v>157</v>
      </c>
      <c r="N1616" s="11" t="s">
        <v>99</v>
      </c>
      <c r="O1616" s="11" t="s">
        <v>100</v>
      </c>
      <c r="P1616" s="11" t="s">
        <v>101</v>
      </c>
      <c r="Q1616" s="13" t="n">
        <f aca="false">F1616*H1616</f>
        <v>25042360</v>
      </c>
      <c r="R1616" s="13" t="n">
        <f aca="false">G1616*H1616</f>
        <v>21700000</v>
      </c>
      <c r="S1616" s="13" t="n">
        <f aca="false">Q1616-R1616</f>
        <v>3342360</v>
      </c>
      <c r="T1616" s="14" t="n">
        <f aca="false">IFERROR(S1616/Q1616,0)</f>
        <v>0.133468251394837</v>
      </c>
      <c r="U1616" s="15" t="str">
        <f aca="false">TEXT(A1616,"yyyy-mm")</f>
        <v>2022-08</v>
      </c>
    </row>
    <row r="1617" customFormat="false" ht="15" hidden="false" customHeight="false" outlineLevel="0" collapsed="false">
      <c r="A1617" s="10" t="n">
        <v>44801</v>
      </c>
      <c r="B1617" s="11" t="s">
        <v>1749</v>
      </c>
      <c r="C1617" s="11" t="s">
        <v>97</v>
      </c>
      <c r="D1617" s="11" t="s">
        <v>67</v>
      </c>
      <c r="E1617" s="11" t="s">
        <v>98</v>
      </c>
      <c r="F1617" s="12" t="n">
        <v>4969724</v>
      </c>
      <c r="G1617" s="12" t="n">
        <v>4121560</v>
      </c>
      <c r="H1617" s="11" t="n">
        <v>5</v>
      </c>
      <c r="I1617" s="11" t="s">
        <v>69</v>
      </c>
      <c r="J1617" s="11" t="s">
        <v>80</v>
      </c>
      <c r="K1617" s="11" t="s">
        <v>81</v>
      </c>
      <c r="L1617" s="11" t="s">
        <v>82</v>
      </c>
      <c r="M1617" s="11" t="s">
        <v>73</v>
      </c>
      <c r="N1617" s="11" t="s">
        <v>123</v>
      </c>
      <c r="O1617" s="11" t="s">
        <v>60</v>
      </c>
      <c r="P1617" s="11" t="s">
        <v>106</v>
      </c>
      <c r="Q1617" s="13" t="n">
        <f aca="false">F1617*H1617</f>
        <v>24848620</v>
      </c>
      <c r="R1617" s="13" t="n">
        <f aca="false">G1617*H1617</f>
        <v>20607800</v>
      </c>
      <c r="S1617" s="13" t="n">
        <f aca="false">Q1617-R1617</f>
        <v>4240820</v>
      </c>
      <c r="T1617" s="14" t="n">
        <f aca="false">IFERROR(S1617/Q1617,0)</f>
        <v>0.170666218083741</v>
      </c>
      <c r="U1617" s="15" t="str">
        <f aca="false">TEXT(A1617,"yyyy-mm")</f>
        <v>2022-08</v>
      </c>
    </row>
    <row r="1618" customFormat="false" ht="15" hidden="false" customHeight="false" outlineLevel="0" collapsed="false">
      <c r="A1618" s="10" t="n">
        <v>44801</v>
      </c>
      <c r="B1618" s="11" t="s">
        <v>1750</v>
      </c>
      <c r="C1618" s="11" t="s">
        <v>103</v>
      </c>
      <c r="D1618" s="11" t="s">
        <v>67</v>
      </c>
      <c r="E1618" s="11" t="s">
        <v>68</v>
      </c>
      <c r="F1618" s="12" t="n">
        <v>3319925</v>
      </c>
      <c r="G1618" s="12" t="n">
        <v>2800000</v>
      </c>
      <c r="H1618" s="11" t="n">
        <v>10</v>
      </c>
      <c r="I1618" s="11" t="s">
        <v>86</v>
      </c>
      <c r="J1618" s="11" t="s">
        <v>87</v>
      </c>
      <c r="K1618" s="11" t="s">
        <v>88</v>
      </c>
      <c r="L1618" s="11" t="s">
        <v>89</v>
      </c>
      <c r="M1618" s="11" t="s">
        <v>90</v>
      </c>
      <c r="N1618" s="11" t="s">
        <v>109</v>
      </c>
      <c r="O1618" s="11" t="s">
        <v>75</v>
      </c>
      <c r="P1618" s="11" t="s">
        <v>95</v>
      </c>
      <c r="Q1618" s="13" t="n">
        <f aca="false">F1618*H1618</f>
        <v>33199250</v>
      </c>
      <c r="R1618" s="13" t="n">
        <f aca="false">G1618*H1618</f>
        <v>28000000</v>
      </c>
      <c r="S1618" s="13" t="n">
        <f aca="false">Q1618-R1618</f>
        <v>5199250</v>
      </c>
      <c r="T1618" s="14" t="n">
        <f aca="false">IFERROR(S1618/Q1618,0)</f>
        <v>0.15660745348163</v>
      </c>
      <c r="U1618" s="15" t="str">
        <f aca="false">TEXT(A1618,"yyyy-mm")</f>
        <v>2022-08</v>
      </c>
    </row>
    <row r="1619" customFormat="false" ht="15" hidden="false" customHeight="false" outlineLevel="0" collapsed="false">
      <c r="A1619" s="10" t="n">
        <v>44802</v>
      </c>
      <c r="B1619" s="11" t="s">
        <v>1751</v>
      </c>
      <c r="C1619" s="11" t="s">
        <v>108</v>
      </c>
      <c r="D1619" s="11" t="s">
        <v>67</v>
      </c>
      <c r="E1619" s="11" t="s">
        <v>68</v>
      </c>
      <c r="F1619" s="12" t="n">
        <v>4757880</v>
      </c>
      <c r="G1619" s="12" t="n">
        <v>3450000</v>
      </c>
      <c r="H1619" s="11" t="n">
        <v>11</v>
      </c>
      <c r="I1619" s="11" t="s">
        <v>69</v>
      </c>
      <c r="J1619" s="11" t="s">
        <v>112</v>
      </c>
      <c r="K1619" s="11" t="s">
        <v>113</v>
      </c>
      <c r="L1619" s="11" t="s">
        <v>82</v>
      </c>
      <c r="M1619" s="11" t="s">
        <v>157</v>
      </c>
      <c r="N1619" s="11" t="s">
        <v>123</v>
      </c>
      <c r="O1619" s="11" t="s">
        <v>60</v>
      </c>
      <c r="P1619" s="11" t="s">
        <v>106</v>
      </c>
      <c r="Q1619" s="13" t="n">
        <f aca="false">F1619*H1619</f>
        <v>52336680</v>
      </c>
      <c r="R1619" s="13" t="n">
        <f aca="false">G1619*H1619</f>
        <v>37950000</v>
      </c>
      <c r="S1619" s="13" t="n">
        <f aca="false">Q1619-R1619</f>
        <v>14386680</v>
      </c>
      <c r="T1619" s="14" t="n">
        <f aca="false">IFERROR(S1619/Q1619,0)</f>
        <v>0.274887134606169</v>
      </c>
      <c r="U1619" s="15" t="str">
        <f aca="false">TEXT(A1619,"yyyy-mm")</f>
        <v>2022-08</v>
      </c>
    </row>
    <row r="1620" customFormat="false" ht="15" hidden="false" customHeight="false" outlineLevel="0" collapsed="false">
      <c r="A1620" s="10" t="n">
        <v>44803</v>
      </c>
      <c r="B1620" s="11" t="s">
        <v>1752</v>
      </c>
      <c r="C1620" s="11" t="s">
        <v>111</v>
      </c>
      <c r="D1620" s="11" t="s">
        <v>67</v>
      </c>
      <c r="E1620" s="11" t="s">
        <v>79</v>
      </c>
      <c r="F1620" s="12" t="n">
        <v>3545808</v>
      </c>
      <c r="G1620" s="12" t="n">
        <v>3350000</v>
      </c>
      <c r="H1620" s="11" t="n">
        <v>8</v>
      </c>
      <c r="I1620" s="11" t="s">
        <v>86</v>
      </c>
      <c r="J1620" s="11" t="s">
        <v>87</v>
      </c>
      <c r="K1620" s="11" t="s">
        <v>88</v>
      </c>
      <c r="L1620" s="11" t="s">
        <v>89</v>
      </c>
      <c r="M1620" s="11" t="s">
        <v>90</v>
      </c>
      <c r="N1620" s="11" t="s">
        <v>149</v>
      </c>
      <c r="O1620" s="11" t="s">
        <v>150</v>
      </c>
      <c r="P1620" s="11" t="s">
        <v>151</v>
      </c>
      <c r="Q1620" s="13" t="n">
        <f aca="false">F1620*H1620</f>
        <v>28366464</v>
      </c>
      <c r="R1620" s="13" t="n">
        <f aca="false">G1620*H1620</f>
        <v>26800000</v>
      </c>
      <c r="S1620" s="13" t="n">
        <f aca="false">Q1620-R1620</f>
        <v>1566464</v>
      </c>
      <c r="T1620" s="14" t="n">
        <f aca="false">IFERROR(S1620/Q1620,0)</f>
        <v>0.0552223921881839</v>
      </c>
      <c r="U1620" s="15" t="str">
        <f aca="false">TEXT(A1620,"yyyy-mm")</f>
        <v>2022-08</v>
      </c>
    </row>
    <row r="1621" customFormat="false" ht="15" hidden="false" customHeight="false" outlineLevel="0" collapsed="false">
      <c r="A1621" s="10" t="n">
        <v>44804</v>
      </c>
      <c r="B1621" s="11" t="s">
        <v>1753</v>
      </c>
      <c r="C1621" s="11" t="s">
        <v>115</v>
      </c>
      <c r="D1621" s="11" t="s">
        <v>67</v>
      </c>
      <c r="E1621" s="11" t="s">
        <v>98</v>
      </c>
      <c r="F1621" s="12" t="n">
        <v>4200743</v>
      </c>
      <c r="G1621" s="12" t="n">
        <v>4101000</v>
      </c>
      <c r="H1621" s="11" t="n">
        <v>15</v>
      </c>
      <c r="I1621" s="11" t="s">
        <v>69</v>
      </c>
      <c r="J1621" s="11" t="s">
        <v>80</v>
      </c>
      <c r="K1621" s="11" t="s">
        <v>81</v>
      </c>
      <c r="L1621" s="11" t="s">
        <v>82</v>
      </c>
      <c r="M1621" s="11" t="s">
        <v>73</v>
      </c>
      <c r="N1621" s="11" t="s">
        <v>93</v>
      </c>
      <c r="O1621" s="11" t="s">
        <v>94</v>
      </c>
      <c r="P1621" s="11" t="s">
        <v>95</v>
      </c>
      <c r="Q1621" s="13" t="n">
        <f aca="false">F1621*H1621</f>
        <v>63011145</v>
      </c>
      <c r="R1621" s="13" t="n">
        <f aca="false">G1621*H1621</f>
        <v>61515000</v>
      </c>
      <c r="S1621" s="13" t="n">
        <f aca="false">Q1621-R1621</f>
        <v>1496145</v>
      </c>
      <c r="T1621" s="14" t="n">
        <f aca="false">IFERROR(S1621/Q1621,0)</f>
        <v>0.023744132883159</v>
      </c>
      <c r="U1621" s="15" t="str">
        <f aca="false">TEXT(A1621,"yyyy-mm")</f>
        <v>2022-08</v>
      </c>
    </row>
    <row r="1622" customFormat="false" ht="15" hidden="false" customHeight="false" outlineLevel="0" collapsed="false">
      <c r="A1622" s="10" t="n">
        <v>44805</v>
      </c>
      <c r="B1622" s="11" t="s">
        <v>1754</v>
      </c>
      <c r="C1622" s="11" t="s">
        <v>117</v>
      </c>
      <c r="D1622" s="11" t="s">
        <v>118</v>
      </c>
      <c r="E1622" s="11" t="s">
        <v>119</v>
      </c>
      <c r="F1622" s="12" t="n">
        <v>8220549</v>
      </c>
      <c r="G1622" s="12" t="n">
        <v>6500000</v>
      </c>
      <c r="H1622" s="11" t="n">
        <v>22</v>
      </c>
      <c r="I1622" s="11" t="s">
        <v>86</v>
      </c>
      <c r="J1622" s="11" t="s">
        <v>87</v>
      </c>
      <c r="K1622" s="11" t="s">
        <v>88</v>
      </c>
      <c r="L1622" s="11" t="s">
        <v>89</v>
      </c>
      <c r="M1622" s="11" t="s">
        <v>90</v>
      </c>
      <c r="N1622" s="11" t="s">
        <v>104</v>
      </c>
      <c r="O1622" s="11" t="s">
        <v>105</v>
      </c>
      <c r="P1622" s="11" t="s">
        <v>106</v>
      </c>
      <c r="Q1622" s="13" t="n">
        <f aca="false">F1622*H1622</f>
        <v>180852078</v>
      </c>
      <c r="R1622" s="13" t="n">
        <f aca="false">G1622*H1622</f>
        <v>143000000</v>
      </c>
      <c r="S1622" s="13" t="n">
        <f aca="false">Q1622-R1622</f>
        <v>37852078</v>
      </c>
      <c r="T1622" s="14" t="n">
        <f aca="false">IFERROR(S1622/Q1622,0)</f>
        <v>0.209298551714733</v>
      </c>
      <c r="U1622" s="15" t="str">
        <f aca="false">TEXT(A1622,"yyyy-mm")</f>
        <v>2022-09</v>
      </c>
    </row>
    <row r="1623" customFormat="false" ht="15" hidden="false" customHeight="false" outlineLevel="0" collapsed="false">
      <c r="A1623" s="10" t="n">
        <v>44805</v>
      </c>
      <c r="B1623" s="11" t="s">
        <v>1755</v>
      </c>
      <c r="C1623" s="11" t="s">
        <v>121</v>
      </c>
      <c r="D1623" s="11" t="s">
        <v>118</v>
      </c>
      <c r="E1623" s="11" t="s">
        <v>122</v>
      </c>
      <c r="F1623" s="12" t="n">
        <v>7687274</v>
      </c>
      <c r="G1623" s="12" t="n">
        <v>6500000</v>
      </c>
      <c r="H1623" s="11" t="n">
        <v>4</v>
      </c>
      <c r="I1623" s="11" t="s">
        <v>69</v>
      </c>
      <c r="J1623" s="11" t="s">
        <v>80</v>
      </c>
      <c r="K1623" s="11" t="s">
        <v>81</v>
      </c>
      <c r="L1623" s="11" t="s">
        <v>82</v>
      </c>
      <c r="M1623" s="11" t="s">
        <v>73</v>
      </c>
      <c r="N1623" s="11" t="s">
        <v>143</v>
      </c>
      <c r="O1623" s="11" t="s">
        <v>144</v>
      </c>
      <c r="P1623" s="11" t="s">
        <v>101</v>
      </c>
      <c r="Q1623" s="13" t="n">
        <f aca="false">F1623*H1623</f>
        <v>30749096</v>
      </c>
      <c r="R1623" s="13" t="n">
        <f aca="false">G1623*H1623</f>
        <v>26000000</v>
      </c>
      <c r="S1623" s="13" t="n">
        <f aca="false">Q1623-R1623</f>
        <v>4749096</v>
      </c>
      <c r="T1623" s="14" t="n">
        <f aca="false">IFERROR(S1623/Q1623,0)</f>
        <v>0.154446686822923</v>
      </c>
      <c r="U1623" s="15" t="str">
        <f aca="false">TEXT(A1623,"yyyy-mm")</f>
        <v>2022-09</v>
      </c>
    </row>
    <row r="1624" customFormat="false" ht="15" hidden="false" customHeight="false" outlineLevel="0" collapsed="false">
      <c r="A1624" s="10" t="n">
        <v>44806</v>
      </c>
      <c r="B1624" s="11" t="s">
        <v>1756</v>
      </c>
      <c r="C1624" s="11" t="s">
        <v>125</v>
      </c>
      <c r="D1624" s="11" t="s">
        <v>118</v>
      </c>
      <c r="E1624" s="11" t="s">
        <v>126</v>
      </c>
      <c r="F1624" s="12" t="n">
        <v>5684211</v>
      </c>
      <c r="G1624" s="12" t="n">
        <v>4300000</v>
      </c>
      <c r="H1624" s="11" t="n">
        <v>6</v>
      </c>
      <c r="I1624" s="11" t="s">
        <v>69</v>
      </c>
      <c r="J1624" s="11" t="s">
        <v>80</v>
      </c>
      <c r="K1624" s="11" t="s">
        <v>81</v>
      </c>
      <c r="L1624" s="11" t="s">
        <v>82</v>
      </c>
      <c r="M1624" s="11" t="s">
        <v>73</v>
      </c>
      <c r="N1624" s="11" t="s">
        <v>133</v>
      </c>
      <c r="O1624" s="11" t="s">
        <v>60</v>
      </c>
      <c r="P1624" s="11" t="s">
        <v>76</v>
      </c>
      <c r="Q1624" s="13" t="n">
        <f aca="false">F1624*H1624</f>
        <v>34105266</v>
      </c>
      <c r="R1624" s="13" t="n">
        <f aca="false">G1624*H1624</f>
        <v>25800000</v>
      </c>
      <c r="S1624" s="13" t="n">
        <f aca="false">Q1624-R1624</f>
        <v>8305266</v>
      </c>
      <c r="T1624" s="14" t="n">
        <f aca="false">IFERROR(S1624/Q1624,0)</f>
        <v>0.243518581558637</v>
      </c>
      <c r="U1624" s="15" t="str">
        <f aca="false">TEXT(A1624,"yyyy-mm")</f>
        <v>2022-09</v>
      </c>
    </row>
    <row r="1625" customFormat="false" ht="15" hidden="false" customHeight="false" outlineLevel="0" collapsed="false">
      <c r="A1625" s="10" t="n">
        <v>44806</v>
      </c>
      <c r="B1625" s="11" t="s">
        <v>1757</v>
      </c>
      <c r="C1625" s="11" t="s">
        <v>128</v>
      </c>
      <c r="D1625" s="11" t="s">
        <v>118</v>
      </c>
      <c r="E1625" s="11" t="s">
        <v>119</v>
      </c>
      <c r="F1625" s="12" t="n">
        <v>3370302</v>
      </c>
      <c r="G1625" s="12" t="n">
        <v>2100000</v>
      </c>
      <c r="H1625" s="11" t="n">
        <v>6</v>
      </c>
      <c r="I1625" s="11" t="s">
        <v>69</v>
      </c>
      <c r="J1625" s="11" t="s">
        <v>80</v>
      </c>
      <c r="K1625" s="11" t="s">
        <v>81</v>
      </c>
      <c r="L1625" s="11" t="s">
        <v>82</v>
      </c>
      <c r="M1625" s="11" t="s">
        <v>73</v>
      </c>
      <c r="N1625" s="11" t="s">
        <v>74</v>
      </c>
      <c r="O1625" s="11" t="s">
        <v>75</v>
      </c>
      <c r="P1625" s="11" t="s">
        <v>76</v>
      </c>
      <c r="Q1625" s="13" t="n">
        <f aca="false">F1625*H1625</f>
        <v>20221812</v>
      </c>
      <c r="R1625" s="13" t="n">
        <f aca="false">G1625*H1625</f>
        <v>12600000</v>
      </c>
      <c r="S1625" s="13" t="n">
        <f aca="false">Q1625-R1625</f>
        <v>7621812</v>
      </c>
      <c r="T1625" s="14" t="n">
        <f aca="false">IFERROR(S1625/Q1625,0)</f>
        <v>0.37691043710623</v>
      </c>
      <c r="U1625" s="15" t="str">
        <f aca="false">TEXT(A1625,"yyyy-mm")</f>
        <v>2022-09</v>
      </c>
    </row>
    <row r="1626" customFormat="false" ht="15" hidden="false" customHeight="false" outlineLevel="0" collapsed="false">
      <c r="A1626" s="10" t="n">
        <v>44807</v>
      </c>
      <c r="B1626" s="11" t="s">
        <v>1758</v>
      </c>
      <c r="C1626" s="11" t="s">
        <v>130</v>
      </c>
      <c r="D1626" s="11" t="s">
        <v>118</v>
      </c>
      <c r="E1626" s="11" t="s">
        <v>68</v>
      </c>
      <c r="F1626" s="12" t="n">
        <v>2852897</v>
      </c>
      <c r="G1626" s="12" t="n">
        <v>2450000</v>
      </c>
      <c r="H1626" s="11" t="n">
        <v>14</v>
      </c>
      <c r="I1626" s="11" t="s">
        <v>69</v>
      </c>
      <c r="J1626" s="11" t="s">
        <v>112</v>
      </c>
      <c r="K1626" s="11" t="s">
        <v>113</v>
      </c>
      <c r="L1626" s="11" t="s">
        <v>82</v>
      </c>
      <c r="M1626" s="11" t="s">
        <v>157</v>
      </c>
      <c r="N1626" s="11" t="s">
        <v>93</v>
      </c>
      <c r="O1626" s="11" t="s">
        <v>94</v>
      </c>
      <c r="P1626" s="11" t="s">
        <v>95</v>
      </c>
      <c r="Q1626" s="13" t="n">
        <f aca="false">F1626*H1626</f>
        <v>39940558</v>
      </c>
      <c r="R1626" s="13" t="n">
        <f aca="false">G1626*H1626</f>
        <v>34300000</v>
      </c>
      <c r="S1626" s="13" t="n">
        <f aca="false">Q1626-R1626</f>
        <v>5640558</v>
      </c>
      <c r="T1626" s="14" t="n">
        <f aca="false">IFERROR(S1626/Q1626,0)</f>
        <v>0.141223815651249</v>
      </c>
      <c r="U1626" s="15" t="str">
        <f aca="false">TEXT(A1626,"yyyy-mm")</f>
        <v>2022-09</v>
      </c>
    </row>
    <row r="1627" customFormat="false" ht="15" hidden="false" customHeight="false" outlineLevel="0" collapsed="false">
      <c r="A1627" s="10" t="n">
        <v>44807</v>
      </c>
      <c r="B1627" s="11" t="s">
        <v>1759</v>
      </c>
      <c r="C1627" s="11" t="s">
        <v>132</v>
      </c>
      <c r="D1627" s="11" t="s">
        <v>118</v>
      </c>
      <c r="E1627" s="11" t="s">
        <v>68</v>
      </c>
      <c r="F1627" s="12" t="n">
        <v>4803603</v>
      </c>
      <c r="G1627" s="12" t="n">
        <v>4121000</v>
      </c>
      <c r="H1627" s="11" t="n">
        <v>9</v>
      </c>
      <c r="I1627" s="11" t="s">
        <v>69</v>
      </c>
      <c r="J1627" s="11" t="s">
        <v>80</v>
      </c>
      <c r="K1627" s="11" t="s">
        <v>81</v>
      </c>
      <c r="L1627" s="11" t="s">
        <v>82</v>
      </c>
      <c r="M1627" s="11" t="s">
        <v>73</v>
      </c>
      <c r="N1627" s="11" t="s">
        <v>143</v>
      </c>
      <c r="O1627" s="11" t="s">
        <v>144</v>
      </c>
      <c r="P1627" s="11" t="s">
        <v>101</v>
      </c>
      <c r="Q1627" s="13" t="n">
        <f aca="false">F1627*H1627</f>
        <v>43232427</v>
      </c>
      <c r="R1627" s="13" t="n">
        <f aca="false">G1627*H1627</f>
        <v>37089000</v>
      </c>
      <c r="S1627" s="13" t="n">
        <f aca="false">Q1627-R1627</f>
        <v>6143427</v>
      </c>
      <c r="T1627" s="14" t="n">
        <f aca="false">IFERROR(S1627/Q1627,0)</f>
        <v>0.142102292799801</v>
      </c>
      <c r="U1627" s="15" t="str">
        <f aca="false">TEXT(A1627,"yyyy-mm")</f>
        <v>2022-09</v>
      </c>
    </row>
    <row r="1628" customFormat="false" ht="15" hidden="false" customHeight="false" outlineLevel="0" collapsed="false">
      <c r="A1628" s="10" t="n">
        <v>44807</v>
      </c>
      <c r="B1628" s="11" t="s">
        <v>1760</v>
      </c>
      <c r="C1628" s="11" t="s">
        <v>135</v>
      </c>
      <c r="D1628" s="11" t="s">
        <v>118</v>
      </c>
      <c r="E1628" s="11" t="s">
        <v>68</v>
      </c>
      <c r="F1628" s="12" t="n">
        <v>5689947</v>
      </c>
      <c r="G1628" s="12" t="n">
        <v>5235000</v>
      </c>
      <c r="H1628" s="11" t="n">
        <v>10</v>
      </c>
      <c r="I1628" s="11" t="s">
        <v>69</v>
      </c>
      <c r="J1628" s="11" t="s">
        <v>80</v>
      </c>
      <c r="K1628" s="11" t="s">
        <v>81</v>
      </c>
      <c r="L1628" s="11" t="s">
        <v>82</v>
      </c>
      <c r="M1628" s="11" t="s">
        <v>73</v>
      </c>
      <c r="N1628" s="11" t="s">
        <v>74</v>
      </c>
      <c r="O1628" s="11" t="s">
        <v>75</v>
      </c>
      <c r="P1628" s="11" t="s">
        <v>76</v>
      </c>
      <c r="Q1628" s="13" t="n">
        <f aca="false">F1628*H1628</f>
        <v>56899470</v>
      </c>
      <c r="R1628" s="13" t="n">
        <f aca="false">G1628*H1628</f>
        <v>52350000</v>
      </c>
      <c r="S1628" s="13" t="n">
        <f aca="false">Q1628-R1628</f>
        <v>4549470</v>
      </c>
      <c r="T1628" s="14" t="n">
        <f aca="false">IFERROR(S1628/Q1628,0)</f>
        <v>0.0799562807878527</v>
      </c>
      <c r="U1628" s="15" t="str">
        <f aca="false">TEXT(A1628,"yyyy-mm")</f>
        <v>2022-09</v>
      </c>
    </row>
    <row r="1629" customFormat="false" ht="15" hidden="false" customHeight="false" outlineLevel="0" collapsed="false">
      <c r="A1629" s="10" t="n">
        <v>44808</v>
      </c>
      <c r="B1629" s="11" t="s">
        <v>1761</v>
      </c>
      <c r="C1629" s="11" t="s">
        <v>137</v>
      </c>
      <c r="D1629" s="11" t="s">
        <v>138</v>
      </c>
      <c r="E1629" s="11" t="s">
        <v>139</v>
      </c>
      <c r="F1629" s="12" t="n">
        <v>5171827</v>
      </c>
      <c r="G1629" s="12" t="n">
        <v>4890000</v>
      </c>
      <c r="H1629" s="11" t="n">
        <v>10</v>
      </c>
      <c r="I1629" s="11" t="s">
        <v>69</v>
      </c>
      <c r="J1629" s="11" t="s">
        <v>80</v>
      </c>
      <c r="K1629" s="11" t="s">
        <v>81</v>
      </c>
      <c r="L1629" s="11" t="s">
        <v>82</v>
      </c>
      <c r="M1629" s="11" t="s">
        <v>73</v>
      </c>
      <c r="N1629" s="11" t="s">
        <v>149</v>
      </c>
      <c r="O1629" s="11" t="s">
        <v>150</v>
      </c>
      <c r="P1629" s="11" t="s">
        <v>151</v>
      </c>
      <c r="Q1629" s="13" t="n">
        <f aca="false">F1629*H1629</f>
        <v>51718270</v>
      </c>
      <c r="R1629" s="13" t="n">
        <f aca="false">G1629*H1629</f>
        <v>48900000</v>
      </c>
      <c r="S1629" s="13" t="n">
        <f aca="false">Q1629-R1629</f>
        <v>2818270</v>
      </c>
      <c r="T1629" s="14" t="n">
        <f aca="false">IFERROR(S1629/Q1629,0)</f>
        <v>0.0544927353525166</v>
      </c>
      <c r="U1629" s="15" t="str">
        <f aca="false">TEXT(A1629,"yyyy-mm")</f>
        <v>2022-09</v>
      </c>
    </row>
    <row r="1630" customFormat="false" ht="15" hidden="false" customHeight="false" outlineLevel="0" collapsed="false">
      <c r="A1630" s="10" t="n">
        <v>44808</v>
      </c>
      <c r="B1630" s="11" t="s">
        <v>1762</v>
      </c>
      <c r="C1630" s="11" t="s">
        <v>141</v>
      </c>
      <c r="D1630" s="11" t="s">
        <v>138</v>
      </c>
      <c r="E1630" s="11" t="s">
        <v>142</v>
      </c>
      <c r="F1630" s="12" t="n">
        <v>2805124</v>
      </c>
      <c r="G1630" s="12" t="n">
        <v>2178000</v>
      </c>
      <c r="H1630" s="11" t="n">
        <v>7</v>
      </c>
      <c r="I1630" s="11" t="s">
        <v>86</v>
      </c>
      <c r="J1630" s="11" t="s">
        <v>87</v>
      </c>
      <c r="K1630" s="11" t="s">
        <v>88</v>
      </c>
      <c r="L1630" s="11" t="s">
        <v>89</v>
      </c>
      <c r="M1630" s="11" t="s">
        <v>90</v>
      </c>
      <c r="N1630" s="11" t="s">
        <v>133</v>
      </c>
      <c r="O1630" s="11" t="s">
        <v>60</v>
      </c>
      <c r="P1630" s="11" t="s">
        <v>76</v>
      </c>
      <c r="Q1630" s="13" t="n">
        <f aca="false">F1630*H1630</f>
        <v>19635868</v>
      </c>
      <c r="R1630" s="13" t="n">
        <f aca="false">G1630*H1630</f>
        <v>15246000</v>
      </c>
      <c r="S1630" s="13" t="n">
        <f aca="false">Q1630-R1630</f>
        <v>4389868</v>
      </c>
      <c r="T1630" s="14" t="n">
        <f aca="false">IFERROR(S1630/Q1630,0)</f>
        <v>0.22356373550688</v>
      </c>
      <c r="U1630" s="15" t="str">
        <f aca="false">TEXT(A1630,"yyyy-mm")</f>
        <v>2022-09</v>
      </c>
    </row>
    <row r="1631" customFormat="false" ht="15" hidden="false" customHeight="false" outlineLevel="0" collapsed="false">
      <c r="A1631" s="10" t="n">
        <v>44808</v>
      </c>
      <c r="B1631" s="11" t="s">
        <v>1763</v>
      </c>
      <c r="C1631" s="11" t="s">
        <v>146</v>
      </c>
      <c r="D1631" s="11" t="s">
        <v>138</v>
      </c>
      <c r="E1631" s="11" t="s">
        <v>139</v>
      </c>
      <c r="F1631" s="12" t="n">
        <v>2728100</v>
      </c>
      <c r="G1631" s="12" t="n">
        <v>2321000</v>
      </c>
      <c r="H1631" s="11" t="n">
        <v>18</v>
      </c>
      <c r="I1631" s="11" t="s">
        <v>86</v>
      </c>
      <c r="J1631" s="11" t="s">
        <v>87</v>
      </c>
      <c r="K1631" s="11" t="s">
        <v>88</v>
      </c>
      <c r="L1631" s="11" t="s">
        <v>89</v>
      </c>
      <c r="M1631" s="11" t="s">
        <v>90</v>
      </c>
      <c r="N1631" s="11" t="s">
        <v>104</v>
      </c>
      <c r="O1631" s="11" t="s">
        <v>105</v>
      </c>
      <c r="P1631" s="11" t="s">
        <v>106</v>
      </c>
      <c r="Q1631" s="13" t="n">
        <f aca="false">F1631*H1631</f>
        <v>49105800</v>
      </c>
      <c r="R1631" s="13" t="n">
        <f aca="false">G1631*H1631</f>
        <v>41778000</v>
      </c>
      <c r="S1631" s="13" t="n">
        <f aca="false">Q1631-R1631</f>
        <v>7327800</v>
      </c>
      <c r="T1631" s="14" t="n">
        <f aca="false">IFERROR(S1631/Q1631,0)</f>
        <v>0.149224735163667</v>
      </c>
      <c r="U1631" s="15" t="str">
        <f aca="false">TEXT(A1631,"yyyy-mm")</f>
        <v>2022-09</v>
      </c>
    </row>
    <row r="1632" customFormat="false" ht="15" hidden="false" customHeight="false" outlineLevel="0" collapsed="false">
      <c r="A1632" s="10" t="n">
        <v>44808</v>
      </c>
      <c r="B1632" s="11" t="s">
        <v>1764</v>
      </c>
      <c r="C1632" s="11" t="s">
        <v>148</v>
      </c>
      <c r="D1632" s="11" t="s">
        <v>138</v>
      </c>
      <c r="E1632" s="11" t="s">
        <v>122</v>
      </c>
      <c r="F1632" s="12" t="n">
        <v>4941716</v>
      </c>
      <c r="G1632" s="12" t="n">
        <v>4456000</v>
      </c>
      <c r="H1632" s="11" t="n">
        <v>21</v>
      </c>
      <c r="I1632" s="11" t="s">
        <v>86</v>
      </c>
      <c r="J1632" s="11" t="s">
        <v>87</v>
      </c>
      <c r="K1632" s="11" t="s">
        <v>88</v>
      </c>
      <c r="L1632" s="11" t="s">
        <v>89</v>
      </c>
      <c r="M1632" s="11" t="s">
        <v>90</v>
      </c>
      <c r="N1632" s="11" t="s">
        <v>133</v>
      </c>
      <c r="O1632" s="11" t="s">
        <v>60</v>
      </c>
      <c r="P1632" s="11" t="s">
        <v>76</v>
      </c>
      <c r="Q1632" s="13" t="n">
        <f aca="false">F1632*H1632</f>
        <v>103776036</v>
      </c>
      <c r="R1632" s="13" t="n">
        <f aca="false">G1632*H1632</f>
        <v>93576000</v>
      </c>
      <c r="S1632" s="13" t="n">
        <f aca="false">Q1632-R1632</f>
        <v>10200036</v>
      </c>
      <c r="T1632" s="14" t="n">
        <f aca="false">IFERROR(S1632/Q1632,0)</f>
        <v>0.0982889344511097</v>
      </c>
      <c r="U1632" s="15" t="str">
        <f aca="false">TEXT(A1632,"yyyy-mm")</f>
        <v>2022-09</v>
      </c>
    </row>
    <row r="1633" customFormat="false" ht="15" hidden="false" customHeight="false" outlineLevel="0" collapsed="false">
      <c r="A1633" s="10" t="n">
        <v>44809</v>
      </c>
      <c r="B1633" s="11" t="s">
        <v>1765</v>
      </c>
      <c r="C1633" s="11" t="s">
        <v>66</v>
      </c>
      <c r="D1633" s="11" t="s">
        <v>67</v>
      </c>
      <c r="E1633" s="11" t="s">
        <v>68</v>
      </c>
      <c r="F1633" s="12" t="n">
        <v>3048952</v>
      </c>
      <c r="G1633" s="12" t="n">
        <v>2560000</v>
      </c>
      <c r="H1633" s="11" t="n">
        <v>3</v>
      </c>
      <c r="I1633" s="11" t="s">
        <v>69</v>
      </c>
      <c r="J1633" s="11" t="s">
        <v>70</v>
      </c>
      <c r="K1633" s="11" t="s">
        <v>71</v>
      </c>
      <c r="L1633" s="11" t="s">
        <v>72</v>
      </c>
      <c r="M1633" s="11" t="s">
        <v>73</v>
      </c>
      <c r="N1633" s="11" t="s">
        <v>133</v>
      </c>
      <c r="O1633" s="11" t="s">
        <v>60</v>
      </c>
      <c r="P1633" s="11" t="s">
        <v>76</v>
      </c>
      <c r="Q1633" s="13" t="n">
        <f aca="false">F1633*H1633</f>
        <v>9146856</v>
      </c>
      <c r="R1633" s="13" t="n">
        <f aca="false">G1633*H1633</f>
        <v>7680000</v>
      </c>
      <c r="S1633" s="13" t="n">
        <f aca="false">Q1633-R1633</f>
        <v>1466856</v>
      </c>
      <c r="T1633" s="14" t="n">
        <f aca="false">IFERROR(S1633/Q1633,0)</f>
        <v>0.160367234380863</v>
      </c>
      <c r="U1633" s="15" t="str">
        <f aca="false">TEXT(A1633,"yyyy-mm")</f>
        <v>2022-09</v>
      </c>
    </row>
    <row r="1634" customFormat="false" ht="15" hidden="false" customHeight="false" outlineLevel="0" collapsed="false">
      <c r="A1634" s="10" t="n">
        <v>44809</v>
      </c>
      <c r="B1634" s="11" t="s">
        <v>1766</v>
      </c>
      <c r="C1634" s="11" t="s">
        <v>78</v>
      </c>
      <c r="D1634" s="11" t="s">
        <v>67</v>
      </c>
      <c r="E1634" s="11" t="s">
        <v>79</v>
      </c>
      <c r="F1634" s="12" t="n">
        <v>1870000</v>
      </c>
      <c r="G1634" s="12" t="n">
        <v>1650000</v>
      </c>
      <c r="H1634" s="11" t="n">
        <v>23</v>
      </c>
      <c r="I1634" s="11" t="s">
        <v>69</v>
      </c>
      <c r="J1634" s="11" t="s">
        <v>112</v>
      </c>
      <c r="K1634" s="11" t="s">
        <v>113</v>
      </c>
      <c r="L1634" s="11" t="s">
        <v>82</v>
      </c>
      <c r="M1634" s="11" t="s">
        <v>157</v>
      </c>
      <c r="N1634" s="11" t="s">
        <v>74</v>
      </c>
      <c r="O1634" s="11" t="s">
        <v>75</v>
      </c>
      <c r="P1634" s="11" t="s">
        <v>76</v>
      </c>
      <c r="Q1634" s="13" t="n">
        <f aca="false">F1634*H1634</f>
        <v>43010000</v>
      </c>
      <c r="R1634" s="13" t="n">
        <f aca="false">G1634*H1634</f>
        <v>37950000</v>
      </c>
      <c r="S1634" s="13" t="n">
        <f aca="false">Q1634-R1634</f>
        <v>5060000</v>
      </c>
      <c r="T1634" s="14" t="n">
        <f aca="false">IFERROR(S1634/Q1634,0)</f>
        <v>0.117647058823529</v>
      </c>
      <c r="U1634" s="15" t="str">
        <f aca="false">TEXT(A1634,"yyyy-mm")</f>
        <v>2022-09</v>
      </c>
    </row>
    <row r="1635" customFormat="false" ht="15" hidden="false" customHeight="false" outlineLevel="0" collapsed="false">
      <c r="A1635" s="10" t="n">
        <v>44809</v>
      </c>
      <c r="B1635" s="11" t="s">
        <v>1767</v>
      </c>
      <c r="C1635" s="11" t="s">
        <v>84</v>
      </c>
      <c r="D1635" s="11" t="s">
        <v>67</v>
      </c>
      <c r="E1635" s="11" t="s">
        <v>85</v>
      </c>
      <c r="F1635" s="12" t="n">
        <v>2600000</v>
      </c>
      <c r="G1635" s="12" t="n">
        <v>2300000</v>
      </c>
      <c r="H1635" s="11" t="n">
        <v>13</v>
      </c>
      <c r="I1635" s="11" t="s">
        <v>69</v>
      </c>
      <c r="J1635" s="11" t="s">
        <v>112</v>
      </c>
      <c r="K1635" s="11" t="s">
        <v>113</v>
      </c>
      <c r="L1635" s="11" t="s">
        <v>82</v>
      </c>
      <c r="M1635" s="11" t="s">
        <v>157</v>
      </c>
      <c r="N1635" s="11" t="s">
        <v>123</v>
      </c>
      <c r="O1635" s="11" t="s">
        <v>60</v>
      </c>
      <c r="P1635" s="11" t="s">
        <v>106</v>
      </c>
      <c r="Q1635" s="13" t="n">
        <f aca="false">F1635*H1635</f>
        <v>33800000</v>
      </c>
      <c r="R1635" s="13" t="n">
        <f aca="false">G1635*H1635</f>
        <v>29900000</v>
      </c>
      <c r="S1635" s="13" t="n">
        <f aca="false">Q1635-R1635</f>
        <v>3900000</v>
      </c>
      <c r="T1635" s="14" t="n">
        <f aca="false">IFERROR(S1635/Q1635,0)</f>
        <v>0.115384615384615</v>
      </c>
      <c r="U1635" s="15" t="str">
        <f aca="false">TEXT(A1635,"yyyy-mm")</f>
        <v>2022-09</v>
      </c>
    </row>
    <row r="1636" customFormat="false" ht="15" hidden="false" customHeight="false" outlineLevel="0" collapsed="false">
      <c r="A1636" s="10" t="n">
        <v>44809</v>
      </c>
      <c r="B1636" s="11" t="s">
        <v>1768</v>
      </c>
      <c r="C1636" s="11" t="s">
        <v>92</v>
      </c>
      <c r="D1636" s="11" t="s">
        <v>67</v>
      </c>
      <c r="E1636" s="11" t="s">
        <v>79</v>
      </c>
      <c r="F1636" s="12" t="n">
        <v>3577480</v>
      </c>
      <c r="G1636" s="12" t="n">
        <v>3100000</v>
      </c>
      <c r="H1636" s="11" t="n">
        <v>21</v>
      </c>
      <c r="I1636" s="11" t="s">
        <v>69</v>
      </c>
      <c r="J1636" s="11" t="s">
        <v>80</v>
      </c>
      <c r="K1636" s="11" t="s">
        <v>81</v>
      </c>
      <c r="L1636" s="11" t="s">
        <v>82</v>
      </c>
      <c r="M1636" s="11" t="s">
        <v>73</v>
      </c>
      <c r="N1636" s="11" t="s">
        <v>149</v>
      </c>
      <c r="O1636" s="11" t="s">
        <v>150</v>
      </c>
      <c r="P1636" s="11" t="s">
        <v>151</v>
      </c>
      <c r="Q1636" s="13" t="n">
        <f aca="false">F1636*H1636</f>
        <v>75127080</v>
      </c>
      <c r="R1636" s="13" t="n">
        <f aca="false">G1636*H1636</f>
        <v>65100000</v>
      </c>
      <c r="S1636" s="13" t="n">
        <f aca="false">Q1636-R1636</f>
        <v>10027080</v>
      </c>
      <c r="T1636" s="14" t="n">
        <f aca="false">IFERROR(S1636/Q1636,0)</f>
        <v>0.133468251394837</v>
      </c>
      <c r="U1636" s="15" t="str">
        <f aca="false">TEXT(A1636,"yyyy-mm")</f>
        <v>2022-09</v>
      </c>
    </row>
    <row r="1637" customFormat="false" ht="15" hidden="false" customHeight="false" outlineLevel="0" collapsed="false">
      <c r="A1637" s="10" t="n">
        <v>44810</v>
      </c>
      <c r="B1637" s="11" t="s">
        <v>1769</v>
      </c>
      <c r="C1637" s="11" t="s">
        <v>97</v>
      </c>
      <c r="D1637" s="11" t="s">
        <v>67</v>
      </c>
      <c r="E1637" s="11" t="s">
        <v>98</v>
      </c>
      <c r="F1637" s="12" t="n">
        <v>4969724</v>
      </c>
      <c r="G1637" s="12" t="n">
        <v>4121560</v>
      </c>
      <c r="H1637" s="11" t="n">
        <v>12</v>
      </c>
      <c r="I1637" s="11" t="s">
        <v>69</v>
      </c>
      <c r="J1637" s="11" t="s">
        <v>80</v>
      </c>
      <c r="K1637" s="11" t="s">
        <v>81</v>
      </c>
      <c r="L1637" s="11" t="s">
        <v>82</v>
      </c>
      <c r="M1637" s="11" t="s">
        <v>73</v>
      </c>
      <c r="N1637" s="11" t="s">
        <v>74</v>
      </c>
      <c r="O1637" s="11" t="s">
        <v>75</v>
      </c>
      <c r="P1637" s="11" t="s">
        <v>76</v>
      </c>
      <c r="Q1637" s="13" t="n">
        <f aca="false">F1637*H1637</f>
        <v>59636688</v>
      </c>
      <c r="R1637" s="13" t="n">
        <f aca="false">G1637*H1637</f>
        <v>49458720</v>
      </c>
      <c r="S1637" s="13" t="n">
        <f aca="false">Q1637-R1637</f>
        <v>10177968</v>
      </c>
      <c r="T1637" s="14" t="n">
        <f aca="false">IFERROR(S1637/Q1637,0)</f>
        <v>0.170666218083741</v>
      </c>
      <c r="U1637" s="15" t="str">
        <f aca="false">TEXT(A1637,"yyyy-mm")</f>
        <v>2022-09</v>
      </c>
    </row>
    <row r="1638" customFormat="false" ht="15" hidden="false" customHeight="false" outlineLevel="0" collapsed="false">
      <c r="A1638" s="10" t="n">
        <v>44811</v>
      </c>
      <c r="B1638" s="11" t="s">
        <v>1770</v>
      </c>
      <c r="C1638" s="11" t="s">
        <v>103</v>
      </c>
      <c r="D1638" s="11" t="s">
        <v>67</v>
      </c>
      <c r="E1638" s="11" t="s">
        <v>68</v>
      </c>
      <c r="F1638" s="12" t="n">
        <v>3319925</v>
      </c>
      <c r="G1638" s="12" t="n">
        <v>2800000</v>
      </c>
      <c r="H1638" s="11" t="n">
        <v>6</v>
      </c>
      <c r="I1638" s="11" t="s">
        <v>69</v>
      </c>
      <c r="J1638" s="11" t="s">
        <v>70</v>
      </c>
      <c r="K1638" s="11" t="s">
        <v>71</v>
      </c>
      <c r="L1638" s="11" t="s">
        <v>72</v>
      </c>
      <c r="M1638" s="11" t="s">
        <v>73</v>
      </c>
      <c r="N1638" s="11" t="s">
        <v>149</v>
      </c>
      <c r="O1638" s="11" t="s">
        <v>150</v>
      </c>
      <c r="P1638" s="11" t="s">
        <v>151</v>
      </c>
      <c r="Q1638" s="13" t="n">
        <f aca="false">F1638*H1638</f>
        <v>19919550</v>
      </c>
      <c r="R1638" s="13" t="n">
        <f aca="false">G1638*H1638</f>
        <v>16800000</v>
      </c>
      <c r="S1638" s="13" t="n">
        <f aca="false">Q1638-R1638</f>
        <v>3119550</v>
      </c>
      <c r="T1638" s="14" t="n">
        <f aca="false">IFERROR(S1638/Q1638,0)</f>
        <v>0.15660745348163</v>
      </c>
      <c r="U1638" s="15" t="str">
        <f aca="false">TEXT(A1638,"yyyy-mm")</f>
        <v>2022-09</v>
      </c>
    </row>
    <row r="1639" customFormat="false" ht="15" hidden="false" customHeight="false" outlineLevel="0" collapsed="false">
      <c r="A1639" s="10" t="n">
        <v>44811</v>
      </c>
      <c r="B1639" s="11" t="s">
        <v>1771</v>
      </c>
      <c r="C1639" s="11" t="s">
        <v>108</v>
      </c>
      <c r="D1639" s="11" t="s">
        <v>67</v>
      </c>
      <c r="E1639" s="11" t="s">
        <v>68</v>
      </c>
      <c r="F1639" s="12" t="n">
        <v>4757880</v>
      </c>
      <c r="G1639" s="12" t="n">
        <v>3450000</v>
      </c>
      <c r="H1639" s="11" t="n">
        <v>12</v>
      </c>
      <c r="I1639" s="11" t="s">
        <v>69</v>
      </c>
      <c r="J1639" s="11" t="s">
        <v>70</v>
      </c>
      <c r="K1639" s="11" t="s">
        <v>71</v>
      </c>
      <c r="L1639" s="11" t="s">
        <v>72</v>
      </c>
      <c r="M1639" s="11" t="s">
        <v>73</v>
      </c>
      <c r="N1639" s="11" t="s">
        <v>74</v>
      </c>
      <c r="O1639" s="11" t="s">
        <v>75</v>
      </c>
      <c r="P1639" s="11" t="s">
        <v>76</v>
      </c>
      <c r="Q1639" s="13" t="n">
        <f aca="false">F1639*H1639</f>
        <v>57094560</v>
      </c>
      <c r="R1639" s="13" t="n">
        <f aca="false">G1639*H1639</f>
        <v>41400000</v>
      </c>
      <c r="S1639" s="13" t="n">
        <f aca="false">Q1639-R1639</f>
        <v>15694560</v>
      </c>
      <c r="T1639" s="14" t="n">
        <f aca="false">IFERROR(S1639/Q1639,0)</f>
        <v>0.274887134606169</v>
      </c>
      <c r="U1639" s="15" t="str">
        <f aca="false">TEXT(A1639,"yyyy-mm")</f>
        <v>2022-09</v>
      </c>
    </row>
    <row r="1640" customFormat="false" ht="15" hidden="false" customHeight="false" outlineLevel="0" collapsed="false">
      <c r="A1640" s="10" t="n">
        <v>44811</v>
      </c>
      <c r="B1640" s="11" t="s">
        <v>1772</v>
      </c>
      <c r="C1640" s="11" t="s">
        <v>111</v>
      </c>
      <c r="D1640" s="11" t="s">
        <v>67</v>
      </c>
      <c r="E1640" s="11" t="s">
        <v>79</v>
      </c>
      <c r="F1640" s="12" t="n">
        <v>3545808</v>
      </c>
      <c r="G1640" s="12" t="n">
        <v>3350000</v>
      </c>
      <c r="H1640" s="11" t="n">
        <v>7</v>
      </c>
      <c r="I1640" s="11" t="s">
        <v>69</v>
      </c>
      <c r="J1640" s="11" t="s">
        <v>70</v>
      </c>
      <c r="K1640" s="11" t="s">
        <v>71</v>
      </c>
      <c r="L1640" s="11" t="s">
        <v>72</v>
      </c>
      <c r="M1640" s="11" t="s">
        <v>73</v>
      </c>
      <c r="N1640" s="11" t="s">
        <v>123</v>
      </c>
      <c r="O1640" s="11" t="s">
        <v>60</v>
      </c>
      <c r="P1640" s="11" t="s">
        <v>106</v>
      </c>
      <c r="Q1640" s="13" t="n">
        <f aca="false">F1640*H1640</f>
        <v>24820656</v>
      </c>
      <c r="R1640" s="13" t="n">
        <f aca="false">G1640*H1640</f>
        <v>23450000</v>
      </c>
      <c r="S1640" s="13" t="n">
        <f aca="false">Q1640-R1640</f>
        <v>1370656</v>
      </c>
      <c r="T1640" s="14" t="n">
        <f aca="false">IFERROR(S1640/Q1640,0)</f>
        <v>0.0552223921881839</v>
      </c>
      <c r="U1640" s="15" t="str">
        <f aca="false">TEXT(A1640,"yyyy-mm")</f>
        <v>2022-09</v>
      </c>
    </row>
    <row r="1641" customFormat="false" ht="15" hidden="false" customHeight="false" outlineLevel="0" collapsed="false">
      <c r="A1641" s="10" t="n">
        <v>44812</v>
      </c>
      <c r="B1641" s="11" t="s">
        <v>1773</v>
      </c>
      <c r="C1641" s="11" t="s">
        <v>115</v>
      </c>
      <c r="D1641" s="11" t="s">
        <v>67</v>
      </c>
      <c r="E1641" s="11" t="s">
        <v>98</v>
      </c>
      <c r="F1641" s="12" t="n">
        <v>4200743</v>
      </c>
      <c r="G1641" s="12" t="n">
        <v>4101000</v>
      </c>
      <c r="H1641" s="11" t="n">
        <v>1</v>
      </c>
      <c r="I1641" s="11" t="s">
        <v>69</v>
      </c>
      <c r="J1641" s="11" t="s">
        <v>80</v>
      </c>
      <c r="K1641" s="11" t="s">
        <v>81</v>
      </c>
      <c r="L1641" s="11" t="s">
        <v>82</v>
      </c>
      <c r="M1641" s="11" t="s">
        <v>73</v>
      </c>
      <c r="N1641" s="11" t="s">
        <v>109</v>
      </c>
      <c r="O1641" s="11" t="s">
        <v>75</v>
      </c>
      <c r="P1641" s="11" t="s">
        <v>95</v>
      </c>
      <c r="Q1641" s="13" t="n">
        <f aca="false">F1641*H1641</f>
        <v>4200743</v>
      </c>
      <c r="R1641" s="13" t="n">
        <f aca="false">G1641*H1641</f>
        <v>4101000</v>
      </c>
      <c r="S1641" s="13" t="n">
        <f aca="false">Q1641-R1641</f>
        <v>99743</v>
      </c>
      <c r="T1641" s="14" t="n">
        <f aca="false">IFERROR(S1641/Q1641,0)</f>
        <v>0.023744132883159</v>
      </c>
      <c r="U1641" s="15" t="str">
        <f aca="false">TEXT(A1641,"yyyy-mm")</f>
        <v>2022-09</v>
      </c>
    </row>
    <row r="1642" customFormat="false" ht="15" hidden="false" customHeight="false" outlineLevel="0" collapsed="false">
      <c r="A1642" s="10" t="n">
        <v>44812</v>
      </c>
      <c r="B1642" s="11" t="s">
        <v>1774</v>
      </c>
      <c r="C1642" s="11" t="s">
        <v>117</v>
      </c>
      <c r="D1642" s="11" t="s">
        <v>118</v>
      </c>
      <c r="E1642" s="11" t="s">
        <v>119</v>
      </c>
      <c r="F1642" s="12" t="n">
        <v>8220549</v>
      </c>
      <c r="G1642" s="12" t="n">
        <v>6500000</v>
      </c>
      <c r="H1642" s="11" t="n">
        <v>6</v>
      </c>
      <c r="I1642" s="11" t="s">
        <v>69</v>
      </c>
      <c r="J1642" s="11" t="s">
        <v>80</v>
      </c>
      <c r="K1642" s="11" t="s">
        <v>81</v>
      </c>
      <c r="L1642" s="11" t="s">
        <v>82</v>
      </c>
      <c r="M1642" s="11" t="s">
        <v>73</v>
      </c>
      <c r="N1642" s="11" t="s">
        <v>173</v>
      </c>
      <c r="O1642" s="11" t="s">
        <v>174</v>
      </c>
      <c r="P1642" s="11" t="s">
        <v>95</v>
      </c>
      <c r="Q1642" s="13" t="n">
        <f aca="false">F1642*H1642</f>
        <v>49323294</v>
      </c>
      <c r="R1642" s="13" t="n">
        <f aca="false">G1642*H1642</f>
        <v>39000000</v>
      </c>
      <c r="S1642" s="13" t="n">
        <f aca="false">Q1642-R1642</f>
        <v>10323294</v>
      </c>
      <c r="T1642" s="14" t="n">
        <f aca="false">IFERROR(S1642/Q1642,0)</f>
        <v>0.209298551714733</v>
      </c>
      <c r="U1642" s="15" t="str">
        <f aca="false">TEXT(A1642,"yyyy-mm")</f>
        <v>2022-09</v>
      </c>
    </row>
    <row r="1643" customFormat="false" ht="15" hidden="false" customHeight="false" outlineLevel="0" collapsed="false">
      <c r="A1643" s="10" t="n">
        <v>44813</v>
      </c>
      <c r="B1643" s="11" t="s">
        <v>1775</v>
      </c>
      <c r="C1643" s="11" t="s">
        <v>121</v>
      </c>
      <c r="D1643" s="11" t="s">
        <v>118</v>
      </c>
      <c r="E1643" s="11" t="s">
        <v>122</v>
      </c>
      <c r="F1643" s="12" t="n">
        <v>7687274</v>
      </c>
      <c r="G1643" s="12" t="n">
        <v>6500000</v>
      </c>
      <c r="H1643" s="11" t="n">
        <v>14</v>
      </c>
      <c r="I1643" s="11" t="s">
        <v>69</v>
      </c>
      <c r="J1643" s="11" t="s">
        <v>70</v>
      </c>
      <c r="K1643" s="11" t="s">
        <v>71</v>
      </c>
      <c r="L1643" s="11" t="s">
        <v>72</v>
      </c>
      <c r="M1643" s="11" t="s">
        <v>73</v>
      </c>
      <c r="N1643" s="11" t="s">
        <v>93</v>
      </c>
      <c r="O1643" s="11" t="s">
        <v>94</v>
      </c>
      <c r="P1643" s="11" t="s">
        <v>95</v>
      </c>
      <c r="Q1643" s="13" t="n">
        <f aca="false">F1643*H1643</f>
        <v>107621836</v>
      </c>
      <c r="R1643" s="13" t="n">
        <f aca="false">G1643*H1643</f>
        <v>91000000</v>
      </c>
      <c r="S1643" s="13" t="n">
        <f aca="false">Q1643-R1643</f>
        <v>16621836</v>
      </c>
      <c r="T1643" s="14" t="n">
        <f aca="false">IFERROR(S1643/Q1643,0)</f>
        <v>0.154446686822923</v>
      </c>
      <c r="U1643" s="15" t="str">
        <f aca="false">TEXT(A1643,"yyyy-mm")</f>
        <v>2022-09</v>
      </c>
    </row>
    <row r="1644" customFormat="false" ht="15" hidden="false" customHeight="false" outlineLevel="0" collapsed="false">
      <c r="A1644" s="10" t="n">
        <v>44813</v>
      </c>
      <c r="B1644" s="11" t="s">
        <v>1776</v>
      </c>
      <c r="C1644" s="11" t="s">
        <v>125</v>
      </c>
      <c r="D1644" s="11" t="s">
        <v>118</v>
      </c>
      <c r="E1644" s="11" t="s">
        <v>126</v>
      </c>
      <c r="F1644" s="12" t="n">
        <v>5684211</v>
      </c>
      <c r="G1644" s="12" t="n">
        <v>4300000</v>
      </c>
      <c r="H1644" s="11" t="n">
        <v>3</v>
      </c>
      <c r="I1644" s="11" t="s">
        <v>69</v>
      </c>
      <c r="J1644" s="11" t="s">
        <v>70</v>
      </c>
      <c r="K1644" s="11" t="s">
        <v>71</v>
      </c>
      <c r="L1644" s="11" t="s">
        <v>72</v>
      </c>
      <c r="M1644" s="11" t="s">
        <v>73</v>
      </c>
      <c r="N1644" s="11" t="s">
        <v>173</v>
      </c>
      <c r="O1644" s="11" t="s">
        <v>174</v>
      </c>
      <c r="P1644" s="11" t="s">
        <v>95</v>
      </c>
      <c r="Q1644" s="13" t="n">
        <f aca="false">F1644*H1644</f>
        <v>17052633</v>
      </c>
      <c r="R1644" s="13" t="n">
        <f aca="false">G1644*H1644</f>
        <v>12900000</v>
      </c>
      <c r="S1644" s="13" t="n">
        <f aca="false">Q1644-R1644</f>
        <v>4152633</v>
      </c>
      <c r="T1644" s="14" t="n">
        <f aca="false">IFERROR(S1644/Q1644,0)</f>
        <v>0.243518581558637</v>
      </c>
      <c r="U1644" s="15" t="str">
        <f aca="false">TEXT(A1644,"yyyy-mm")</f>
        <v>2022-09</v>
      </c>
    </row>
    <row r="1645" customFormat="false" ht="15" hidden="false" customHeight="false" outlineLevel="0" collapsed="false">
      <c r="A1645" s="10" t="n">
        <v>44813</v>
      </c>
      <c r="B1645" s="11" t="s">
        <v>1777</v>
      </c>
      <c r="C1645" s="11" t="s">
        <v>128</v>
      </c>
      <c r="D1645" s="11" t="s">
        <v>118</v>
      </c>
      <c r="E1645" s="11" t="s">
        <v>119</v>
      </c>
      <c r="F1645" s="12" t="n">
        <v>3370302</v>
      </c>
      <c r="G1645" s="12" t="n">
        <v>2100000</v>
      </c>
      <c r="H1645" s="11" t="n">
        <v>26</v>
      </c>
      <c r="I1645" s="11" t="s">
        <v>69</v>
      </c>
      <c r="J1645" s="11" t="s">
        <v>112</v>
      </c>
      <c r="K1645" s="11" t="s">
        <v>113</v>
      </c>
      <c r="L1645" s="11" t="s">
        <v>82</v>
      </c>
      <c r="M1645" s="11" t="s">
        <v>157</v>
      </c>
      <c r="N1645" s="11" t="s">
        <v>143</v>
      </c>
      <c r="O1645" s="11" t="s">
        <v>144</v>
      </c>
      <c r="P1645" s="11" t="s">
        <v>101</v>
      </c>
      <c r="Q1645" s="13" t="n">
        <f aca="false">F1645*H1645</f>
        <v>87627852</v>
      </c>
      <c r="R1645" s="13" t="n">
        <f aca="false">G1645*H1645</f>
        <v>54600000</v>
      </c>
      <c r="S1645" s="13" t="n">
        <f aca="false">Q1645-R1645</f>
        <v>33027852</v>
      </c>
      <c r="T1645" s="14" t="n">
        <f aca="false">IFERROR(S1645/Q1645,0)</f>
        <v>0.37691043710623</v>
      </c>
      <c r="U1645" s="15" t="str">
        <f aca="false">TEXT(A1645,"yyyy-mm")</f>
        <v>2022-09</v>
      </c>
    </row>
    <row r="1646" customFormat="false" ht="15" hidden="false" customHeight="false" outlineLevel="0" collapsed="false">
      <c r="A1646" s="10" t="n">
        <v>44814</v>
      </c>
      <c r="B1646" s="11" t="s">
        <v>1778</v>
      </c>
      <c r="C1646" s="11" t="s">
        <v>130</v>
      </c>
      <c r="D1646" s="11" t="s">
        <v>118</v>
      </c>
      <c r="E1646" s="11" t="s">
        <v>68</v>
      </c>
      <c r="F1646" s="12" t="n">
        <v>2852897</v>
      </c>
      <c r="G1646" s="12" t="n">
        <v>2450000</v>
      </c>
      <c r="H1646" s="11" t="n">
        <v>15</v>
      </c>
      <c r="I1646" s="11" t="s">
        <v>69</v>
      </c>
      <c r="J1646" s="11" t="s">
        <v>70</v>
      </c>
      <c r="K1646" s="11" t="s">
        <v>71</v>
      </c>
      <c r="L1646" s="11" t="s">
        <v>72</v>
      </c>
      <c r="M1646" s="11" t="s">
        <v>73</v>
      </c>
      <c r="N1646" s="11" t="s">
        <v>109</v>
      </c>
      <c r="O1646" s="11" t="s">
        <v>75</v>
      </c>
      <c r="P1646" s="11" t="s">
        <v>95</v>
      </c>
      <c r="Q1646" s="13" t="n">
        <f aca="false">F1646*H1646</f>
        <v>42793455</v>
      </c>
      <c r="R1646" s="13" t="n">
        <f aca="false">G1646*H1646</f>
        <v>36750000</v>
      </c>
      <c r="S1646" s="13" t="n">
        <f aca="false">Q1646-R1646</f>
        <v>6043455</v>
      </c>
      <c r="T1646" s="14" t="n">
        <f aca="false">IFERROR(S1646/Q1646,0)</f>
        <v>0.141223815651249</v>
      </c>
      <c r="U1646" s="15" t="str">
        <f aca="false">TEXT(A1646,"yyyy-mm")</f>
        <v>2022-09</v>
      </c>
    </row>
    <row r="1647" customFormat="false" ht="15" hidden="false" customHeight="false" outlineLevel="0" collapsed="false">
      <c r="A1647" s="10" t="n">
        <v>44814</v>
      </c>
      <c r="B1647" s="11" t="s">
        <v>1779</v>
      </c>
      <c r="C1647" s="11" t="s">
        <v>132</v>
      </c>
      <c r="D1647" s="11" t="s">
        <v>118</v>
      </c>
      <c r="E1647" s="11" t="s">
        <v>68</v>
      </c>
      <c r="F1647" s="12" t="n">
        <v>4803603</v>
      </c>
      <c r="G1647" s="12" t="n">
        <v>4121000</v>
      </c>
      <c r="H1647" s="11" t="n">
        <v>21</v>
      </c>
      <c r="I1647" s="11" t="s">
        <v>69</v>
      </c>
      <c r="J1647" s="11" t="s">
        <v>112</v>
      </c>
      <c r="K1647" s="11" t="s">
        <v>113</v>
      </c>
      <c r="L1647" s="11" t="s">
        <v>82</v>
      </c>
      <c r="M1647" s="11" t="s">
        <v>157</v>
      </c>
      <c r="N1647" s="11" t="s">
        <v>143</v>
      </c>
      <c r="O1647" s="11" t="s">
        <v>144</v>
      </c>
      <c r="P1647" s="11" t="s">
        <v>101</v>
      </c>
      <c r="Q1647" s="13" t="n">
        <f aca="false">F1647*H1647</f>
        <v>100875663</v>
      </c>
      <c r="R1647" s="13" t="n">
        <f aca="false">G1647*H1647</f>
        <v>86541000</v>
      </c>
      <c r="S1647" s="13" t="n">
        <f aca="false">Q1647-R1647</f>
        <v>14334663</v>
      </c>
      <c r="T1647" s="14" t="n">
        <f aca="false">IFERROR(S1647/Q1647,0)</f>
        <v>0.142102292799801</v>
      </c>
      <c r="U1647" s="15" t="str">
        <f aca="false">TEXT(A1647,"yyyy-mm")</f>
        <v>2022-09</v>
      </c>
    </row>
    <row r="1648" customFormat="false" ht="15" hidden="false" customHeight="false" outlineLevel="0" collapsed="false">
      <c r="A1648" s="10" t="n">
        <v>44814</v>
      </c>
      <c r="B1648" s="11" t="s">
        <v>1780</v>
      </c>
      <c r="C1648" s="11" t="s">
        <v>135</v>
      </c>
      <c r="D1648" s="11" t="s">
        <v>118</v>
      </c>
      <c r="E1648" s="11" t="s">
        <v>68</v>
      </c>
      <c r="F1648" s="12" t="n">
        <v>5689947</v>
      </c>
      <c r="G1648" s="12" t="n">
        <v>5235000</v>
      </c>
      <c r="H1648" s="11" t="n">
        <v>16</v>
      </c>
      <c r="I1648" s="11" t="s">
        <v>69</v>
      </c>
      <c r="J1648" s="11" t="s">
        <v>80</v>
      </c>
      <c r="K1648" s="11" t="s">
        <v>81</v>
      </c>
      <c r="L1648" s="11" t="s">
        <v>82</v>
      </c>
      <c r="M1648" s="11" t="s">
        <v>73</v>
      </c>
      <c r="N1648" s="11" t="s">
        <v>143</v>
      </c>
      <c r="O1648" s="11" t="s">
        <v>144</v>
      </c>
      <c r="P1648" s="11" t="s">
        <v>101</v>
      </c>
      <c r="Q1648" s="13" t="n">
        <f aca="false">F1648*H1648</f>
        <v>91039152</v>
      </c>
      <c r="R1648" s="13" t="n">
        <f aca="false">G1648*H1648</f>
        <v>83760000</v>
      </c>
      <c r="S1648" s="13" t="n">
        <f aca="false">Q1648-R1648</f>
        <v>7279152</v>
      </c>
      <c r="T1648" s="14" t="n">
        <f aca="false">IFERROR(S1648/Q1648,0)</f>
        <v>0.0799562807878527</v>
      </c>
      <c r="U1648" s="15" t="str">
        <f aca="false">TEXT(A1648,"yyyy-mm")</f>
        <v>2022-09</v>
      </c>
    </row>
    <row r="1649" customFormat="false" ht="15" hidden="false" customHeight="false" outlineLevel="0" collapsed="false">
      <c r="A1649" s="10" t="n">
        <v>44814</v>
      </c>
      <c r="B1649" s="11" t="s">
        <v>1781</v>
      </c>
      <c r="C1649" s="11" t="s">
        <v>137</v>
      </c>
      <c r="D1649" s="11" t="s">
        <v>138</v>
      </c>
      <c r="E1649" s="11" t="s">
        <v>139</v>
      </c>
      <c r="F1649" s="12" t="n">
        <v>5171827</v>
      </c>
      <c r="G1649" s="12" t="n">
        <v>4890000</v>
      </c>
      <c r="H1649" s="11" t="n">
        <v>11</v>
      </c>
      <c r="I1649" s="11" t="s">
        <v>69</v>
      </c>
      <c r="J1649" s="11" t="s">
        <v>80</v>
      </c>
      <c r="K1649" s="11" t="s">
        <v>81</v>
      </c>
      <c r="L1649" s="11" t="s">
        <v>82</v>
      </c>
      <c r="M1649" s="11" t="s">
        <v>73</v>
      </c>
      <c r="N1649" s="11" t="s">
        <v>99</v>
      </c>
      <c r="O1649" s="11" t="s">
        <v>100</v>
      </c>
      <c r="P1649" s="11" t="s">
        <v>101</v>
      </c>
      <c r="Q1649" s="13" t="n">
        <f aca="false">F1649*H1649</f>
        <v>56890097</v>
      </c>
      <c r="R1649" s="13" t="n">
        <f aca="false">G1649*H1649</f>
        <v>53790000</v>
      </c>
      <c r="S1649" s="13" t="n">
        <f aca="false">Q1649-R1649</f>
        <v>3100097</v>
      </c>
      <c r="T1649" s="14" t="n">
        <f aca="false">IFERROR(S1649/Q1649,0)</f>
        <v>0.0544927353525166</v>
      </c>
      <c r="U1649" s="15" t="str">
        <f aca="false">TEXT(A1649,"yyyy-mm")</f>
        <v>2022-09</v>
      </c>
    </row>
    <row r="1650" customFormat="false" ht="15" hidden="false" customHeight="false" outlineLevel="0" collapsed="false">
      <c r="A1650" s="10" t="n">
        <v>44814</v>
      </c>
      <c r="B1650" s="11" t="s">
        <v>1782</v>
      </c>
      <c r="C1650" s="11" t="s">
        <v>141</v>
      </c>
      <c r="D1650" s="11" t="s">
        <v>138</v>
      </c>
      <c r="E1650" s="11" t="s">
        <v>142</v>
      </c>
      <c r="F1650" s="12" t="n">
        <v>2805124</v>
      </c>
      <c r="G1650" s="12" t="n">
        <v>2178000</v>
      </c>
      <c r="H1650" s="11" t="n">
        <v>15</v>
      </c>
      <c r="I1650" s="11" t="s">
        <v>69</v>
      </c>
      <c r="J1650" s="11" t="s">
        <v>70</v>
      </c>
      <c r="K1650" s="11" t="s">
        <v>71</v>
      </c>
      <c r="L1650" s="11" t="s">
        <v>72</v>
      </c>
      <c r="M1650" s="11" t="s">
        <v>73</v>
      </c>
      <c r="N1650" s="11" t="s">
        <v>93</v>
      </c>
      <c r="O1650" s="11" t="s">
        <v>94</v>
      </c>
      <c r="P1650" s="11" t="s">
        <v>95</v>
      </c>
      <c r="Q1650" s="13" t="n">
        <f aca="false">F1650*H1650</f>
        <v>42076860</v>
      </c>
      <c r="R1650" s="13" t="n">
        <f aca="false">G1650*H1650</f>
        <v>32670000</v>
      </c>
      <c r="S1650" s="13" t="n">
        <f aca="false">Q1650-R1650</f>
        <v>9406860</v>
      </c>
      <c r="T1650" s="14" t="n">
        <f aca="false">IFERROR(S1650/Q1650,0)</f>
        <v>0.22356373550688</v>
      </c>
      <c r="U1650" s="15" t="str">
        <f aca="false">TEXT(A1650,"yyyy-mm")</f>
        <v>2022-09</v>
      </c>
    </row>
    <row r="1651" customFormat="false" ht="15" hidden="false" customHeight="false" outlineLevel="0" collapsed="false">
      <c r="A1651" s="10" t="n">
        <v>44815</v>
      </c>
      <c r="B1651" s="11" t="s">
        <v>1783</v>
      </c>
      <c r="C1651" s="11" t="s">
        <v>146</v>
      </c>
      <c r="D1651" s="11" t="s">
        <v>138</v>
      </c>
      <c r="E1651" s="11" t="s">
        <v>139</v>
      </c>
      <c r="F1651" s="12" t="n">
        <v>2728100</v>
      </c>
      <c r="G1651" s="12" t="n">
        <v>2321000</v>
      </c>
      <c r="H1651" s="11" t="n">
        <v>6</v>
      </c>
      <c r="I1651" s="11" t="s">
        <v>69</v>
      </c>
      <c r="J1651" s="11" t="s">
        <v>70</v>
      </c>
      <c r="K1651" s="11" t="s">
        <v>71</v>
      </c>
      <c r="L1651" s="11" t="s">
        <v>72</v>
      </c>
      <c r="M1651" s="11" t="s">
        <v>73</v>
      </c>
      <c r="N1651" s="11" t="s">
        <v>143</v>
      </c>
      <c r="O1651" s="11" t="s">
        <v>144</v>
      </c>
      <c r="P1651" s="11" t="s">
        <v>101</v>
      </c>
      <c r="Q1651" s="13" t="n">
        <f aca="false">F1651*H1651</f>
        <v>16368600</v>
      </c>
      <c r="R1651" s="13" t="n">
        <f aca="false">G1651*H1651</f>
        <v>13926000</v>
      </c>
      <c r="S1651" s="13" t="n">
        <f aca="false">Q1651-R1651</f>
        <v>2442600</v>
      </c>
      <c r="T1651" s="14" t="n">
        <f aca="false">IFERROR(S1651/Q1651,0)</f>
        <v>0.149224735163667</v>
      </c>
      <c r="U1651" s="15" t="str">
        <f aca="false">TEXT(A1651,"yyyy-mm")</f>
        <v>2022-09</v>
      </c>
    </row>
    <row r="1652" customFormat="false" ht="15" hidden="false" customHeight="false" outlineLevel="0" collapsed="false">
      <c r="A1652" s="10" t="n">
        <v>44815</v>
      </c>
      <c r="B1652" s="11" t="s">
        <v>1784</v>
      </c>
      <c r="C1652" s="11" t="s">
        <v>148</v>
      </c>
      <c r="D1652" s="11" t="s">
        <v>138</v>
      </c>
      <c r="E1652" s="11" t="s">
        <v>122</v>
      </c>
      <c r="F1652" s="12" t="n">
        <v>4941716</v>
      </c>
      <c r="G1652" s="12" t="n">
        <v>4456000</v>
      </c>
      <c r="H1652" s="11" t="n">
        <v>14</v>
      </c>
      <c r="I1652" s="11" t="s">
        <v>69</v>
      </c>
      <c r="J1652" s="11" t="s">
        <v>80</v>
      </c>
      <c r="K1652" s="11" t="s">
        <v>81</v>
      </c>
      <c r="L1652" s="11" t="s">
        <v>82</v>
      </c>
      <c r="M1652" s="11" t="s">
        <v>73</v>
      </c>
      <c r="N1652" s="11" t="s">
        <v>99</v>
      </c>
      <c r="O1652" s="11" t="s">
        <v>100</v>
      </c>
      <c r="P1652" s="11" t="s">
        <v>101</v>
      </c>
      <c r="Q1652" s="13" t="n">
        <f aca="false">F1652*H1652</f>
        <v>69184024</v>
      </c>
      <c r="R1652" s="13" t="n">
        <f aca="false">G1652*H1652</f>
        <v>62384000</v>
      </c>
      <c r="S1652" s="13" t="n">
        <f aca="false">Q1652-R1652</f>
        <v>6800024</v>
      </c>
      <c r="T1652" s="14" t="n">
        <f aca="false">IFERROR(S1652/Q1652,0)</f>
        <v>0.0982889344511097</v>
      </c>
      <c r="U1652" s="15" t="str">
        <f aca="false">TEXT(A1652,"yyyy-mm")</f>
        <v>2022-09</v>
      </c>
    </row>
    <row r="1653" customFormat="false" ht="15" hidden="false" customHeight="false" outlineLevel="0" collapsed="false">
      <c r="A1653" s="10" t="n">
        <v>44815</v>
      </c>
      <c r="B1653" s="11" t="s">
        <v>1785</v>
      </c>
      <c r="C1653" s="11" t="s">
        <v>66</v>
      </c>
      <c r="D1653" s="11" t="s">
        <v>67</v>
      </c>
      <c r="E1653" s="11" t="s">
        <v>68</v>
      </c>
      <c r="F1653" s="12" t="n">
        <v>3048952</v>
      </c>
      <c r="G1653" s="12" t="n">
        <v>2560000</v>
      </c>
      <c r="H1653" s="11" t="n">
        <v>12</v>
      </c>
      <c r="I1653" s="11" t="s">
        <v>69</v>
      </c>
      <c r="J1653" s="11" t="s">
        <v>112</v>
      </c>
      <c r="K1653" s="11" t="s">
        <v>113</v>
      </c>
      <c r="L1653" s="11" t="s">
        <v>82</v>
      </c>
      <c r="M1653" s="11" t="s">
        <v>157</v>
      </c>
      <c r="N1653" s="11" t="s">
        <v>104</v>
      </c>
      <c r="O1653" s="11" t="s">
        <v>105</v>
      </c>
      <c r="P1653" s="11" t="s">
        <v>106</v>
      </c>
      <c r="Q1653" s="13" t="n">
        <f aca="false">F1653*H1653</f>
        <v>36587424</v>
      </c>
      <c r="R1653" s="13" t="n">
        <f aca="false">G1653*H1653</f>
        <v>30720000</v>
      </c>
      <c r="S1653" s="13" t="n">
        <f aca="false">Q1653-R1653</f>
        <v>5867424</v>
      </c>
      <c r="T1653" s="14" t="n">
        <f aca="false">IFERROR(S1653/Q1653,0)</f>
        <v>0.160367234380863</v>
      </c>
      <c r="U1653" s="15" t="str">
        <f aca="false">TEXT(A1653,"yyyy-mm")</f>
        <v>2022-09</v>
      </c>
    </row>
    <row r="1654" customFormat="false" ht="15" hidden="false" customHeight="false" outlineLevel="0" collapsed="false">
      <c r="A1654" s="10" t="n">
        <v>44815</v>
      </c>
      <c r="B1654" s="11" t="s">
        <v>1786</v>
      </c>
      <c r="C1654" s="11" t="s">
        <v>78</v>
      </c>
      <c r="D1654" s="11" t="s">
        <v>67</v>
      </c>
      <c r="E1654" s="11" t="s">
        <v>79</v>
      </c>
      <c r="F1654" s="12" t="n">
        <v>1870000</v>
      </c>
      <c r="G1654" s="12" t="n">
        <v>1650000</v>
      </c>
      <c r="H1654" s="11" t="n">
        <v>12</v>
      </c>
      <c r="I1654" s="11" t="s">
        <v>69</v>
      </c>
      <c r="J1654" s="11" t="s">
        <v>70</v>
      </c>
      <c r="K1654" s="11" t="s">
        <v>71</v>
      </c>
      <c r="L1654" s="11" t="s">
        <v>72</v>
      </c>
      <c r="M1654" s="11" t="s">
        <v>73</v>
      </c>
      <c r="N1654" s="11" t="s">
        <v>149</v>
      </c>
      <c r="O1654" s="11" t="s">
        <v>150</v>
      </c>
      <c r="P1654" s="11" t="s">
        <v>151</v>
      </c>
      <c r="Q1654" s="13" t="n">
        <f aca="false">F1654*H1654</f>
        <v>22440000</v>
      </c>
      <c r="R1654" s="13" t="n">
        <f aca="false">G1654*H1654</f>
        <v>19800000</v>
      </c>
      <c r="S1654" s="13" t="n">
        <f aca="false">Q1654-R1654</f>
        <v>2640000</v>
      </c>
      <c r="T1654" s="14" t="n">
        <f aca="false">IFERROR(S1654/Q1654,0)</f>
        <v>0.117647058823529</v>
      </c>
      <c r="U1654" s="15" t="str">
        <f aca="false">TEXT(A1654,"yyyy-mm")</f>
        <v>2022-09</v>
      </c>
    </row>
    <row r="1655" customFormat="false" ht="15" hidden="false" customHeight="false" outlineLevel="0" collapsed="false">
      <c r="A1655" s="10" t="n">
        <v>44816</v>
      </c>
      <c r="B1655" s="11" t="s">
        <v>1787</v>
      </c>
      <c r="C1655" s="11" t="s">
        <v>84</v>
      </c>
      <c r="D1655" s="11" t="s">
        <v>67</v>
      </c>
      <c r="E1655" s="11" t="s">
        <v>85</v>
      </c>
      <c r="F1655" s="12" t="n">
        <v>2600000</v>
      </c>
      <c r="G1655" s="12" t="n">
        <v>2300000</v>
      </c>
      <c r="H1655" s="11" t="n">
        <v>2</v>
      </c>
      <c r="I1655" s="11" t="s">
        <v>69</v>
      </c>
      <c r="J1655" s="11" t="s">
        <v>80</v>
      </c>
      <c r="K1655" s="11" t="s">
        <v>81</v>
      </c>
      <c r="L1655" s="11" t="s">
        <v>82</v>
      </c>
      <c r="M1655" s="11" t="s">
        <v>73</v>
      </c>
      <c r="N1655" s="11" t="s">
        <v>123</v>
      </c>
      <c r="O1655" s="11" t="s">
        <v>60</v>
      </c>
      <c r="P1655" s="11" t="s">
        <v>106</v>
      </c>
      <c r="Q1655" s="13" t="n">
        <f aca="false">F1655*H1655</f>
        <v>5200000</v>
      </c>
      <c r="R1655" s="13" t="n">
        <f aca="false">G1655*H1655</f>
        <v>4600000</v>
      </c>
      <c r="S1655" s="13" t="n">
        <f aca="false">Q1655-R1655</f>
        <v>600000</v>
      </c>
      <c r="T1655" s="14" t="n">
        <f aca="false">IFERROR(S1655/Q1655,0)</f>
        <v>0.115384615384615</v>
      </c>
      <c r="U1655" s="15" t="str">
        <f aca="false">TEXT(A1655,"yyyy-mm")</f>
        <v>2022-09</v>
      </c>
    </row>
    <row r="1656" customFormat="false" ht="15" hidden="false" customHeight="false" outlineLevel="0" collapsed="false">
      <c r="A1656" s="10" t="n">
        <v>44816</v>
      </c>
      <c r="B1656" s="11" t="s">
        <v>1788</v>
      </c>
      <c r="C1656" s="11" t="s">
        <v>92</v>
      </c>
      <c r="D1656" s="11" t="s">
        <v>67</v>
      </c>
      <c r="E1656" s="11" t="s">
        <v>79</v>
      </c>
      <c r="F1656" s="12" t="n">
        <v>3577480</v>
      </c>
      <c r="G1656" s="12" t="n">
        <v>3100000</v>
      </c>
      <c r="H1656" s="11" t="n">
        <v>14</v>
      </c>
      <c r="I1656" s="11" t="s">
        <v>69</v>
      </c>
      <c r="J1656" s="11" t="s">
        <v>80</v>
      </c>
      <c r="K1656" s="11" t="s">
        <v>81</v>
      </c>
      <c r="L1656" s="11" t="s">
        <v>82</v>
      </c>
      <c r="M1656" s="11" t="s">
        <v>73</v>
      </c>
      <c r="N1656" s="11" t="s">
        <v>143</v>
      </c>
      <c r="O1656" s="11" t="s">
        <v>144</v>
      </c>
      <c r="P1656" s="11" t="s">
        <v>101</v>
      </c>
      <c r="Q1656" s="13" t="n">
        <f aca="false">F1656*H1656</f>
        <v>50084720</v>
      </c>
      <c r="R1656" s="13" t="n">
        <f aca="false">G1656*H1656</f>
        <v>43400000</v>
      </c>
      <c r="S1656" s="13" t="n">
        <f aca="false">Q1656-R1656</f>
        <v>6684720</v>
      </c>
      <c r="T1656" s="14" t="n">
        <f aca="false">IFERROR(S1656/Q1656,0)</f>
        <v>0.133468251394837</v>
      </c>
      <c r="U1656" s="15" t="str">
        <f aca="false">TEXT(A1656,"yyyy-mm")</f>
        <v>2022-09</v>
      </c>
    </row>
    <row r="1657" customFormat="false" ht="15" hidden="false" customHeight="false" outlineLevel="0" collapsed="false">
      <c r="A1657" s="10" t="n">
        <v>44816</v>
      </c>
      <c r="B1657" s="11" t="s">
        <v>1789</v>
      </c>
      <c r="C1657" s="11" t="s">
        <v>97</v>
      </c>
      <c r="D1657" s="11" t="s">
        <v>67</v>
      </c>
      <c r="E1657" s="11" t="s">
        <v>98</v>
      </c>
      <c r="F1657" s="12" t="n">
        <v>4969724</v>
      </c>
      <c r="G1657" s="12" t="n">
        <v>4121560</v>
      </c>
      <c r="H1657" s="11" t="n">
        <v>18</v>
      </c>
      <c r="I1657" s="11" t="s">
        <v>69</v>
      </c>
      <c r="J1657" s="11" t="s">
        <v>112</v>
      </c>
      <c r="K1657" s="11" t="s">
        <v>113</v>
      </c>
      <c r="L1657" s="11" t="s">
        <v>82</v>
      </c>
      <c r="M1657" s="11" t="s">
        <v>157</v>
      </c>
      <c r="N1657" s="11" t="s">
        <v>93</v>
      </c>
      <c r="O1657" s="11" t="s">
        <v>94</v>
      </c>
      <c r="P1657" s="11" t="s">
        <v>95</v>
      </c>
      <c r="Q1657" s="13" t="n">
        <f aca="false">F1657*H1657</f>
        <v>89455032</v>
      </c>
      <c r="R1657" s="13" t="n">
        <f aca="false">G1657*H1657</f>
        <v>74188080</v>
      </c>
      <c r="S1657" s="13" t="n">
        <f aca="false">Q1657-R1657</f>
        <v>15266952</v>
      </c>
      <c r="T1657" s="14" t="n">
        <f aca="false">IFERROR(S1657/Q1657,0)</f>
        <v>0.170666218083741</v>
      </c>
      <c r="U1657" s="15" t="str">
        <f aca="false">TEXT(A1657,"yyyy-mm")</f>
        <v>2022-09</v>
      </c>
    </row>
    <row r="1658" customFormat="false" ht="15" hidden="false" customHeight="false" outlineLevel="0" collapsed="false">
      <c r="A1658" s="10" t="n">
        <v>44816</v>
      </c>
      <c r="B1658" s="11" t="s">
        <v>1790</v>
      </c>
      <c r="C1658" s="11" t="s">
        <v>103</v>
      </c>
      <c r="D1658" s="11" t="s">
        <v>67</v>
      </c>
      <c r="E1658" s="11" t="s">
        <v>68</v>
      </c>
      <c r="F1658" s="12" t="n">
        <v>3319925</v>
      </c>
      <c r="G1658" s="12" t="n">
        <v>2800000</v>
      </c>
      <c r="H1658" s="11" t="n">
        <v>1</v>
      </c>
      <c r="I1658" s="11" t="s">
        <v>69</v>
      </c>
      <c r="J1658" s="11" t="s">
        <v>80</v>
      </c>
      <c r="K1658" s="11" t="s">
        <v>81</v>
      </c>
      <c r="L1658" s="11" t="s">
        <v>82</v>
      </c>
      <c r="M1658" s="11" t="s">
        <v>73</v>
      </c>
      <c r="N1658" s="11" t="s">
        <v>74</v>
      </c>
      <c r="O1658" s="11" t="s">
        <v>75</v>
      </c>
      <c r="P1658" s="11" t="s">
        <v>76</v>
      </c>
      <c r="Q1658" s="13" t="n">
        <f aca="false">F1658*H1658</f>
        <v>3319925</v>
      </c>
      <c r="R1658" s="13" t="n">
        <f aca="false">G1658*H1658</f>
        <v>2800000</v>
      </c>
      <c r="S1658" s="13" t="n">
        <f aca="false">Q1658-R1658</f>
        <v>519925</v>
      </c>
      <c r="T1658" s="14" t="n">
        <f aca="false">IFERROR(S1658/Q1658,0)</f>
        <v>0.15660745348163</v>
      </c>
      <c r="U1658" s="15" t="str">
        <f aca="false">TEXT(A1658,"yyyy-mm")</f>
        <v>2022-09</v>
      </c>
    </row>
    <row r="1659" customFormat="false" ht="15" hidden="false" customHeight="false" outlineLevel="0" collapsed="false">
      <c r="A1659" s="10" t="n">
        <v>44816</v>
      </c>
      <c r="B1659" s="11" t="s">
        <v>1791</v>
      </c>
      <c r="C1659" s="11" t="s">
        <v>108</v>
      </c>
      <c r="D1659" s="11" t="s">
        <v>67</v>
      </c>
      <c r="E1659" s="11" t="s">
        <v>68</v>
      </c>
      <c r="F1659" s="12" t="n">
        <v>4757880</v>
      </c>
      <c r="G1659" s="12" t="n">
        <v>3450000</v>
      </c>
      <c r="H1659" s="11" t="n">
        <v>13</v>
      </c>
      <c r="I1659" s="11" t="s">
        <v>69</v>
      </c>
      <c r="J1659" s="11" t="s">
        <v>70</v>
      </c>
      <c r="K1659" s="11" t="s">
        <v>71</v>
      </c>
      <c r="L1659" s="11" t="s">
        <v>72</v>
      </c>
      <c r="M1659" s="11" t="s">
        <v>73</v>
      </c>
      <c r="N1659" s="11" t="s">
        <v>74</v>
      </c>
      <c r="O1659" s="11" t="s">
        <v>75</v>
      </c>
      <c r="P1659" s="11" t="s">
        <v>76</v>
      </c>
      <c r="Q1659" s="13" t="n">
        <f aca="false">F1659*H1659</f>
        <v>61852440</v>
      </c>
      <c r="R1659" s="13" t="n">
        <f aca="false">G1659*H1659</f>
        <v>44850000</v>
      </c>
      <c r="S1659" s="13" t="n">
        <f aca="false">Q1659-R1659</f>
        <v>17002440</v>
      </c>
      <c r="T1659" s="14" t="n">
        <f aca="false">IFERROR(S1659/Q1659,0)</f>
        <v>0.274887134606169</v>
      </c>
      <c r="U1659" s="15" t="str">
        <f aca="false">TEXT(A1659,"yyyy-mm")</f>
        <v>2022-09</v>
      </c>
    </row>
    <row r="1660" customFormat="false" ht="15" hidden="false" customHeight="false" outlineLevel="0" collapsed="false">
      <c r="A1660" s="10" t="n">
        <v>44817</v>
      </c>
      <c r="B1660" s="11" t="s">
        <v>1792</v>
      </c>
      <c r="C1660" s="11" t="s">
        <v>111</v>
      </c>
      <c r="D1660" s="11" t="s">
        <v>67</v>
      </c>
      <c r="E1660" s="11" t="s">
        <v>79</v>
      </c>
      <c r="F1660" s="12" t="n">
        <v>3545808</v>
      </c>
      <c r="G1660" s="12" t="n">
        <v>3350000</v>
      </c>
      <c r="H1660" s="11" t="n">
        <v>13</v>
      </c>
      <c r="I1660" s="11" t="s">
        <v>69</v>
      </c>
      <c r="J1660" s="11" t="s">
        <v>80</v>
      </c>
      <c r="K1660" s="11" t="s">
        <v>81</v>
      </c>
      <c r="L1660" s="11" t="s">
        <v>82</v>
      </c>
      <c r="M1660" s="11" t="s">
        <v>73</v>
      </c>
      <c r="N1660" s="11" t="s">
        <v>123</v>
      </c>
      <c r="O1660" s="11" t="s">
        <v>60</v>
      </c>
      <c r="P1660" s="11" t="s">
        <v>106</v>
      </c>
      <c r="Q1660" s="13" t="n">
        <f aca="false">F1660*H1660</f>
        <v>46095504</v>
      </c>
      <c r="R1660" s="13" t="n">
        <f aca="false">G1660*H1660</f>
        <v>43550000</v>
      </c>
      <c r="S1660" s="13" t="n">
        <f aca="false">Q1660-R1660</f>
        <v>2545504</v>
      </c>
      <c r="T1660" s="14" t="n">
        <f aca="false">IFERROR(S1660/Q1660,0)</f>
        <v>0.0552223921881839</v>
      </c>
      <c r="U1660" s="15" t="str">
        <f aca="false">TEXT(A1660,"yyyy-mm")</f>
        <v>2022-09</v>
      </c>
    </row>
    <row r="1661" customFormat="false" ht="15" hidden="false" customHeight="false" outlineLevel="0" collapsed="false">
      <c r="A1661" s="10" t="n">
        <v>44817</v>
      </c>
      <c r="B1661" s="11" t="s">
        <v>1793</v>
      </c>
      <c r="C1661" s="11" t="s">
        <v>115</v>
      </c>
      <c r="D1661" s="11" t="s">
        <v>67</v>
      </c>
      <c r="E1661" s="11" t="s">
        <v>98</v>
      </c>
      <c r="F1661" s="12" t="n">
        <v>4200743</v>
      </c>
      <c r="G1661" s="12" t="n">
        <v>4101000</v>
      </c>
      <c r="H1661" s="11" t="n">
        <v>4</v>
      </c>
      <c r="I1661" s="11" t="s">
        <v>69</v>
      </c>
      <c r="J1661" s="11" t="s">
        <v>80</v>
      </c>
      <c r="K1661" s="11" t="s">
        <v>81</v>
      </c>
      <c r="L1661" s="11" t="s">
        <v>82</v>
      </c>
      <c r="M1661" s="11" t="s">
        <v>73</v>
      </c>
      <c r="N1661" s="11" t="s">
        <v>173</v>
      </c>
      <c r="O1661" s="11" t="s">
        <v>174</v>
      </c>
      <c r="P1661" s="11" t="s">
        <v>95</v>
      </c>
      <c r="Q1661" s="13" t="n">
        <f aca="false">F1661*H1661</f>
        <v>16802972</v>
      </c>
      <c r="R1661" s="13" t="n">
        <f aca="false">G1661*H1661</f>
        <v>16404000</v>
      </c>
      <c r="S1661" s="13" t="n">
        <f aca="false">Q1661-R1661</f>
        <v>398972</v>
      </c>
      <c r="T1661" s="14" t="n">
        <f aca="false">IFERROR(S1661/Q1661,0)</f>
        <v>0.023744132883159</v>
      </c>
      <c r="U1661" s="15" t="str">
        <f aca="false">TEXT(A1661,"yyyy-mm")</f>
        <v>2022-09</v>
      </c>
    </row>
    <row r="1662" customFormat="false" ht="15" hidden="false" customHeight="false" outlineLevel="0" collapsed="false">
      <c r="A1662" s="10" t="n">
        <v>44818</v>
      </c>
      <c r="B1662" s="11" t="s">
        <v>1794</v>
      </c>
      <c r="C1662" s="11" t="s">
        <v>117</v>
      </c>
      <c r="D1662" s="11" t="s">
        <v>118</v>
      </c>
      <c r="E1662" s="11" t="s">
        <v>119</v>
      </c>
      <c r="F1662" s="12" t="n">
        <v>8220549</v>
      </c>
      <c r="G1662" s="12" t="n">
        <v>6500000</v>
      </c>
      <c r="H1662" s="11" t="n">
        <v>24</v>
      </c>
      <c r="I1662" s="11" t="s">
        <v>86</v>
      </c>
      <c r="J1662" s="11" t="s">
        <v>87</v>
      </c>
      <c r="K1662" s="11" t="s">
        <v>88</v>
      </c>
      <c r="L1662" s="11" t="s">
        <v>89</v>
      </c>
      <c r="M1662" s="11" t="s">
        <v>90</v>
      </c>
      <c r="N1662" s="11" t="s">
        <v>104</v>
      </c>
      <c r="O1662" s="11" t="s">
        <v>105</v>
      </c>
      <c r="P1662" s="11" t="s">
        <v>106</v>
      </c>
      <c r="Q1662" s="13" t="n">
        <f aca="false">F1662*H1662</f>
        <v>197293176</v>
      </c>
      <c r="R1662" s="13" t="n">
        <f aca="false">G1662*H1662</f>
        <v>156000000</v>
      </c>
      <c r="S1662" s="13" t="n">
        <f aca="false">Q1662-R1662</f>
        <v>41293176</v>
      </c>
      <c r="T1662" s="14" t="n">
        <f aca="false">IFERROR(S1662/Q1662,0)</f>
        <v>0.209298551714733</v>
      </c>
      <c r="U1662" s="15" t="str">
        <f aca="false">TEXT(A1662,"yyyy-mm")</f>
        <v>2022-09</v>
      </c>
    </row>
    <row r="1663" customFormat="false" ht="15" hidden="false" customHeight="false" outlineLevel="0" collapsed="false">
      <c r="A1663" s="10" t="n">
        <v>44818</v>
      </c>
      <c r="B1663" s="11" t="s">
        <v>1795</v>
      </c>
      <c r="C1663" s="11" t="s">
        <v>121</v>
      </c>
      <c r="D1663" s="11" t="s">
        <v>118</v>
      </c>
      <c r="E1663" s="11" t="s">
        <v>122</v>
      </c>
      <c r="F1663" s="12" t="n">
        <v>7687274</v>
      </c>
      <c r="G1663" s="12" t="n">
        <v>6500000</v>
      </c>
      <c r="H1663" s="11" t="n">
        <v>8</v>
      </c>
      <c r="I1663" s="11" t="s">
        <v>69</v>
      </c>
      <c r="J1663" s="11" t="s">
        <v>70</v>
      </c>
      <c r="K1663" s="11" t="s">
        <v>71</v>
      </c>
      <c r="L1663" s="11" t="s">
        <v>72</v>
      </c>
      <c r="M1663" s="11" t="s">
        <v>73</v>
      </c>
      <c r="N1663" s="11" t="s">
        <v>149</v>
      </c>
      <c r="O1663" s="11" t="s">
        <v>150</v>
      </c>
      <c r="P1663" s="11" t="s">
        <v>151</v>
      </c>
      <c r="Q1663" s="13" t="n">
        <f aca="false">F1663*H1663</f>
        <v>61498192</v>
      </c>
      <c r="R1663" s="13" t="n">
        <f aca="false">G1663*H1663</f>
        <v>52000000</v>
      </c>
      <c r="S1663" s="13" t="n">
        <f aca="false">Q1663-R1663</f>
        <v>9498192</v>
      </c>
      <c r="T1663" s="14" t="n">
        <f aca="false">IFERROR(S1663/Q1663,0)</f>
        <v>0.154446686822923</v>
      </c>
      <c r="U1663" s="15" t="str">
        <f aca="false">TEXT(A1663,"yyyy-mm")</f>
        <v>2022-09</v>
      </c>
    </row>
    <row r="1664" customFormat="false" ht="15" hidden="false" customHeight="false" outlineLevel="0" collapsed="false">
      <c r="A1664" s="10" t="n">
        <v>44819</v>
      </c>
      <c r="B1664" s="11" t="s">
        <v>1796</v>
      </c>
      <c r="C1664" s="11" t="s">
        <v>125</v>
      </c>
      <c r="D1664" s="11" t="s">
        <v>118</v>
      </c>
      <c r="E1664" s="11" t="s">
        <v>126</v>
      </c>
      <c r="F1664" s="12" t="n">
        <v>5684211</v>
      </c>
      <c r="G1664" s="12" t="n">
        <v>4300000</v>
      </c>
      <c r="H1664" s="11" t="n">
        <v>7</v>
      </c>
      <c r="I1664" s="11" t="s">
        <v>69</v>
      </c>
      <c r="J1664" s="11" t="s">
        <v>112</v>
      </c>
      <c r="K1664" s="11" t="s">
        <v>113</v>
      </c>
      <c r="L1664" s="11" t="s">
        <v>82</v>
      </c>
      <c r="M1664" s="11" t="s">
        <v>157</v>
      </c>
      <c r="N1664" s="11" t="s">
        <v>143</v>
      </c>
      <c r="O1664" s="11" t="s">
        <v>144</v>
      </c>
      <c r="P1664" s="11" t="s">
        <v>101</v>
      </c>
      <c r="Q1664" s="13" t="n">
        <f aca="false">F1664*H1664</f>
        <v>39789477</v>
      </c>
      <c r="R1664" s="13" t="n">
        <f aca="false">G1664*H1664</f>
        <v>30100000</v>
      </c>
      <c r="S1664" s="13" t="n">
        <f aca="false">Q1664-R1664</f>
        <v>9689477</v>
      </c>
      <c r="T1664" s="14" t="n">
        <f aca="false">IFERROR(S1664/Q1664,0)</f>
        <v>0.243518581558637</v>
      </c>
      <c r="U1664" s="15" t="str">
        <f aca="false">TEXT(A1664,"yyyy-mm")</f>
        <v>2022-09</v>
      </c>
    </row>
    <row r="1665" customFormat="false" ht="15" hidden="false" customHeight="false" outlineLevel="0" collapsed="false">
      <c r="A1665" s="10" t="n">
        <v>44819</v>
      </c>
      <c r="B1665" s="11" t="s">
        <v>1797</v>
      </c>
      <c r="C1665" s="11" t="s">
        <v>128</v>
      </c>
      <c r="D1665" s="11" t="s">
        <v>118</v>
      </c>
      <c r="E1665" s="11" t="s">
        <v>119</v>
      </c>
      <c r="F1665" s="12" t="n">
        <v>3370302</v>
      </c>
      <c r="G1665" s="12" t="n">
        <v>2100000</v>
      </c>
      <c r="H1665" s="11" t="n">
        <v>30</v>
      </c>
      <c r="I1665" s="11" t="s">
        <v>69</v>
      </c>
      <c r="J1665" s="11" t="s">
        <v>80</v>
      </c>
      <c r="K1665" s="11" t="s">
        <v>81</v>
      </c>
      <c r="L1665" s="11" t="s">
        <v>82</v>
      </c>
      <c r="M1665" s="11" t="s">
        <v>73</v>
      </c>
      <c r="N1665" s="11" t="s">
        <v>143</v>
      </c>
      <c r="O1665" s="11" t="s">
        <v>144</v>
      </c>
      <c r="P1665" s="11" t="s">
        <v>101</v>
      </c>
      <c r="Q1665" s="13" t="n">
        <f aca="false">F1665*H1665</f>
        <v>101109060</v>
      </c>
      <c r="R1665" s="13" t="n">
        <f aca="false">G1665*H1665</f>
        <v>63000000</v>
      </c>
      <c r="S1665" s="13" t="n">
        <f aca="false">Q1665-R1665</f>
        <v>38109060</v>
      </c>
      <c r="T1665" s="14" t="n">
        <f aca="false">IFERROR(S1665/Q1665,0)</f>
        <v>0.37691043710623</v>
      </c>
      <c r="U1665" s="15" t="str">
        <f aca="false">TEXT(A1665,"yyyy-mm")</f>
        <v>2022-09</v>
      </c>
    </row>
    <row r="1666" customFormat="false" ht="15" hidden="false" customHeight="false" outlineLevel="0" collapsed="false">
      <c r="A1666" s="10" t="n">
        <v>44819</v>
      </c>
      <c r="B1666" s="11" t="s">
        <v>1798</v>
      </c>
      <c r="C1666" s="11" t="s">
        <v>130</v>
      </c>
      <c r="D1666" s="11" t="s">
        <v>118</v>
      </c>
      <c r="E1666" s="11" t="s">
        <v>68</v>
      </c>
      <c r="F1666" s="12" t="n">
        <v>2852897</v>
      </c>
      <c r="G1666" s="12" t="n">
        <v>2450000</v>
      </c>
      <c r="H1666" s="11" t="n">
        <v>8</v>
      </c>
      <c r="I1666" s="11" t="s">
        <v>69</v>
      </c>
      <c r="J1666" s="11" t="s">
        <v>80</v>
      </c>
      <c r="K1666" s="11" t="s">
        <v>81</v>
      </c>
      <c r="L1666" s="11" t="s">
        <v>82</v>
      </c>
      <c r="M1666" s="11" t="s">
        <v>73</v>
      </c>
      <c r="N1666" s="11" t="s">
        <v>123</v>
      </c>
      <c r="O1666" s="11" t="s">
        <v>60</v>
      </c>
      <c r="P1666" s="11" t="s">
        <v>106</v>
      </c>
      <c r="Q1666" s="13" t="n">
        <f aca="false">F1666*H1666</f>
        <v>22823176</v>
      </c>
      <c r="R1666" s="13" t="n">
        <f aca="false">G1666*H1666</f>
        <v>19600000</v>
      </c>
      <c r="S1666" s="13" t="n">
        <f aca="false">Q1666-R1666</f>
        <v>3223176</v>
      </c>
      <c r="T1666" s="14" t="n">
        <f aca="false">IFERROR(S1666/Q1666,0)</f>
        <v>0.141223815651249</v>
      </c>
      <c r="U1666" s="15" t="str">
        <f aca="false">TEXT(A1666,"yyyy-mm")</f>
        <v>2022-09</v>
      </c>
    </row>
    <row r="1667" customFormat="false" ht="15" hidden="false" customHeight="false" outlineLevel="0" collapsed="false">
      <c r="A1667" s="10" t="n">
        <v>44820</v>
      </c>
      <c r="B1667" s="11" t="s">
        <v>1799</v>
      </c>
      <c r="C1667" s="11" t="s">
        <v>132</v>
      </c>
      <c r="D1667" s="11" t="s">
        <v>118</v>
      </c>
      <c r="E1667" s="11" t="s">
        <v>68</v>
      </c>
      <c r="F1667" s="12" t="n">
        <v>4803603</v>
      </c>
      <c r="G1667" s="12" t="n">
        <v>4121000</v>
      </c>
      <c r="H1667" s="11" t="n">
        <v>3</v>
      </c>
      <c r="I1667" s="11" t="s">
        <v>69</v>
      </c>
      <c r="J1667" s="11" t="s">
        <v>80</v>
      </c>
      <c r="K1667" s="11" t="s">
        <v>81</v>
      </c>
      <c r="L1667" s="11" t="s">
        <v>82</v>
      </c>
      <c r="M1667" s="11" t="s">
        <v>73</v>
      </c>
      <c r="N1667" s="11" t="s">
        <v>93</v>
      </c>
      <c r="O1667" s="11" t="s">
        <v>94</v>
      </c>
      <c r="P1667" s="11" t="s">
        <v>95</v>
      </c>
      <c r="Q1667" s="13" t="n">
        <f aca="false">F1667*H1667</f>
        <v>14410809</v>
      </c>
      <c r="R1667" s="13" t="n">
        <f aca="false">G1667*H1667</f>
        <v>12363000</v>
      </c>
      <c r="S1667" s="13" t="n">
        <f aca="false">Q1667-R1667</f>
        <v>2047809</v>
      </c>
      <c r="T1667" s="14" t="n">
        <f aca="false">IFERROR(S1667/Q1667,0)</f>
        <v>0.142102292799801</v>
      </c>
      <c r="U1667" s="15" t="str">
        <f aca="false">TEXT(A1667,"yyyy-mm")</f>
        <v>2022-09</v>
      </c>
    </row>
    <row r="1668" customFormat="false" ht="15" hidden="false" customHeight="false" outlineLevel="0" collapsed="false">
      <c r="A1668" s="10" t="n">
        <v>44822</v>
      </c>
      <c r="B1668" s="11" t="s">
        <v>1800</v>
      </c>
      <c r="C1668" s="11" t="s">
        <v>135</v>
      </c>
      <c r="D1668" s="11" t="s">
        <v>118</v>
      </c>
      <c r="E1668" s="11" t="s">
        <v>68</v>
      </c>
      <c r="F1668" s="12" t="n">
        <v>5689947</v>
      </c>
      <c r="G1668" s="12" t="n">
        <v>5235000</v>
      </c>
      <c r="H1668" s="11" t="n">
        <v>14</v>
      </c>
      <c r="I1668" s="11" t="s">
        <v>69</v>
      </c>
      <c r="J1668" s="11" t="s">
        <v>80</v>
      </c>
      <c r="K1668" s="11" t="s">
        <v>81</v>
      </c>
      <c r="L1668" s="11" t="s">
        <v>82</v>
      </c>
      <c r="M1668" s="11" t="s">
        <v>73</v>
      </c>
      <c r="N1668" s="11" t="s">
        <v>74</v>
      </c>
      <c r="O1668" s="11" t="s">
        <v>75</v>
      </c>
      <c r="P1668" s="11" t="s">
        <v>76</v>
      </c>
      <c r="Q1668" s="13" t="n">
        <f aca="false">F1668*H1668</f>
        <v>79659258</v>
      </c>
      <c r="R1668" s="13" t="n">
        <f aca="false">G1668*H1668</f>
        <v>73290000</v>
      </c>
      <c r="S1668" s="13" t="n">
        <f aca="false">Q1668-R1668</f>
        <v>6369258</v>
      </c>
      <c r="T1668" s="14" t="n">
        <f aca="false">IFERROR(S1668/Q1668,0)</f>
        <v>0.0799562807878527</v>
      </c>
      <c r="U1668" s="15" t="str">
        <f aca="false">TEXT(A1668,"yyyy-mm")</f>
        <v>2022-09</v>
      </c>
    </row>
    <row r="1669" customFormat="false" ht="15" hidden="false" customHeight="false" outlineLevel="0" collapsed="false">
      <c r="A1669" s="10" t="n">
        <v>44822</v>
      </c>
      <c r="B1669" s="11" t="s">
        <v>1801</v>
      </c>
      <c r="C1669" s="11" t="s">
        <v>137</v>
      </c>
      <c r="D1669" s="11" t="s">
        <v>138</v>
      </c>
      <c r="E1669" s="11" t="s">
        <v>139</v>
      </c>
      <c r="F1669" s="12" t="n">
        <v>5171827</v>
      </c>
      <c r="G1669" s="12" t="n">
        <v>4890000</v>
      </c>
      <c r="H1669" s="11" t="n">
        <v>6</v>
      </c>
      <c r="I1669" s="11" t="s">
        <v>69</v>
      </c>
      <c r="J1669" s="11" t="s">
        <v>112</v>
      </c>
      <c r="K1669" s="11" t="s">
        <v>113</v>
      </c>
      <c r="L1669" s="11" t="s">
        <v>82</v>
      </c>
      <c r="M1669" s="11" t="s">
        <v>157</v>
      </c>
      <c r="N1669" s="11" t="s">
        <v>93</v>
      </c>
      <c r="O1669" s="11" t="s">
        <v>94</v>
      </c>
      <c r="P1669" s="11" t="s">
        <v>95</v>
      </c>
      <c r="Q1669" s="13" t="n">
        <f aca="false">F1669*H1669</f>
        <v>31030962</v>
      </c>
      <c r="R1669" s="13" t="n">
        <f aca="false">G1669*H1669</f>
        <v>29340000</v>
      </c>
      <c r="S1669" s="13" t="n">
        <f aca="false">Q1669-R1669</f>
        <v>1690962</v>
      </c>
      <c r="T1669" s="14" t="n">
        <f aca="false">IFERROR(S1669/Q1669,0)</f>
        <v>0.0544927353525166</v>
      </c>
      <c r="U1669" s="15" t="str">
        <f aca="false">TEXT(A1669,"yyyy-mm")</f>
        <v>2022-09</v>
      </c>
    </row>
    <row r="1670" customFormat="false" ht="15" hidden="false" customHeight="false" outlineLevel="0" collapsed="false">
      <c r="A1670" s="10" t="n">
        <v>44823</v>
      </c>
      <c r="B1670" s="11" t="s">
        <v>1802</v>
      </c>
      <c r="C1670" s="11" t="s">
        <v>141</v>
      </c>
      <c r="D1670" s="11" t="s">
        <v>138</v>
      </c>
      <c r="E1670" s="11" t="s">
        <v>142</v>
      </c>
      <c r="F1670" s="12" t="n">
        <v>2805124</v>
      </c>
      <c r="G1670" s="12" t="n">
        <v>2178000</v>
      </c>
      <c r="H1670" s="11" t="n">
        <v>18</v>
      </c>
      <c r="I1670" s="11" t="s">
        <v>69</v>
      </c>
      <c r="J1670" s="11" t="s">
        <v>70</v>
      </c>
      <c r="K1670" s="11" t="s">
        <v>71</v>
      </c>
      <c r="L1670" s="11" t="s">
        <v>72</v>
      </c>
      <c r="M1670" s="11" t="s">
        <v>73</v>
      </c>
      <c r="N1670" s="11" t="s">
        <v>99</v>
      </c>
      <c r="O1670" s="11" t="s">
        <v>100</v>
      </c>
      <c r="P1670" s="11" t="s">
        <v>101</v>
      </c>
      <c r="Q1670" s="13" t="n">
        <f aca="false">F1670*H1670</f>
        <v>50492232</v>
      </c>
      <c r="R1670" s="13" t="n">
        <f aca="false">G1670*H1670</f>
        <v>39204000</v>
      </c>
      <c r="S1670" s="13" t="n">
        <f aca="false">Q1670-R1670</f>
        <v>11288232</v>
      </c>
      <c r="T1670" s="14" t="n">
        <f aca="false">IFERROR(S1670/Q1670,0)</f>
        <v>0.22356373550688</v>
      </c>
      <c r="U1670" s="15" t="str">
        <f aca="false">TEXT(A1670,"yyyy-mm")</f>
        <v>2022-09</v>
      </c>
    </row>
    <row r="1671" customFormat="false" ht="15" hidden="false" customHeight="false" outlineLevel="0" collapsed="false">
      <c r="A1671" s="10" t="n">
        <v>44823</v>
      </c>
      <c r="B1671" s="11" t="s">
        <v>1803</v>
      </c>
      <c r="C1671" s="11" t="s">
        <v>146</v>
      </c>
      <c r="D1671" s="11" t="s">
        <v>138</v>
      </c>
      <c r="E1671" s="11" t="s">
        <v>139</v>
      </c>
      <c r="F1671" s="12" t="n">
        <v>2728100</v>
      </c>
      <c r="G1671" s="12" t="n">
        <v>2321000</v>
      </c>
      <c r="H1671" s="11" t="n">
        <v>23</v>
      </c>
      <c r="I1671" s="11" t="s">
        <v>69</v>
      </c>
      <c r="J1671" s="11" t="s">
        <v>70</v>
      </c>
      <c r="K1671" s="11" t="s">
        <v>71</v>
      </c>
      <c r="L1671" s="11" t="s">
        <v>72</v>
      </c>
      <c r="M1671" s="11" t="s">
        <v>73</v>
      </c>
      <c r="N1671" s="11" t="s">
        <v>133</v>
      </c>
      <c r="O1671" s="11" t="s">
        <v>60</v>
      </c>
      <c r="P1671" s="11" t="s">
        <v>76</v>
      </c>
      <c r="Q1671" s="13" t="n">
        <f aca="false">F1671*H1671</f>
        <v>62746300</v>
      </c>
      <c r="R1671" s="13" t="n">
        <f aca="false">G1671*H1671</f>
        <v>53383000</v>
      </c>
      <c r="S1671" s="13" t="n">
        <f aca="false">Q1671-R1671</f>
        <v>9363300</v>
      </c>
      <c r="T1671" s="14" t="n">
        <f aca="false">IFERROR(S1671/Q1671,0)</f>
        <v>0.149224735163667</v>
      </c>
      <c r="U1671" s="15" t="str">
        <f aca="false">TEXT(A1671,"yyyy-mm")</f>
        <v>2022-09</v>
      </c>
    </row>
    <row r="1672" customFormat="false" ht="15" hidden="false" customHeight="false" outlineLevel="0" collapsed="false">
      <c r="A1672" s="10" t="n">
        <v>44823</v>
      </c>
      <c r="B1672" s="11" t="s">
        <v>1804</v>
      </c>
      <c r="C1672" s="11" t="s">
        <v>148</v>
      </c>
      <c r="D1672" s="11" t="s">
        <v>138</v>
      </c>
      <c r="E1672" s="11" t="s">
        <v>122</v>
      </c>
      <c r="F1672" s="12" t="n">
        <v>4941716</v>
      </c>
      <c r="G1672" s="12" t="n">
        <v>4456000</v>
      </c>
      <c r="H1672" s="11" t="n">
        <v>21</v>
      </c>
      <c r="I1672" s="11" t="s">
        <v>86</v>
      </c>
      <c r="J1672" s="11" t="s">
        <v>87</v>
      </c>
      <c r="K1672" s="11" t="s">
        <v>88</v>
      </c>
      <c r="L1672" s="11" t="s">
        <v>89</v>
      </c>
      <c r="M1672" s="11" t="s">
        <v>90</v>
      </c>
      <c r="N1672" s="11" t="s">
        <v>173</v>
      </c>
      <c r="O1672" s="11" t="s">
        <v>174</v>
      </c>
      <c r="P1672" s="11" t="s">
        <v>95</v>
      </c>
      <c r="Q1672" s="13" t="n">
        <f aca="false">F1672*H1672</f>
        <v>103776036</v>
      </c>
      <c r="R1672" s="13" t="n">
        <f aca="false">G1672*H1672</f>
        <v>93576000</v>
      </c>
      <c r="S1672" s="13" t="n">
        <f aca="false">Q1672-R1672</f>
        <v>10200036</v>
      </c>
      <c r="T1672" s="14" t="n">
        <f aca="false">IFERROR(S1672/Q1672,0)</f>
        <v>0.0982889344511097</v>
      </c>
      <c r="U1672" s="15" t="str">
        <f aca="false">TEXT(A1672,"yyyy-mm")</f>
        <v>2022-09</v>
      </c>
    </row>
    <row r="1673" customFormat="false" ht="15" hidden="false" customHeight="false" outlineLevel="0" collapsed="false">
      <c r="A1673" s="10" t="n">
        <v>44823</v>
      </c>
      <c r="B1673" s="11" t="s">
        <v>1805</v>
      </c>
      <c r="C1673" s="11" t="s">
        <v>66</v>
      </c>
      <c r="D1673" s="11" t="s">
        <v>67</v>
      </c>
      <c r="E1673" s="11" t="s">
        <v>68</v>
      </c>
      <c r="F1673" s="12" t="n">
        <v>3048952</v>
      </c>
      <c r="G1673" s="12" t="n">
        <v>2560000</v>
      </c>
      <c r="H1673" s="11" t="n">
        <v>7</v>
      </c>
      <c r="I1673" s="11" t="s">
        <v>69</v>
      </c>
      <c r="J1673" s="11" t="s">
        <v>70</v>
      </c>
      <c r="K1673" s="11" t="s">
        <v>71</v>
      </c>
      <c r="L1673" s="11" t="s">
        <v>72</v>
      </c>
      <c r="M1673" s="11" t="s">
        <v>73</v>
      </c>
      <c r="N1673" s="11" t="s">
        <v>173</v>
      </c>
      <c r="O1673" s="11" t="s">
        <v>174</v>
      </c>
      <c r="P1673" s="11" t="s">
        <v>95</v>
      </c>
      <c r="Q1673" s="13" t="n">
        <f aca="false">F1673*H1673</f>
        <v>21342664</v>
      </c>
      <c r="R1673" s="13" t="n">
        <f aca="false">G1673*H1673</f>
        <v>17920000</v>
      </c>
      <c r="S1673" s="13" t="n">
        <f aca="false">Q1673-R1673</f>
        <v>3422664</v>
      </c>
      <c r="T1673" s="14" t="n">
        <f aca="false">IFERROR(S1673/Q1673,0)</f>
        <v>0.160367234380863</v>
      </c>
      <c r="U1673" s="15" t="str">
        <f aca="false">TEXT(A1673,"yyyy-mm")</f>
        <v>2022-09</v>
      </c>
    </row>
    <row r="1674" customFormat="false" ht="15" hidden="false" customHeight="false" outlineLevel="0" collapsed="false">
      <c r="A1674" s="10" t="n">
        <v>44823</v>
      </c>
      <c r="B1674" s="11" t="s">
        <v>1806</v>
      </c>
      <c r="C1674" s="11" t="s">
        <v>78</v>
      </c>
      <c r="D1674" s="11" t="s">
        <v>67</v>
      </c>
      <c r="E1674" s="11" t="s">
        <v>79</v>
      </c>
      <c r="F1674" s="12" t="n">
        <v>1870000</v>
      </c>
      <c r="G1674" s="12" t="n">
        <v>1650000</v>
      </c>
      <c r="H1674" s="11" t="n">
        <v>22</v>
      </c>
      <c r="I1674" s="11" t="s">
        <v>69</v>
      </c>
      <c r="J1674" s="11" t="s">
        <v>80</v>
      </c>
      <c r="K1674" s="11" t="s">
        <v>81</v>
      </c>
      <c r="L1674" s="11" t="s">
        <v>82</v>
      </c>
      <c r="M1674" s="11" t="s">
        <v>73</v>
      </c>
      <c r="N1674" s="11" t="s">
        <v>173</v>
      </c>
      <c r="O1674" s="11" t="s">
        <v>174</v>
      </c>
      <c r="P1674" s="11" t="s">
        <v>95</v>
      </c>
      <c r="Q1674" s="13" t="n">
        <f aca="false">F1674*H1674</f>
        <v>41140000</v>
      </c>
      <c r="R1674" s="13" t="n">
        <f aca="false">G1674*H1674</f>
        <v>36300000</v>
      </c>
      <c r="S1674" s="13" t="n">
        <f aca="false">Q1674-R1674</f>
        <v>4840000</v>
      </c>
      <c r="T1674" s="14" t="n">
        <f aca="false">IFERROR(S1674/Q1674,0)</f>
        <v>0.117647058823529</v>
      </c>
      <c r="U1674" s="15" t="str">
        <f aca="false">TEXT(A1674,"yyyy-mm")</f>
        <v>2022-09</v>
      </c>
    </row>
    <row r="1675" customFormat="false" ht="15" hidden="false" customHeight="false" outlineLevel="0" collapsed="false">
      <c r="A1675" s="10" t="n">
        <v>44823</v>
      </c>
      <c r="B1675" s="11" t="s">
        <v>1807</v>
      </c>
      <c r="C1675" s="11" t="s">
        <v>84</v>
      </c>
      <c r="D1675" s="11" t="s">
        <v>67</v>
      </c>
      <c r="E1675" s="11" t="s">
        <v>85</v>
      </c>
      <c r="F1675" s="12" t="n">
        <v>2600000</v>
      </c>
      <c r="G1675" s="12" t="n">
        <v>2300000</v>
      </c>
      <c r="H1675" s="11" t="n">
        <v>16</v>
      </c>
      <c r="I1675" s="11" t="s">
        <v>69</v>
      </c>
      <c r="J1675" s="11" t="s">
        <v>80</v>
      </c>
      <c r="K1675" s="11" t="s">
        <v>81</v>
      </c>
      <c r="L1675" s="11" t="s">
        <v>82</v>
      </c>
      <c r="M1675" s="11" t="s">
        <v>73</v>
      </c>
      <c r="N1675" s="11" t="s">
        <v>143</v>
      </c>
      <c r="O1675" s="11" t="s">
        <v>144</v>
      </c>
      <c r="P1675" s="11" t="s">
        <v>101</v>
      </c>
      <c r="Q1675" s="13" t="n">
        <f aca="false">F1675*H1675</f>
        <v>41600000</v>
      </c>
      <c r="R1675" s="13" t="n">
        <f aca="false">G1675*H1675</f>
        <v>36800000</v>
      </c>
      <c r="S1675" s="13" t="n">
        <f aca="false">Q1675-R1675</f>
        <v>4800000</v>
      </c>
      <c r="T1675" s="14" t="n">
        <f aca="false">IFERROR(S1675/Q1675,0)</f>
        <v>0.115384615384615</v>
      </c>
      <c r="U1675" s="15" t="str">
        <f aca="false">TEXT(A1675,"yyyy-mm")</f>
        <v>2022-09</v>
      </c>
    </row>
    <row r="1676" customFormat="false" ht="15" hidden="false" customHeight="false" outlineLevel="0" collapsed="false">
      <c r="A1676" s="10" t="n">
        <v>44823</v>
      </c>
      <c r="B1676" s="11" t="s">
        <v>1808</v>
      </c>
      <c r="C1676" s="11" t="s">
        <v>92</v>
      </c>
      <c r="D1676" s="11" t="s">
        <v>67</v>
      </c>
      <c r="E1676" s="11" t="s">
        <v>79</v>
      </c>
      <c r="F1676" s="12" t="n">
        <v>3577480</v>
      </c>
      <c r="G1676" s="12" t="n">
        <v>3100000</v>
      </c>
      <c r="H1676" s="11" t="n">
        <v>5</v>
      </c>
      <c r="I1676" s="11" t="s">
        <v>69</v>
      </c>
      <c r="J1676" s="11" t="s">
        <v>80</v>
      </c>
      <c r="K1676" s="11" t="s">
        <v>81</v>
      </c>
      <c r="L1676" s="11" t="s">
        <v>82</v>
      </c>
      <c r="M1676" s="11" t="s">
        <v>73</v>
      </c>
      <c r="N1676" s="11" t="s">
        <v>74</v>
      </c>
      <c r="O1676" s="11" t="s">
        <v>75</v>
      </c>
      <c r="P1676" s="11" t="s">
        <v>76</v>
      </c>
      <c r="Q1676" s="13" t="n">
        <f aca="false">F1676*H1676</f>
        <v>17887400</v>
      </c>
      <c r="R1676" s="13" t="n">
        <f aca="false">G1676*H1676</f>
        <v>15500000</v>
      </c>
      <c r="S1676" s="13" t="n">
        <f aca="false">Q1676-R1676</f>
        <v>2387400</v>
      </c>
      <c r="T1676" s="14" t="n">
        <f aca="false">IFERROR(S1676/Q1676,0)</f>
        <v>0.133468251394837</v>
      </c>
      <c r="U1676" s="15" t="str">
        <f aca="false">TEXT(A1676,"yyyy-mm")</f>
        <v>2022-09</v>
      </c>
    </row>
    <row r="1677" customFormat="false" ht="15" hidden="false" customHeight="false" outlineLevel="0" collapsed="false">
      <c r="A1677" s="10" t="n">
        <v>44823</v>
      </c>
      <c r="B1677" s="11" t="s">
        <v>1809</v>
      </c>
      <c r="C1677" s="11" t="s">
        <v>97</v>
      </c>
      <c r="D1677" s="11" t="s">
        <v>67</v>
      </c>
      <c r="E1677" s="11" t="s">
        <v>98</v>
      </c>
      <c r="F1677" s="12" t="n">
        <v>4969724</v>
      </c>
      <c r="G1677" s="12" t="n">
        <v>4121560</v>
      </c>
      <c r="H1677" s="11" t="n">
        <v>7</v>
      </c>
      <c r="I1677" s="11" t="s">
        <v>69</v>
      </c>
      <c r="J1677" s="11" t="s">
        <v>112</v>
      </c>
      <c r="K1677" s="11" t="s">
        <v>113</v>
      </c>
      <c r="L1677" s="11" t="s">
        <v>82</v>
      </c>
      <c r="M1677" s="11" t="s">
        <v>157</v>
      </c>
      <c r="N1677" s="11" t="s">
        <v>173</v>
      </c>
      <c r="O1677" s="11" t="s">
        <v>174</v>
      </c>
      <c r="P1677" s="11" t="s">
        <v>95</v>
      </c>
      <c r="Q1677" s="13" t="n">
        <f aca="false">F1677*H1677</f>
        <v>34788068</v>
      </c>
      <c r="R1677" s="13" t="n">
        <f aca="false">G1677*H1677</f>
        <v>28850920</v>
      </c>
      <c r="S1677" s="13" t="n">
        <f aca="false">Q1677-R1677</f>
        <v>5937148</v>
      </c>
      <c r="T1677" s="14" t="n">
        <f aca="false">IFERROR(S1677/Q1677,0)</f>
        <v>0.170666218083741</v>
      </c>
      <c r="U1677" s="15" t="str">
        <f aca="false">TEXT(A1677,"yyyy-mm")</f>
        <v>2022-09</v>
      </c>
    </row>
    <row r="1678" customFormat="false" ht="15" hidden="false" customHeight="false" outlineLevel="0" collapsed="false">
      <c r="A1678" s="10" t="n">
        <v>44824</v>
      </c>
      <c r="B1678" s="11" t="s">
        <v>1810</v>
      </c>
      <c r="C1678" s="11" t="s">
        <v>103</v>
      </c>
      <c r="D1678" s="11" t="s">
        <v>67</v>
      </c>
      <c r="E1678" s="11" t="s">
        <v>68</v>
      </c>
      <c r="F1678" s="12" t="n">
        <v>3319925</v>
      </c>
      <c r="G1678" s="12" t="n">
        <v>2800000</v>
      </c>
      <c r="H1678" s="11" t="n">
        <v>9</v>
      </c>
      <c r="I1678" s="11" t="s">
        <v>69</v>
      </c>
      <c r="J1678" s="11" t="s">
        <v>80</v>
      </c>
      <c r="K1678" s="11" t="s">
        <v>81</v>
      </c>
      <c r="L1678" s="11" t="s">
        <v>82</v>
      </c>
      <c r="M1678" s="11" t="s">
        <v>73</v>
      </c>
      <c r="N1678" s="11" t="s">
        <v>149</v>
      </c>
      <c r="O1678" s="11" t="s">
        <v>150</v>
      </c>
      <c r="P1678" s="11" t="s">
        <v>151</v>
      </c>
      <c r="Q1678" s="13" t="n">
        <f aca="false">F1678*H1678</f>
        <v>29879325</v>
      </c>
      <c r="R1678" s="13" t="n">
        <f aca="false">G1678*H1678</f>
        <v>25200000</v>
      </c>
      <c r="S1678" s="13" t="n">
        <f aca="false">Q1678-R1678</f>
        <v>4679325</v>
      </c>
      <c r="T1678" s="14" t="n">
        <f aca="false">IFERROR(S1678/Q1678,0)</f>
        <v>0.15660745348163</v>
      </c>
      <c r="U1678" s="15" t="str">
        <f aca="false">TEXT(A1678,"yyyy-mm")</f>
        <v>2022-09</v>
      </c>
    </row>
    <row r="1679" customFormat="false" ht="15" hidden="false" customHeight="false" outlineLevel="0" collapsed="false">
      <c r="A1679" s="10" t="n">
        <v>44825</v>
      </c>
      <c r="B1679" s="11" t="s">
        <v>1811</v>
      </c>
      <c r="C1679" s="11" t="s">
        <v>108</v>
      </c>
      <c r="D1679" s="11" t="s">
        <v>67</v>
      </c>
      <c r="E1679" s="11" t="s">
        <v>68</v>
      </c>
      <c r="F1679" s="12" t="n">
        <v>4757880</v>
      </c>
      <c r="G1679" s="12" t="n">
        <v>3450000</v>
      </c>
      <c r="H1679" s="11" t="n">
        <v>4</v>
      </c>
      <c r="I1679" s="11" t="s">
        <v>69</v>
      </c>
      <c r="J1679" s="11" t="s">
        <v>80</v>
      </c>
      <c r="K1679" s="11" t="s">
        <v>81</v>
      </c>
      <c r="L1679" s="11" t="s">
        <v>82</v>
      </c>
      <c r="M1679" s="11" t="s">
        <v>73</v>
      </c>
      <c r="N1679" s="11" t="s">
        <v>143</v>
      </c>
      <c r="O1679" s="11" t="s">
        <v>144</v>
      </c>
      <c r="P1679" s="11" t="s">
        <v>101</v>
      </c>
      <c r="Q1679" s="13" t="n">
        <f aca="false">F1679*H1679</f>
        <v>19031520</v>
      </c>
      <c r="R1679" s="13" t="n">
        <f aca="false">G1679*H1679</f>
        <v>13800000</v>
      </c>
      <c r="S1679" s="13" t="n">
        <f aca="false">Q1679-R1679</f>
        <v>5231520</v>
      </c>
      <c r="T1679" s="14" t="n">
        <f aca="false">IFERROR(S1679/Q1679,0)</f>
        <v>0.274887134606169</v>
      </c>
      <c r="U1679" s="15" t="str">
        <f aca="false">TEXT(A1679,"yyyy-mm")</f>
        <v>2022-09</v>
      </c>
    </row>
    <row r="1680" customFormat="false" ht="15" hidden="false" customHeight="false" outlineLevel="0" collapsed="false">
      <c r="A1680" s="10" t="n">
        <v>44825</v>
      </c>
      <c r="B1680" s="11" t="s">
        <v>1812</v>
      </c>
      <c r="C1680" s="11" t="s">
        <v>111</v>
      </c>
      <c r="D1680" s="11" t="s">
        <v>67</v>
      </c>
      <c r="E1680" s="11" t="s">
        <v>79</v>
      </c>
      <c r="F1680" s="12" t="n">
        <v>3545808</v>
      </c>
      <c r="G1680" s="12" t="n">
        <v>3350000</v>
      </c>
      <c r="H1680" s="11" t="n">
        <v>10</v>
      </c>
      <c r="I1680" s="11" t="s">
        <v>69</v>
      </c>
      <c r="J1680" s="11" t="s">
        <v>80</v>
      </c>
      <c r="K1680" s="11" t="s">
        <v>81</v>
      </c>
      <c r="L1680" s="11" t="s">
        <v>82</v>
      </c>
      <c r="M1680" s="11" t="s">
        <v>73</v>
      </c>
      <c r="N1680" s="11" t="s">
        <v>74</v>
      </c>
      <c r="O1680" s="11" t="s">
        <v>75</v>
      </c>
      <c r="P1680" s="11" t="s">
        <v>76</v>
      </c>
      <c r="Q1680" s="13" t="n">
        <f aca="false">F1680*H1680</f>
        <v>35458080</v>
      </c>
      <c r="R1680" s="13" t="n">
        <f aca="false">G1680*H1680</f>
        <v>33500000</v>
      </c>
      <c r="S1680" s="13" t="n">
        <f aca="false">Q1680-R1680</f>
        <v>1958080</v>
      </c>
      <c r="T1680" s="14" t="n">
        <f aca="false">IFERROR(S1680/Q1680,0)</f>
        <v>0.0552223921881839</v>
      </c>
      <c r="U1680" s="15" t="str">
        <f aca="false">TEXT(A1680,"yyyy-mm")</f>
        <v>2022-09</v>
      </c>
    </row>
    <row r="1681" customFormat="false" ht="15" hidden="false" customHeight="false" outlineLevel="0" collapsed="false">
      <c r="A1681" s="10" t="n">
        <v>44826</v>
      </c>
      <c r="B1681" s="11" t="s">
        <v>1813</v>
      </c>
      <c r="C1681" s="11" t="s">
        <v>115</v>
      </c>
      <c r="D1681" s="11" t="s">
        <v>67</v>
      </c>
      <c r="E1681" s="11" t="s">
        <v>98</v>
      </c>
      <c r="F1681" s="12" t="n">
        <v>4200743</v>
      </c>
      <c r="G1681" s="12" t="n">
        <v>4101000</v>
      </c>
      <c r="H1681" s="11" t="n">
        <v>10</v>
      </c>
      <c r="I1681" s="11" t="s">
        <v>69</v>
      </c>
      <c r="J1681" s="11" t="s">
        <v>80</v>
      </c>
      <c r="K1681" s="11" t="s">
        <v>81</v>
      </c>
      <c r="L1681" s="11" t="s">
        <v>82</v>
      </c>
      <c r="M1681" s="11" t="s">
        <v>73</v>
      </c>
      <c r="N1681" s="11" t="s">
        <v>99</v>
      </c>
      <c r="O1681" s="11" t="s">
        <v>100</v>
      </c>
      <c r="P1681" s="11" t="s">
        <v>101</v>
      </c>
      <c r="Q1681" s="13" t="n">
        <f aca="false">F1681*H1681</f>
        <v>42007430</v>
      </c>
      <c r="R1681" s="13" t="n">
        <f aca="false">G1681*H1681</f>
        <v>41010000</v>
      </c>
      <c r="S1681" s="13" t="n">
        <f aca="false">Q1681-R1681</f>
        <v>997430</v>
      </c>
      <c r="T1681" s="14" t="n">
        <f aca="false">IFERROR(S1681/Q1681,0)</f>
        <v>0.023744132883159</v>
      </c>
      <c r="U1681" s="15" t="str">
        <f aca="false">TEXT(A1681,"yyyy-mm")</f>
        <v>2022-09</v>
      </c>
    </row>
    <row r="1682" customFormat="false" ht="15" hidden="false" customHeight="false" outlineLevel="0" collapsed="false">
      <c r="A1682" s="10" t="n">
        <v>44826</v>
      </c>
      <c r="B1682" s="11" t="s">
        <v>1814</v>
      </c>
      <c r="C1682" s="11" t="s">
        <v>117</v>
      </c>
      <c r="D1682" s="11" t="s">
        <v>118</v>
      </c>
      <c r="E1682" s="11" t="s">
        <v>119</v>
      </c>
      <c r="F1682" s="12" t="n">
        <v>8220549</v>
      </c>
      <c r="G1682" s="12" t="n">
        <v>6500000</v>
      </c>
      <c r="H1682" s="11" t="n">
        <v>6</v>
      </c>
      <c r="I1682" s="11" t="s">
        <v>69</v>
      </c>
      <c r="J1682" s="11" t="s">
        <v>70</v>
      </c>
      <c r="K1682" s="11" t="s">
        <v>71</v>
      </c>
      <c r="L1682" s="11" t="s">
        <v>72</v>
      </c>
      <c r="M1682" s="11" t="s">
        <v>73</v>
      </c>
      <c r="N1682" s="11" t="s">
        <v>143</v>
      </c>
      <c r="O1682" s="11" t="s">
        <v>144</v>
      </c>
      <c r="P1682" s="11" t="s">
        <v>101</v>
      </c>
      <c r="Q1682" s="13" t="n">
        <f aca="false">F1682*H1682</f>
        <v>49323294</v>
      </c>
      <c r="R1682" s="13" t="n">
        <f aca="false">G1682*H1682</f>
        <v>39000000</v>
      </c>
      <c r="S1682" s="13" t="n">
        <f aca="false">Q1682-R1682</f>
        <v>10323294</v>
      </c>
      <c r="T1682" s="14" t="n">
        <f aca="false">IFERROR(S1682/Q1682,0)</f>
        <v>0.209298551714733</v>
      </c>
      <c r="U1682" s="15" t="str">
        <f aca="false">TEXT(A1682,"yyyy-mm")</f>
        <v>2022-09</v>
      </c>
    </row>
    <row r="1683" customFormat="false" ht="15" hidden="false" customHeight="false" outlineLevel="0" collapsed="false">
      <c r="A1683" s="10" t="n">
        <v>44827</v>
      </c>
      <c r="B1683" s="11" t="s">
        <v>1815</v>
      </c>
      <c r="C1683" s="11" t="s">
        <v>121</v>
      </c>
      <c r="D1683" s="11" t="s">
        <v>118</v>
      </c>
      <c r="E1683" s="11" t="s">
        <v>122</v>
      </c>
      <c r="F1683" s="12" t="n">
        <v>7687274</v>
      </c>
      <c r="G1683" s="12" t="n">
        <v>6500000</v>
      </c>
      <c r="H1683" s="11" t="n">
        <v>8</v>
      </c>
      <c r="I1683" s="11" t="s">
        <v>69</v>
      </c>
      <c r="J1683" s="11" t="s">
        <v>112</v>
      </c>
      <c r="K1683" s="11" t="s">
        <v>113</v>
      </c>
      <c r="L1683" s="11" t="s">
        <v>82</v>
      </c>
      <c r="M1683" s="11" t="s">
        <v>157</v>
      </c>
      <c r="N1683" s="11" t="s">
        <v>109</v>
      </c>
      <c r="O1683" s="11" t="s">
        <v>75</v>
      </c>
      <c r="P1683" s="11" t="s">
        <v>95</v>
      </c>
      <c r="Q1683" s="13" t="n">
        <f aca="false">F1683*H1683</f>
        <v>61498192</v>
      </c>
      <c r="R1683" s="13" t="n">
        <f aca="false">G1683*H1683</f>
        <v>52000000</v>
      </c>
      <c r="S1683" s="13" t="n">
        <f aca="false">Q1683-R1683</f>
        <v>9498192</v>
      </c>
      <c r="T1683" s="14" t="n">
        <f aca="false">IFERROR(S1683/Q1683,0)</f>
        <v>0.154446686822923</v>
      </c>
      <c r="U1683" s="15" t="str">
        <f aca="false">TEXT(A1683,"yyyy-mm")</f>
        <v>2022-09</v>
      </c>
    </row>
    <row r="1684" customFormat="false" ht="15" hidden="false" customHeight="false" outlineLevel="0" collapsed="false">
      <c r="A1684" s="10" t="n">
        <v>44828</v>
      </c>
      <c r="B1684" s="11" t="s">
        <v>1816</v>
      </c>
      <c r="C1684" s="11" t="s">
        <v>125</v>
      </c>
      <c r="D1684" s="11" t="s">
        <v>118</v>
      </c>
      <c r="E1684" s="11" t="s">
        <v>126</v>
      </c>
      <c r="F1684" s="12" t="n">
        <v>5684211</v>
      </c>
      <c r="G1684" s="12" t="n">
        <v>4300000</v>
      </c>
      <c r="H1684" s="11" t="n">
        <v>2</v>
      </c>
      <c r="I1684" s="11" t="s">
        <v>69</v>
      </c>
      <c r="J1684" s="11" t="s">
        <v>80</v>
      </c>
      <c r="K1684" s="11" t="s">
        <v>81</v>
      </c>
      <c r="L1684" s="11" t="s">
        <v>82</v>
      </c>
      <c r="M1684" s="11" t="s">
        <v>73</v>
      </c>
      <c r="N1684" s="11" t="s">
        <v>93</v>
      </c>
      <c r="O1684" s="11" t="s">
        <v>94</v>
      </c>
      <c r="P1684" s="11" t="s">
        <v>95</v>
      </c>
      <c r="Q1684" s="13" t="n">
        <f aca="false">F1684*H1684</f>
        <v>11368422</v>
      </c>
      <c r="R1684" s="13" t="n">
        <f aca="false">G1684*H1684</f>
        <v>8600000</v>
      </c>
      <c r="S1684" s="13" t="n">
        <f aca="false">Q1684-R1684</f>
        <v>2768422</v>
      </c>
      <c r="T1684" s="14" t="n">
        <f aca="false">IFERROR(S1684/Q1684,0)</f>
        <v>0.243518581558637</v>
      </c>
      <c r="U1684" s="15" t="str">
        <f aca="false">TEXT(A1684,"yyyy-mm")</f>
        <v>2022-09</v>
      </c>
    </row>
    <row r="1685" customFormat="false" ht="15" hidden="false" customHeight="false" outlineLevel="0" collapsed="false">
      <c r="A1685" s="10" t="n">
        <v>44828</v>
      </c>
      <c r="B1685" s="11" t="s">
        <v>1817</v>
      </c>
      <c r="C1685" s="11" t="s">
        <v>128</v>
      </c>
      <c r="D1685" s="11" t="s">
        <v>118</v>
      </c>
      <c r="E1685" s="11" t="s">
        <v>119</v>
      </c>
      <c r="F1685" s="12" t="n">
        <v>3370302</v>
      </c>
      <c r="G1685" s="12" t="n">
        <v>2100000</v>
      </c>
      <c r="H1685" s="11" t="n">
        <v>18</v>
      </c>
      <c r="I1685" s="11" t="s">
        <v>69</v>
      </c>
      <c r="J1685" s="11" t="s">
        <v>112</v>
      </c>
      <c r="K1685" s="11" t="s">
        <v>113</v>
      </c>
      <c r="L1685" s="11" t="s">
        <v>82</v>
      </c>
      <c r="M1685" s="11" t="s">
        <v>157</v>
      </c>
      <c r="N1685" s="11" t="s">
        <v>149</v>
      </c>
      <c r="O1685" s="11" t="s">
        <v>150</v>
      </c>
      <c r="P1685" s="11" t="s">
        <v>151</v>
      </c>
      <c r="Q1685" s="13" t="n">
        <f aca="false">F1685*H1685</f>
        <v>60665436</v>
      </c>
      <c r="R1685" s="13" t="n">
        <f aca="false">G1685*H1685</f>
        <v>37800000</v>
      </c>
      <c r="S1685" s="13" t="n">
        <f aca="false">Q1685-R1685</f>
        <v>22865436</v>
      </c>
      <c r="T1685" s="14" t="n">
        <f aca="false">IFERROR(S1685/Q1685,0)</f>
        <v>0.37691043710623</v>
      </c>
      <c r="U1685" s="15" t="str">
        <f aca="false">TEXT(A1685,"yyyy-mm")</f>
        <v>2022-09</v>
      </c>
    </row>
    <row r="1686" customFormat="false" ht="15" hidden="false" customHeight="false" outlineLevel="0" collapsed="false">
      <c r="A1686" s="10" t="n">
        <v>44828</v>
      </c>
      <c r="B1686" s="11" t="s">
        <v>1818</v>
      </c>
      <c r="C1686" s="11" t="s">
        <v>130</v>
      </c>
      <c r="D1686" s="11" t="s">
        <v>118</v>
      </c>
      <c r="E1686" s="11" t="s">
        <v>68</v>
      </c>
      <c r="F1686" s="12" t="n">
        <v>2852897</v>
      </c>
      <c r="G1686" s="12" t="n">
        <v>2450000</v>
      </c>
      <c r="H1686" s="11" t="n">
        <v>8</v>
      </c>
      <c r="I1686" s="11" t="s">
        <v>69</v>
      </c>
      <c r="J1686" s="11" t="s">
        <v>112</v>
      </c>
      <c r="K1686" s="11" t="s">
        <v>113</v>
      </c>
      <c r="L1686" s="11" t="s">
        <v>82</v>
      </c>
      <c r="M1686" s="11" t="s">
        <v>157</v>
      </c>
      <c r="N1686" s="11" t="s">
        <v>104</v>
      </c>
      <c r="O1686" s="11" t="s">
        <v>105</v>
      </c>
      <c r="P1686" s="11" t="s">
        <v>106</v>
      </c>
      <c r="Q1686" s="13" t="n">
        <f aca="false">F1686*H1686</f>
        <v>22823176</v>
      </c>
      <c r="R1686" s="13" t="n">
        <f aca="false">G1686*H1686</f>
        <v>19600000</v>
      </c>
      <c r="S1686" s="13" t="n">
        <f aca="false">Q1686-R1686</f>
        <v>3223176</v>
      </c>
      <c r="T1686" s="14" t="n">
        <f aca="false">IFERROR(S1686/Q1686,0)</f>
        <v>0.141223815651249</v>
      </c>
      <c r="U1686" s="15" t="str">
        <f aca="false">TEXT(A1686,"yyyy-mm")</f>
        <v>2022-09</v>
      </c>
    </row>
    <row r="1687" customFormat="false" ht="15" hidden="false" customHeight="false" outlineLevel="0" collapsed="false">
      <c r="A1687" s="10" t="n">
        <v>44828</v>
      </c>
      <c r="B1687" s="11" t="s">
        <v>1819</v>
      </c>
      <c r="C1687" s="11" t="s">
        <v>132</v>
      </c>
      <c r="D1687" s="11" t="s">
        <v>118</v>
      </c>
      <c r="E1687" s="11" t="s">
        <v>68</v>
      </c>
      <c r="F1687" s="12" t="n">
        <v>4803603</v>
      </c>
      <c r="G1687" s="12" t="n">
        <v>4121000</v>
      </c>
      <c r="H1687" s="11" t="n">
        <v>18</v>
      </c>
      <c r="I1687" s="11" t="s">
        <v>69</v>
      </c>
      <c r="J1687" s="11" t="s">
        <v>80</v>
      </c>
      <c r="K1687" s="11" t="s">
        <v>81</v>
      </c>
      <c r="L1687" s="11" t="s">
        <v>82</v>
      </c>
      <c r="M1687" s="11" t="s">
        <v>73</v>
      </c>
      <c r="N1687" s="11" t="s">
        <v>109</v>
      </c>
      <c r="O1687" s="11" t="s">
        <v>75</v>
      </c>
      <c r="P1687" s="11" t="s">
        <v>95</v>
      </c>
      <c r="Q1687" s="13" t="n">
        <f aca="false">F1687*H1687</f>
        <v>86464854</v>
      </c>
      <c r="R1687" s="13" t="n">
        <f aca="false">G1687*H1687</f>
        <v>74178000</v>
      </c>
      <c r="S1687" s="13" t="n">
        <f aca="false">Q1687-R1687</f>
        <v>12286854</v>
      </c>
      <c r="T1687" s="14" t="n">
        <f aca="false">IFERROR(S1687/Q1687,0)</f>
        <v>0.142102292799801</v>
      </c>
      <c r="U1687" s="15" t="str">
        <f aca="false">TEXT(A1687,"yyyy-mm")</f>
        <v>2022-09</v>
      </c>
    </row>
    <row r="1688" customFormat="false" ht="15" hidden="false" customHeight="false" outlineLevel="0" collapsed="false">
      <c r="A1688" s="10" t="n">
        <v>44829</v>
      </c>
      <c r="B1688" s="11" t="s">
        <v>1820</v>
      </c>
      <c r="C1688" s="11" t="s">
        <v>135</v>
      </c>
      <c r="D1688" s="11" t="s">
        <v>118</v>
      </c>
      <c r="E1688" s="11" t="s">
        <v>68</v>
      </c>
      <c r="F1688" s="12" t="n">
        <v>5689947</v>
      </c>
      <c r="G1688" s="12" t="n">
        <v>5235000</v>
      </c>
      <c r="H1688" s="11" t="n">
        <v>16</v>
      </c>
      <c r="I1688" s="11" t="s">
        <v>69</v>
      </c>
      <c r="J1688" s="11" t="s">
        <v>70</v>
      </c>
      <c r="K1688" s="11" t="s">
        <v>71</v>
      </c>
      <c r="L1688" s="11" t="s">
        <v>72</v>
      </c>
      <c r="M1688" s="11" t="s">
        <v>73</v>
      </c>
      <c r="N1688" s="11" t="s">
        <v>149</v>
      </c>
      <c r="O1688" s="11" t="s">
        <v>150</v>
      </c>
      <c r="P1688" s="11" t="s">
        <v>151</v>
      </c>
      <c r="Q1688" s="13" t="n">
        <f aca="false">F1688*H1688</f>
        <v>91039152</v>
      </c>
      <c r="R1688" s="13" t="n">
        <f aca="false">G1688*H1688</f>
        <v>83760000</v>
      </c>
      <c r="S1688" s="13" t="n">
        <f aca="false">Q1688-R1688</f>
        <v>7279152</v>
      </c>
      <c r="T1688" s="14" t="n">
        <f aca="false">IFERROR(S1688/Q1688,0)</f>
        <v>0.0799562807878527</v>
      </c>
      <c r="U1688" s="15" t="str">
        <f aca="false">TEXT(A1688,"yyyy-mm")</f>
        <v>2022-09</v>
      </c>
    </row>
    <row r="1689" customFormat="false" ht="15" hidden="false" customHeight="false" outlineLevel="0" collapsed="false">
      <c r="A1689" s="10" t="n">
        <v>44829</v>
      </c>
      <c r="B1689" s="11" t="s">
        <v>1821</v>
      </c>
      <c r="C1689" s="11" t="s">
        <v>137</v>
      </c>
      <c r="D1689" s="11" t="s">
        <v>138</v>
      </c>
      <c r="E1689" s="11" t="s">
        <v>139</v>
      </c>
      <c r="F1689" s="12" t="n">
        <v>5171827</v>
      </c>
      <c r="G1689" s="12" t="n">
        <v>4890000</v>
      </c>
      <c r="H1689" s="11" t="n">
        <v>1</v>
      </c>
      <c r="I1689" s="11" t="s">
        <v>69</v>
      </c>
      <c r="J1689" s="11" t="s">
        <v>112</v>
      </c>
      <c r="K1689" s="11" t="s">
        <v>113</v>
      </c>
      <c r="L1689" s="11" t="s">
        <v>82</v>
      </c>
      <c r="M1689" s="11" t="s">
        <v>157</v>
      </c>
      <c r="N1689" s="11" t="s">
        <v>123</v>
      </c>
      <c r="O1689" s="11" t="s">
        <v>60</v>
      </c>
      <c r="P1689" s="11" t="s">
        <v>106</v>
      </c>
      <c r="Q1689" s="13" t="n">
        <f aca="false">F1689*H1689</f>
        <v>5171827</v>
      </c>
      <c r="R1689" s="13" t="n">
        <f aca="false">G1689*H1689</f>
        <v>4890000</v>
      </c>
      <c r="S1689" s="13" t="n">
        <f aca="false">Q1689-R1689</f>
        <v>281827</v>
      </c>
      <c r="T1689" s="14" t="n">
        <f aca="false">IFERROR(S1689/Q1689,0)</f>
        <v>0.0544927353525166</v>
      </c>
      <c r="U1689" s="15" t="str">
        <f aca="false">TEXT(A1689,"yyyy-mm")</f>
        <v>2022-09</v>
      </c>
    </row>
    <row r="1690" customFormat="false" ht="15" hidden="false" customHeight="false" outlineLevel="0" collapsed="false">
      <c r="A1690" s="10" t="n">
        <v>44829</v>
      </c>
      <c r="B1690" s="11" t="s">
        <v>1822</v>
      </c>
      <c r="C1690" s="11" t="s">
        <v>141</v>
      </c>
      <c r="D1690" s="11" t="s">
        <v>138</v>
      </c>
      <c r="E1690" s="11" t="s">
        <v>142</v>
      </c>
      <c r="F1690" s="12" t="n">
        <v>2805124</v>
      </c>
      <c r="G1690" s="12" t="n">
        <v>2178000</v>
      </c>
      <c r="H1690" s="11" t="n">
        <v>5</v>
      </c>
      <c r="I1690" s="11" t="s">
        <v>69</v>
      </c>
      <c r="J1690" s="11" t="s">
        <v>80</v>
      </c>
      <c r="K1690" s="11" t="s">
        <v>81</v>
      </c>
      <c r="L1690" s="11" t="s">
        <v>82</v>
      </c>
      <c r="M1690" s="11" t="s">
        <v>73</v>
      </c>
      <c r="N1690" s="11" t="s">
        <v>123</v>
      </c>
      <c r="O1690" s="11" t="s">
        <v>60</v>
      </c>
      <c r="P1690" s="11" t="s">
        <v>106</v>
      </c>
      <c r="Q1690" s="13" t="n">
        <f aca="false">F1690*H1690</f>
        <v>14025620</v>
      </c>
      <c r="R1690" s="13" t="n">
        <f aca="false">G1690*H1690</f>
        <v>10890000</v>
      </c>
      <c r="S1690" s="13" t="n">
        <f aca="false">Q1690-R1690</f>
        <v>3135620</v>
      </c>
      <c r="T1690" s="14" t="n">
        <f aca="false">IFERROR(S1690/Q1690,0)</f>
        <v>0.22356373550688</v>
      </c>
      <c r="U1690" s="15" t="str">
        <f aca="false">TEXT(A1690,"yyyy-mm")</f>
        <v>2022-09</v>
      </c>
    </row>
    <row r="1691" customFormat="false" ht="15" hidden="false" customHeight="false" outlineLevel="0" collapsed="false">
      <c r="A1691" s="10" t="n">
        <v>44831</v>
      </c>
      <c r="B1691" s="11" t="s">
        <v>1823</v>
      </c>
      <c r="C1691" s="11" t="s">
        <v>146</v>
      </c>
      <c r="D1691" s="11" t="s">
        <v>138</v>
      </c>
      <c r="E1691" s="11" t="s">
        <v>139</v>
      </c>
      <c r="F1691" s="12" t="n">
        <v>2728100</v>
      </c>
      <c r="G1691" s="12" t="n">
        <v>2321000</v>
      </c>
      <c r="H1691" s="11" t="n">
        <v>8</v>
      </c>
      <c r="I1691" s="11" t="s">
        <v>69</v>
      </c>
      <c r="J1691" s="11" t="s">
        <v>80</v>
      </c>
      <c r="K1691" s="11" t="s">
        <v>81</v>
      </c>
      <c r="L1691" s="11" t="s">
        <v>82</v>
      </c>
      <c r="M1691" s="11" t="s">
        <v>73</v>
      </c>
      <c r="N1691" s="11" t="s">
        <v>143</v>
      </c>
      <c r="O1691" s="11" t="s">
        <v>144</v>
      </c>
      <c r="P1691" s="11" t="s">
        <v>101</v>
      </c>
      <c r="Q1691" s="13" t="n">
        <f aca="false">F1691*H1691</f>
        <v>21824800</v>
      </c>
      <c r="R1691" s="13" t="n">
        <f aca="false">G1691*H1691</f>
        <v>18568000</v>
      </c>
      <c r="S1691" s="13" t="n">
        <f aca="false">Q1691-R1691</f>
        <v>3256800</v>
      </c>
      <c r="T1691" s="14" t="n">
        <f aca="false">IFERROR(S1691/Q1691,0)</f>
        <v>0.149224735163667</v>
      </c>
      <c r="U1691" s="15" t="str">
        <f aca="false">TEXT(A1691,"yyyy-mm")</f>
        <v>2022-09</v>
      </c>
    </row>
    <row r="1692" customFormat="false" ht="15" hidden="false" customHeight="false" outlineLevel="0" collapsed="false">
      <c r="A1692" s="10" t="n">
        <v>44832</v>
      </c>
      <c r="B1692" s="11" t="s">
        <v>1824</v>
      </c>
      <c r="C1692" s="11" t="s">
        <v>148</v>
      </c>
      <c r="D1692" s="11" t="s">
        <v>138</v>
      </c>
      <c r="E1692" s="11" t="s">
        <v>122</v>
      </c>
      <c r="F1692" s="12" t="n">
        <v>4941716</v>
      </c>
      <c r="G1692" s="12" t="n">
        <v>4456000</v>
      </c>
      <c r="H1692" s="11" t="n">
        <v>12</v>
      </c>
      <c r="I1692" s="11" t="s">
        <v>69</v>
      </c>
      <c r="J1692" s="11" t="s">
        <v>70</v>
      </c>
      <c r="K1692" s="11" t="s">
        <v>71</v>
      </c>
      <c r="L1692" s="11" t="s">
        <v>72</v>
      </c>
      <c r="M1692" s="11" t="s">
        <v>73</v>
      </c>
      <c r="N1692" s="11" t="s">
        <v>149</v>
      </c>
      <c r="O1692" s="11" t="s">
        <v>150</v>
      </c>
      <c r="P1692" s="11" t="s">
        <v>151</v>
      </c>
      <c r="Q1692" s="13" t="n">
        <f aca="false">F1692*H1692</f>
        <v>59300592</v>
      </c>
      <c r="R1692" s="13" t="n">
        <f aca="false">G1692*H1692</f>
        <v>53472000</v>
      </c>
      <c r="S1692" s="13" t="n">
        <f aca="false">Q1692-R1692</f>
        <v>5828592</v>
      </c>
      <c r="T1692" s="14" t="n">
        <f aca="false">IFERROR(S1692/Q1692,0)</f>
        <v>0.0982889344511097</v>
      </c>
      <c r="U1692" s="15" t="str">
        <f aca="false">TEXT(A1692,"yyyy-mm")</f>
        <v>2022-09</v>
      </c>
    </row>
    <row r="1693" customFormat="false" ht="15" hidden="false" customHeight="false" outlineLevel="0" collapsed="false">
      <c r="A1693" s="10" t="n">
        <v>44833</v>
      </c>
      <c r="B1693" s="11" t="s">
        <v>1825</v>
      </c>
      <c r="C1693" s="11" t="s">
        <v>66</v>
      </c>
      <c r="D1693" s="11" t="s">
        <v>67</v>
      </c>
      <c r="E1693" s="11" t="s">
        <v>68</v>
      </c>
      <c r="F1693" s="12" t="n">
        <v>3048952</v>
      </c>
      <c r="G1693" s="12" t="n">
        <v>2560000</v>
      </c>
      <c r="H1693" s="11" t="n">
        <v>11</v>
      </c>
      <c r="I1693" s="11" t="s">
        <v>69</v>
      </c>
      <c r="J1693" s="11" t="s">
        <v>70</v>
      </c>
      <c r="K1693" s="11" t="s">
        <v>71</v>
      </c>
      <c r="L1693" s="11" t="s">
        <v>72</v>
      </c>
      <c r="M1693" s="11" t="s">
        <v>73</v>
      </c>
      <c r="N1693" s="11" t="s">
        <v>93</v>
      </c>
      <c r="O1693" s="11" t="s">
        <v>94</v>
      </c>
      <c r="P1693" s="11" t="s">
        <v>95</v>
      </c>
      <c r="Q1693" s="13" t="n">
        <f aca="false">F1693*H1693</f>
        <v>33538472</v>
      </c>
      <c r="R1693" s="13" t="n">
        <f aca="false">G1693*H1693</f>
        <v>28160000</v>
      </c>
      <c r="S1693" s="13" t="n">
        <f aca="false">Q1693-R1693</f>
        <v>5378472</v>
      </c>
      <c r="T1693" s="14" t="n">
        <f aca="false">IFERROR(S1693/Q1693,0)</f>
        <v>0.160367234380863</v>
      </c>
      <c r="U1693" s="15" t="str">
        <f aca="false">TEXT(A1693,"yyyy-mm")</f>
        <v>2022-09</v>
      </c>
    </row>
    <row r="1694" customFormat="false" ht="15" hidden="false" customHeight="false" outlineLevel="0" collapsed="false">
      <c r="A1694" s="10" t="n">
        <v>44834</v>
      </c>
      <c r="B1694" s="11" t="s">
        <v>1826</v>
      </c>
      <c r="C1694" s="11" t="s">
        <v>78</v>
      </c>
      <c r="D1694" s="11" t="s">
        <v>67</v>
      </c>
      <c r="E1694" s="11" t="s">
        <v>79</v>
      </c>
      <c r="F1694" s="12" t="n">
        <v>1870000</v>
      </c>
      <c r="G1694" s="12" t="n">
        <v>1650000</v>
      </c>
      <c r="H1694" s="11" t="n">
        <v>24</v>
      </c>
      <c r="I1694" s="11" t="s">
        <v>69</v>
      </c>
      <c r="J1694" s="11" t="s">
        <v>112</v>
      </c>
      <c r="K1694" s="11" t="s">
        <v>113</v>
      </c>
      <c r="L1694" s="11" t="s">
        <v>82</v>
      </c>
      <c r="M1694" s="11" t="s">
        <v>157</v>
      </c>
      <c r="N1694" s="11" t="s">
        <v>149</v>
      </c>
      <c r="O1694" s="11" t="s">
        <v>150</v>
      </c>
      <c r="P1694" s="11" t="s">
        <v>151</v>
      </c>
      <c r="Q1694" s="13" t="n">
        <f aca="false">F1694*H1694</f>
        <v>44880000</v>
      </c>
      <c r="R1694" s="13" t="n">
        <f aca="false">G1694*H1694</f>
        <v>39600000</v>
      </c>
      <c r="S1694" s="13" t="n">
        <f aca="false">Q1694-R1694</f>
        <v>5280000</v>
      </c>
      <c r="T1694" s="14" t="n">
        <f aca="false">IFERROR(S1694/Q1694,0)</f>
        <v>0.117647058823529</v>
      </c>
      <c r="U1694" s="15" t="str">
        <f aca="false">TEXT(A1694,"yyyy-mm")</f>
        <v>2022-09</v>
      </c>
    </row>
    <row r="1695" customFormat="false" ht="15" hidden="false" customHeight="false" outlineLevel="0" collapsed="false">
      <c r="A1695" s="10" t="n">
        <v>44834</v>
      </c>
      <c r="B1695" s="11" t="s">
        <v>1827</v>
      </c>
      <c r="C1695" s="11" t="s">
        <v>84</v>
      </c>
      <c r="D1695" s="11" t="s">
        <v>67</v>
      </c>
      <c r="E1695" s="11" t="s">
        <v>85</v>
      </c>
      <c r="F1695" s="12" t="n">
        <v>2600000</v>
      </c>
      <c r="G1695" s="12" t="n">
        <v>2300000</v>
      </c>
      <c r="H1695" s="11" t="n">
        <v>9</v>
      </c>
      <c r="I1695" s="11" t="s">
        <v>69</v>
      </c>
      <c r="J1695" s="11" t="s">
        <v>70</v>
      </c>
      <c r="K1695" s="11" t="s">
        <v>71</v>
      </c>
      <c r="L1695" s="11" t="s">
        <v>72</v>
      </c>
      <c r="M1695" s="11" t="s">
        <v>73</v>
      </c>
      <c r="N1695" s="11" t="s">
        <v>123</v>
      </c>
      <c r="O1695" s="11" t="s">
        <v>60</v>
      </c>
      <c r="P1695" s="11" t="s">
        <v>106</v>
      </c>
      <c r="Q1695" s="13" t="n">
        <f aca="false">F1695*H1695</f>
        <v>23400000</v>
      </c>
      <c r="R1695" s="13" t="n">
        <f aca="false">G1695*H1695</f>
        <v>20700000</v>
      </c>
      <c r="S1695" s="13" t="n">
        <f aca="false">Q1695-R1695</f>
        <v>2700000</v>
      </c>
      <c r="T1695" s="14" t="n">
        <f aca="false">IFERROR(S1695/Q1695,0)</f>
        <v>0.115384615384615</v>
      </c>
      <c r="U1695" s="15" t="str">
        <f aca="false">TEXT(A1695,"yyyy-mm")</f>
        <v>2022-09</v>
      </c>
    </row>
    <row r="1696" customFormat="false" ht="15" hidden="false" customHeight="false" outlineLevel="0" collapsed="false">
      <c r="A1696" s="10" t="n">
        <v>44834</v>
      </c>
      <c r="B1696" s="11" t="s">
        <v>1828</v>
      </c>
      <c r="C1696" s="11" t="s">
        <v>92</v>
      </c>
      <c r="D1696" s="11" t="s">
        <v>67</v>
      </c>
      <c r="E1696" s="11" t="s">
        <v>79</v>
      </c>
      <c r="F1696" s="12" t="n">
        <v>3577480</v>
      </c>
      <c r="G1696" s="12" t="n">
        <v>3100000</v>
      </c>
      <c r="H1696" s="11" t="n">
        <v>19</v>
      </c>
      <c r="I1696" s="11" t="s">
        <v>86</v>
      </c>
      <c r="J1696" s="11" t="s">
        <v>87</v>
      </c>
      <c r="K1696" s="11" t="s">
        <v>88</v>
      </c>
      <c r="L1696" s="11" t="s">
        <v>89</v>
      </c>
      <c r="M1696" s="11" t="s">
        <v>90</v>
      </c>
      <c r="N1696" s="11" t="s">
        <v>143</v>
      </c>
      <c r="O1696" s="11" t="s">
        <v>144</v>
      </c>
      <c r="P1696" s="11" t="s">
        <v>101</v>
      </c>
      <c r="Q1696" s="13" t="n">
        <f aca="false">F1696*H1696</f>
        <v>67972120</v>
      </c>
      <c r="R1696" s="13" t="n">
        <f aca="false">G1696*H1696</f>
        <v>58900000</v>
      </c>
      <c r="S1696" s="13" t="n">
        <f aca="false">Q1696-R1696</f>
        <v>9072120</v>
      </c>
      <c r="T1696" s="14" t="n">
        <f aca="false">IFERROR(S1696/Q1696,0)</f>
        <v>0.133468251394837</v>
      </c>
      <c r="U1696" s="15" t="str">
        <f aca="false">TEXT(A1696,"yyyy-mm")</f>
        <v>2022-09</v>
      </c>
    </row>
    <row r="1697" customFormat="false" ht="15" hidden="false" customHeight="false" outlineLevel="0" collapsed="false">
      <c r="A1697" s="10" t="n">
        <v>44834</v>
      </c>
      <c r="B1697" s="11" t="s">
        <v>1829</v>
      </c>
      <c r="C1697" s="11" t="s">
        <v>97</v>
      </c>
      <c r="D1697" s="11" t="s">
        <v>67</v>
      </c>
      <c r="E1697" s="11" t="s">
        <v>98</v>
      </c>
      <c r="F1697" s="12" t="n">
        <v>4969724</v>
      </c>
      <c r="G1697" s="12" t="n">
        <v>4121560</v>
      </c>
      <c r="H1697" s="11" t="n">
        <v>4</v>
      </c>
      <c r="I1697" s="11" t="s">
        <v>69</v>
      </c>
      <c r="J1697" s="11" t="s">
        <v>80</v>
      </c>
      <c r="K1697" s="11" t="s">
        <v>81</v>
      </c>
      <c r="L1697" s="11" t="s">
        <v>82</v>
      </c>
      <c r="M1697" s="11" t="s">
        <v>73</v>
      </c>
      <c r="N1697" s="11" t="s">
        <v>149</v>
      </c>
      <c r="O1697" s="11" t="s">
        <v>150</v>
      </c>
      <c r="P1697" s="11" t="s">
        <v>151</v>
      </c>
      <c r="Q1697" s="13" t="n">
        <f aca="false">F1697*H1697</f>
        <v>19878896</v>
      </c>
      <c r="R1697" s="13" t="n">
        <f aca="false">G1697*H1697</f>
        <v>16486240</v>
      </c>
      <c r="S1697" s="13" t="n">
        <f aca="false">Q1697-R1697</f>
        <v>3392656</v>
      </c>
      <c r="T1697" s="14" t="n">
        <f aca="false">IFERROR(S1697/Q1697,0)</f>
        <v>0.170666218083741</v>
      </c>
      <c r="U1697" s="15" t="str">
        <f aca="false">TEXT(A1697,"yyyy-mm")</f>
        <v>2022-09</v>
      </c>
    </row>
    <row r="1698" customFormat="false" ht="15" hidden="false" customHeight="false" outlineLevel="0" collapsed="false">
      <c r="A1698" s="10" t="n">
        <v>44835</v>
      </c>
      <c r="B1698" s="11" t="s">
        <v>1830</v>
      </c>
      <c r="C1698" s="11" t="s">
        <v>103</v>
      </c>
      <c r="D1698" s="11" t="s">
        <v>67</v>
      </c>
      <c r="E1698" s="11" t="s">
        <v>68</v>
      </c>
      <c r="F1698" s="12" t="n">
        <v>3319925</v>
      </c>
      <c r="G1698" s="12" t="n">
        <v>2800000</v>
      </c>
      <c r="H1698" s="11" t="n">
        <v>7</v>
      </c>
      <c r="I1698" s="11" t="s">
        <v>69</v>
      </c>
      <c r="J1698" s="11" t="s">
        <v>112</v>
      </c>
      <c r="K1698" s="11" t="s">
        <v>113</v>
      </c>
      <c r="L1698" s="11" t="s">
        <v>82</v>
      </c>
      <c r="M1698" s="11" t="s">
        <v>157</v>
      </c>
      <c r="N1698" s="11" t="s">
        <v>104</v>
      </c>
      <c r="O1698" s="11" t="s">
        <v>105</v>
      </c>
      <c r="P1698" s="11" t="s">
        <v>106</v>
      </c>
      <c r="Q1698" s="13" t="n">
        <f aca="false">F1698*H1698</f>
        <v>23239475</v>
      </c>
      <c r="R1698" s="13" t="n">
        <f aca="false">G1698*H1698</f>
        <v>19600000</v>
      </c>
      <c r="S1698" s="13" t="n">
        <f aca="false">Q1698-R1698</f>
        <v>3639475</v>
      </c>
      <c r="T1698" s="14" t="n">
        <f aca="false">IFERROR(S1698/Q1698,0)</f>
        <v>0.15660745348163</v>
      </c>
      <c r="U1698" s="15" t="str">
        <f aca="false">TEXT(A1698,"yyyy-mm")</f>
        <v>2022-10</v>
      </c>
    </row>
    <row r="1699" customFormat="false" ht="15" hidden="false" customHeight="false" outlineLevel="0" collapsed="false">
      <c r="A1699" s="10" t="n">
        <v>44835</v>
      </c>
      <c r="B1699" s="11" t="s">
        <v>1831</v>
      </c>
      <c r="C1699" s="11" t="s">
        <v>108</v>
      </c>
      <c r="D1699" s="11" t="s">
        <v>67</v>
      </c>
      <c r="E1699" s="11" t="s">
        <v>68</v>
      </c>
      <c r="F1699" s="12" t="n">
        <v>4757880</v>
      </c>
      <c r="G1699" s="12" t="n">
        <v>3450000</v>
      </c>
      <c r="H1699" s="11" t="n">
        <v>14</v>
      </c>
      <c r="I1699" s="11" t="s">
        <v>69</v>
      </c>
      <c r="J1699" s="11" t="s">
        <v>80</v>
      </c>
      <c r="K1699" s="11" t="s">
        <v>81</v>
      </c>
      <c r="L1699" s="11" t="s">
        <v>82</v>
      </c>
      <c r="M1699" s="11" t="s">
        <v>73</v>
      </c>
      <c r="N1699" s="11" t="s">
        <v>143</v>
      </c>
      <c r="O1699" s="11" t="s">
        <v>144</v>
      </c>
      <c r="P1699" s="11" t="s">
        <v>101</v>
      </c>
      <c r="Q1699" s="13" t="n">
        <f aca="false">F1699*H1699</f>
        <v>66610320</v>
      </c>
      <c r="R1699" s="13" t="n">
        <f aca="false">G1699*H1699</f>
        <v>48300000</v>
      </c>
      <c r="S1699" s="13" t="n">
        <f aca="false">Q1699-R1699</f>
        <v>18310320</v>
      </c>
      <c r="T1699" s="14" t="n">
        <f aca="false">IFERROR(S1699/Q1699,0)</f>
        <v>0.274887134606169</v>
      </c>
      <c r="U1699" s="15" t="str">
        <f aca="false">TEXT(A1699,"yyyy-mm")</f>
        <v>2022-10</v>
      </c>
    </row>
    <row r="1700" customFormat="false" ht="15" hidden="false" customHeight="false" outlineLevel="0" collapsed="false">
      <c r="A1700" s="10" t="n">
        <v>44835</v>
      </c>
      <c r="B1700" s="11" t="s">
        <v>1832</v>
      </c>
      <c r="C1700" s="11" t="s">
        <v>111</v>
      </c>
      <c r="D1700" s="11" t="s">
        <v>67</v>
      </c>
      <c r="E1700" s="11" t="s">
        <v>79</v>
      </c>
      <c r="F1700" s="12" t="n">
        <v>3545808</v>
      </c>
      <c r="G1700" s="12" t="n">
        <v>3350000</v>
      </c>
      <c r="H1700" s="11" t="n">
        <v>9</v>
      </c>
      <c r="I1700" s="11" t="s">
        <v>69</v>
      </c>
      <c r="J1700" s="11" t="s">
        <v>70</v>
      </c>
      <c r="K1700" s="11" t="s">
        <v>71</v>
      </c>
      <c r="L1700" s="11" t="s">
        <v>72</v>
      </c>
      <c r="M1700" s="11" t="s">
        <v>73</v>
      </c>
      <c r="N1700" s="11" t="s">
        <v>99</v>
      </c>
      <c r="O1700" s="11" t="s">
        <v>100</v>
      </c>
      <c r="P1700" s="11" t="s">
        <v>101</v>
      </c>
      <c r="Q1700" s="13" t="n">
        <f aca="false">F1700*H1700</f>
        <v>31912272</v>
      </c>
      <c r="R1700" s="13" t="n">
        <f aca="false">G1700*H1700</f>
        <v>30150000</v>
      </c>
      <c r="S1700" s="13" t="n">
        <f aca="false">Q1700-R1700</f>
        <v>1762272</v>
      </c>
      <c r="T1700" s="14" t="n">
        <f aca="false">IFERROR(S1700/Q1700,0)</f>
        <v>0.0552223921881839</v>
      </c>
      <c r="U1700" s="15" t="str">
        <f aca="false">TEXT(A1700,"yyyy-mm")</f>
        <v>2022-10</v>
      </c>
    </row>
    <row r="1701" customFormat="false" ht="15" hidden="false" customHeight="false" outlineLevel="0" collapsed="false">
      <c r="A1701" s="10" t="n">
        <v>44835</v>
      </c>
      <c r="B1701" s="11" t="s">
        <v>1833</v>
      </c>
      <c r="C1701" s="11" t="s">
        <v>115</v>
      </c>
      <c r="D1701" s="11" t="s">
        <v>67</v>
      </c>
      <c r="E1701" s="11" t="s">
        <v>98</v>
      </c>
      <c r="F1701" s="12" t="n">
        <v>4200743</v>
      </c>
      <c r="G1701" s="12" t="n">
        <v>4101000</v>
      </c>
      <c r="H1701" s="11" t="n">
        <v>3</v>
      </c>
      <c r="I1701" s="11" t="s">
        <v>69</v>
      </c>
      <c r="J1701" s="11" t="s">
        <v>80</v>
      </c>
      <c r="K1701" s="11" t="s">
        <v>81</v>
      </c>
      <c r="L1701" s="11" t="s">
        <v>82</v>
      </c>
      <c r="M1701" s="11" t="s">
        <v>73</v>
      </c>
      <c r="N1701" s="11" t="s">
        <v>93</v>
      </c>
      <c r="O1701" s="11" t="s">
        <v>94</v>
      </c>
      <c r="P1701" s="11" t="s">
        <v>95</v>
      </c>
      <c r="Q1701" s="13" t="n">
        <f aca="false">F1701*H1701</f>
        <v>12602229</v>
      </c>
      <c r="R1701" s="13" t="n">
        <f aca="false">G1701*H1701</f>
        <v>12303000</v>
      </c>
      <c r="S1701" s="13" t="n">
        <f aca="false">Q1701-R1701</f>
        <v>299229</v>
      </c>
      <c r="T1701" s="14" t="n">
        <f aca="false">IFERROR(S1701/Q1701,0)</f>
        <v>0.023744132883159</v>
      </c>
      <c r="U1701" s="15" t="str">
        <f aca="false">TEXT(A1701,"yyyy-mm")</f>
        <v>2022-10</v>
      </c>
    </row>
    <row r="1702" customFormat="false" ht="15" hidden="false" customHeight="false" outlineLevel="0" collapsed="false">
      <c r="A1702" s="10" t="n">
        <v>44836</v>
      </c>
      <c r="B1702" s="11" t="s">
        <v>1834</v>
      </c>
      <c r="C1702" s="11" t="s">
        <v>117</v>
      </c>
      <c r="D1702" s="11" t="s">
        <v>118</v>
      </c>
      <c r="E1702" s="11" t="s">
        <v>119</v>
      </c>
      <c r="F1702" s="12" t="n">
        <v>8220549</v>
      </c>
      <c r="G1702" s="12" t="n">
        <v>6500000</v>
      </c>
      <c r="H1702" s="11" t="n">
        <v>18</v>
      </c>
      <c r="I1702" s="11" t="s">
        <v>86</v>
      </c>
      <c r="J1702" s="11" t="s">
        <v>87</v>
      </c>
      <c r="K1702" s="11" t="s">
        <v>88</v>
      </c>
      <c r="L1702" s="11" t="s">
        <v>89</v>
      </c>
      <c r="M1702" s="11" t="s">
        <v>90</v>
      </c>
      <c r="N1702" s="11" t="s">
        <v>123</v>
      </c>
      <c r="O1702" s="11" t="s">
        <v>60</v>
      </c>
      <c r="P1702" s="11" t="s">
        <v>106</v>
      </c>
      <c r="Q1702" s="13" t="n">
        <f aca="false">F1702*H1702</f>
        <v>147969882</v>
      </c>
      <c r="R1702" s="13" t="n">
        <f aca="false">G1702*H1702</f>
        <v>117000000</v>
      </c>
      <c r="S1702" s="13" t="n">
        <f aca="false">Q1702-R1702</f>
        <v>30969882</v>
      </c>
      <c r="T1702" s="14" t="n">
        <f aca="false">IFERROR(S1702/Q1702,0)</f>
        <v>0.209298551714733</v>
      </c>
      <c r="U1702" s="15" t="str">
        <f aca="false">TEXT(A1702,"yyyy-mm")</f>
        <v>2022-10</v>
      </c>
    </row>
    <row r="1703" customFormat="false" ht="15" hidden="false" customHeight="false" outlineLevel="0" collapsed="false">
      <c r="A1703" s="10" t="n">
        <v>44836</v>
      </c>
      <c r="B1703" s="11" t="s">
        <v>1835</v>
      </c>
      <c r="C1703" s="11" t="s">
        <v>121</v>
      </c>
      <c r="D1703" s="11" t="s">
        <v>118</v>
      </c>
      <c r="E1703" s="11" t="s">
        <v>122</v>
      </c>
      <c r="F1703" s="12" t="n">
        <v>7687274</v>
      </c>
      <c r="G1703" s="12" t="n">
        <v>6500000</v>
      </c>
      <c r="H1703" s="11" t="n">
        <v>2</v>
      </c>
      <c r="I1703" s="11" t="s">
        <v>69</v>
      </c>
      <c r="J1703" s="11" t="s">
        <v>80</v>
      </c>
      <c r="K1703" s="11" t="s">
        <v>81</v>
      </c>
      <c r="L1703" s="11" t="s">
        <v>82</v>
      </c>
      <c r="M1703" s="11" t="s">
        <v>73</v>
      </c>
      <c r="N1703" s="11" t="s">
        <v>109</v>
      </c>
      <c r="O1703" s="11" t="s">
        <v>75</v>
      </c>
      <c r="P1703" s="11" t="s">
        <v>95</v>
      </c>
      <c r="Q1703" s="13" t="n">
        <f aca="false">F1703*H1703</f>
        <v>15374548</v>
      </c>
      <c r="R1703" s="13" t="n">
        <f aca="false">G1703*H1703</f>
        <v>13000000</v>
      </c>
      <c r="S1703" s="13" t="n">
        <f aca="false">Q1703-R1703</f>
        <v>2374548</v>
      </c>
      <c r="T1703" s="14" t="n">
        <f aca="false">IFERROR(S1703/Q1703,0)</f>
        <v>0.154446686822923</v>
      </c>
      <c r="U1703" s="15" t="str">
        <f aca="false">TEXT(A1703,"yyyy-mm")</f>
        <v>2022-10</v>
      </c>
    </row>
    <row r="1704" customFormat="false" ht="15" hidden="false" customHeight="false" outlineLevel="0" collapsed="false">
      <c r="A1704" s="10" t="n">
        <v>44836</v>
      </c>
      <c r="B1704" s="11" t="s">
        <v>1836</v>
      </c>
      <c r="C1704" s="11" t="s">
        <v>125</v>
      </c>
      <c r="D1704" s="11" t="s">
        <v>118</v>
      </c>
      <c r="E1704" s="11" t="s">
        <v>126</v>
      </c>
      <c r="F1704" s="12" t="n">
        <v>5684211</v>
      </c>
      <c r="G1704" s="12" t="n">
        <v>4300000</v>
      </c>
      <c r="H1704" s="11" t="n">
        <v>10</v>
      </c>
      <c r="I1704" s="11" t="s">
        <v>69</v>
      </c>
      <c r="J1704" s="11" t="s">
        <v>80</v>
      </c>
      <c r="K1704" s="11" t="s">
        <v>81</v>
      </c>
      <c r="L1704" s="11" t="s">
        <v>82</v>
      </c>
      <c r="M1704" s="11" t="s">
        <v>73</v>
      </c>
      <c r="N1704" s="11" t="s">
        <v>104</v>
      </c>
      <c r="O1704" s="11" t="s">
        <v>105</v>
      </c>
      <c r="P1704" s="11" t="s">
        <v>106</v>
      </c>
      <c r="Q1704" s="13" t="n">
        <f aca="false">F1704*H1704</f>
        <v>56842110</v>
      </c>
      <c r="R1704" s="13" t="n">
        <f aca="false">G1704*H1704</f>
        <v>43000000</v>
      </c>
      <c r="S1704" s="13" t="n">
        <f aca="false">Q1704-R1704</f>
        <v>13842110</v>
      </c>
      <c r="T1704" s="14" t="n">
        <f aca="false">IFERROR(S1704/Q1704,0)</f>
        <v>0.243518581558637</v>
      </c>
      <c r="U1704" s="15" t="str">
        <f aca="false">TEXT(A1704,"yyyy-mm")</f>
        <v>2022-10</v>
      </c>
    </row>
    <row r="1705" customFormat="false" ht="15" hidden="false" customHeight="false" outlineLevel="0" collapsed="false">
      <c r="A1705" s="10" t="n">
        <v>44838</v>
      </c>
      <c r="B1705" s="11" t="s">
        <v>1837</v>
      </c>
      <c r="C1705" s="11" t="s">
        <v>128</v>
      </c>
      <c r="D1705" s="11" t="s">
        <v>118</v>
      </c>
      <c r="E1705" s="11" t="s">
        <v>119</v>
      </c>
      <c r="F1705" s="12" t="n">
        <v>3370302</v>
      </c>
      <c r="G1705" s="12" t="n">
        <v>2100000</v>
      </c>
      <c r="H1705" s="11" t="n">
        <v>30</v>
      </c>
      <c r="I1705" s="11" t="s">
        <v>69</v>
      </c>
      <c r="J1705" s="11" t="s">
        <v>70</v>
      </c>
      <c r="K1705" s="11" t="s">
        <v>71</v>
      </c>
      <c r="L1705" s="11" t="s">
        <v>72</v>
      </c>
      <c r="M1705" s="11" t="s">
        <v>73</v>
      </c>
      <c r="N1705" s="11" t="s">
        <v>93</v>
      </c>
      <c r="O1705" s="11" t="s">
        <v>94</v>
      </c>
      <c r="P1705" s="11" t="s">
        <v>95</v>
      </c>
      <c r="Q1705" s="13" t="n">
        <f aca="false">F1705*H1705</f>
        <v>101109060</v>
      </c>
      <c r="R1705" s="13" t="n">
        <f aca="false">G1705*H1705</f>
        <v>63000000</v>
      </c>
      <c r="S1705" s="13" t="n">
        <f aca="false">Q1705-R1705</f>
        <v>38109060</v>
      </c>
      <c r="T1705" s="14" t="n">
        <f aca="false">IFERROR(S1705/Q1705,0)</f>
        <v>0.37691043710623</v>
      </c>
      <c r="U1705" s="15" t="str">
        <f aca="false">TEXT(A1705,"yyyy-mm")</f>
        <v>2022-10</v>
      </c>
    </row>
    <row r="1706" customFormat="false" ht="15" hidden="false" customHeight="false" outlineLevel="0" collapsed="false">
      <c r="A1706" s="10" t="n">
        <v>44838</v>
      </c>
      <c r="B1706" s="11" t="s">
        <v>1838</v>
      </c>
      <c r="C1706" s="11" t="s">
        <v>130</v>
      </c>
      <c r="D1706" s="11" t="s">
        <v>118</v>
      </c>
      <c r="E1706" s="11" t="s">
        <v>68</v>
      </c>
      <c r="F1706" s="12" t="n">
        <v>2852897</v>
      </c>
      <c r="G1706" s="12" t="n">
        <v>2450000</v>
      </c>
      <c r="H1706" s="11" t="n">
        <v>4</v>
      </c>
      <c r="I1706" s="11" t="s">
        <v>69</v>
      </c>
      <c r="J1706" s="11" t="s">
        <v>80</v>
      </c>
      <c r="K1706" s="11" t="s">
        <v>81</v>
      </c>
      <c r="L1706" s="11" t="s">
        <v>82</v>
      </c>
      <c r="M1706" s="11" t="s">
        <v>73</v>
      </c>
      <c r="N1706" s="11" t="s">
        <v>93</v>
      </c>
      <c r="O1706" s="11" t="s">
        <v>94</v>
      </c>
      <c r="P1706" s="11" t="s">
        <v>95</v>
      </c>
      <c r="Q1706" s="13" t="n">
        <f aca="false">F1706*H1706</f>
        <v>11411588</v>
      </c>
      <c r="R1706" s="13" t="n">
        <f aca="false">G1706*H1706</f>
        <v>9800000</v>
      </c>
      <c r="S1706" s="13" t="n">
        <f aca="false">Q1706-R1706</f>
        <v>1611588</v>
      </c>
      <c r="T1706" s="14" t="n">
        <f aca="false">IFERROR(S1706/Q1706,0)</f>
        <v>0.141223815651249</v>
      </c>
      <c r="U1706" s="15" t="str">
        <f aca="false">TEXT(A1706,"yyyy-mm")</f>
        <v>2022-10</v>
      </c>
    </row>
    <row r="1707" customFormat="false" ht="15" hidden="false" customHeight="false" outlineLevel="0" collapsed="false">
      <c r="A1707" s="10" t="n">
        <v>44838</v>
      </c>
      <c r="B1707" s="11" t="s">
        <v>1839</v>
      </c>
      <c r="C1707" s="11" t="s">
        <v>132</v>
      </c>
      <c r="D1707" s="11" t="s">
        <v>118</v>
      </c>
      <c r="E1707" s="11" t="s">
        <v>68</v>
      </c>
      <c r="F1707" s="12" t="n">
        <v>4803603</v>
      </c>
      <c r="G1707" s="12" t="n">
        <v>4121000</v>
      </c>
      <c r="H1707" s="11" t="n">
        <v>7</v>
      </c>
      <c r="I1707" s="11" t="s">
        <v>69</v>
      </c>
      <c r="J1707" s="11" t="s">
        <v>80</v>
      </c>
      <c r="K1707" s="11" t="s">
        <v>81</v>
      </c>
      <c r="L1707" s="11" t="s">
        <v>82</v>
      </c>
      <c r="M1707" s="11" t="s">
        <v>73</v>
      </c>
      <c r="N1707" s="11" t="s">
        <v>74</v>
      </c>
      <c r="O1707" s="11" t="s">
        <v>75</v>
      </c>
      <c r="P1707" s="11" t="s">
        <v>76</v>
      </c>
      <c r="Q1707" s="13" t="n">
        <f aca="false">F1707*H1707</f>
        <v>33625221</v>
      </c>
      <c r="R1707" s="13" t="n">
        <f aca="false">G1707*H1707</f>
        <v>28847000</v>
      </c>
      <c r="S1707" s="13" t="n">
        <f aca="false">Q1707-R1707</f>
        <v>4778221</v>
      </c>
      <c r="T1707" s="14" t="n">
        <f aca="false">IFERROR(S1707/Q1707,0)</f>
        <v>0.142102292799801</v>
      </c>
      <c r="U1707" s="15" t="str">
        <f aca="false">TEXT(A1707,"yyyy-mm")</f>
        <v>2022-10</v>
      </c>
    </row>
    <row r="1708" customFormat="false" ht="15" hidden="false" customHeight="false" outlineLevel="0" collapsed="false">
      <c r="A1708" s="10" t="n">
        <v>44838</v>
      </c>
      <c r="B1708" s="11" t="s">
        <v>1840</v>
      </c>
      <c r="C1708" s="11" t="s">
        <v>135</v>
      </c>
      <c r="D1708" s="11" t="s">
        <v>118</v>
      </c>
      <c r="E1708" s="11" t="s">
        <v>68</v>
      </c>
      <c r="F1708" s="12" t="n">
        <v>5689947</v>
      </c>
      <c r="G1708" s="12" t="n">
        <v>5235000</v>
      </c>
      <c r="H1708" s="11" t="n">
        <v>21</v>
      </c>
      <c r="I1708" s="11" t="s">
        <v>69</v>
      </c>
      <c r="J1708" s="11" t="s">
        <v>112</v>
      </c>
      <c r="K1708" s="11" t="s">
        <v>113</v>
      </c>
      <c r="L1708" s="11" t="s">
        <v>82</v>
      </c>
      <c r="M1708" s="11" t="s">
        <v>157</v>
      </c>
      <c r="N1708" s="11" t="s">
        <v>173</v>
      </c>
      <c r="O1708" s="11" t="s">
        <v>174</v>
      </c>
      <c r="P1708" s="11" t="s">
        <v>95</v>
      </c>
      <c r="Q1708" s="13" t="n">
        <f aca="false">F1708*H1708</f>
        <v>119488887</v>
      </c>
      <c r="R1708" s="13" t="n">
        <f aca="false">G1708*H1708</f>
        <v>109935000</v>
      </c>
      <c r="S1708" s="13" t="n">
        <f aca="false">Q1708-R1708</f>
        <v>9553887</v>
      </c>
      <c r="T1708" s="14" t="n">
        <f aca="false">IFERROR(S1708/Q1708,0)</f>
        <v>0.0799562807878527</v>
      </c>
      <c r="U1708" s="15" t="str">
        <f aca="false">TEXT(A1708,"yyyy-mm")</f>
        <v>2022-10</v>
      </c>
    </row>
    <row r="1709" customFormat="false" ht="15" hidden="false" customHeight="false" outlineLevel="0" collapsed="false">
      <c r="A1709" s="10" t="n">
        <v>44839</v>
      </c>
      <c r="B1709" s="11" t="s">
        <v>1841</v>
      </c>
      <c r="C1709" s="11" t="s">
        <v>137</v>
      </c>
      <c r="D1709" s="11" t="s">
        <v>138</v>
      </c>
      <c r="E1709" s="11" t="s">
        <v>139</v>
      </c>
      <c r="F1709" s="12" t="n">
        <v>5171827</v>
      </c>
      <c r="G1709" s="12" t="n">
        <v>4890000</v>
      </c>
      <c r="H1709" s="11" t="n">
        <v>18</v>
      </c>
      <c r="I1709" s="11" t="s">
        <v>69</v>
      </c>
      <c r="J1709" s="11" t="s">
        <v>80</v>
      </c>
      <c r="K1709" s="11" t="s">
        <v>81</v>
      </c>
      <c r="L1709" s="11" t="s">
        <v>82</v>
      </c>
      <c r="M1709" s="11" t="s">
        <v>73</v>
      </c>
      <c r="N1709" s="11" t="s">
        <v>143</v>
      </c>
      <c r="O1709" s="11" t="s">
        <v>144</v>
      </c>
      <c r="P1709" s="11" t="s">
        <v>101</v>
      </c>
      <c r="Q1709" s="13" t="n">
        <f aca="false">F1709*H1709</f>
        <v>93092886</v>
      </c>
      <c r="R1709" s="13" t="n">
        <f aca="false">G1709*H1709</f>
        <v>88020000</v>
      </c>
      <c r="S1709" s="13" t="n">
        <f aca="false">Q1709-R1709</f>
        <v>5072886</v>
      </c>
      <c r="T1709" s="14" t="n">
        <f aca="false">IFERROR(S1709/Q1709,0)</f>
        <v>0.0544927353525166</v>
      </c>
      <c r="U1709" s="15" t="str">
        <f aca="false">TEXT(A1709,"yyyy-mm")</f>
        <v>2022-10</v>
      </c>
    </row>
    <row r="1710" customFormat="false" ht="15" hidden="false" customHeight="false" outlineLevel="0" collapsed="false">
      <c r="A1710" s="10" t="n">
        <v>44839</v>
      </c>
      <c r="B1710" s="11" t="s">
        <v>1842</v>
      </c>
      <c r="C1710" s="11" t="s">
        <v>141</v>
      </c>
      <c r="D1710" s="11" t="s">
        <v>138</v>
      </c>
      <c r="E1710" s="11" t="s">
        <v>142</v>
      </c>
      <c r="F1710" s="12" t="n">
        <v>2805124</v>
      </c>
      <c r="G1710" s="12" t="n">
        <v>2178000</v>
      </c>
      <c r="H1710" s="11" t="n">
        <v>14</v>
      </c>
      <c r="I1710" s="11" t="s">
        <v>86</v>
      </c>
      <c r="J1710" s="11" t="s">
        <v>87</v>
      </c>
      <c r="K1710" s="11" t="s">
        <v>88</v>
      </c>
      <c r="L1710" s="11" t="s">
        <v>89</v>
      </c>
      <c r="M1710" s="11" t="s">
        <v>90</v>
      </c>
      <c r="N1710" s="11" t="s">
        <v>173</v>
      </c>
      <c r="O1710" s="11" t="s">
        <v>174</v>
      </c>
      <c r="P1710" s="11" t="s">
        <v>95</v>
      </c>
      <c r="Q1710" s="13" t="n">
        <f aca="false">F1710*H1710</f>
        <v>39271736</v>
      </c>
      <c r="R1710" s="13" t="n">
        <f aca="false">G1710*H1710</f>
        <v>30492000</v>
      </c>
      <c r="S1710" s="13" t="n">
        <f aca="false">Q1710-R1710</f>
        <v>8779736</v>
      </c>
      <c r="T1710" s="14" t="n">
        <f aca="false">IFERROR(S1710/Q1710,0)</f>
        <v>0.22356373550688</v>
      </c>
      <c r="U1710" s="15" t="str">
        <f aca="false">TEXT(A1710,"yyyy-mm")</f>
        <v>2022-10</v>
      </c>
    </row>
    <row r="1711" customFormat="false" ht="15" hidden="false" customHeight="false" outlineLevel="0" collapsed="false">
      <c r="A1711" s="10" t="n">
        <v>44840</v>
      </c>
      <c r="B1711" s="11" t="s">
        <v>1843</v>
      </c>
      <c r="C1711" s="11" t="s">
        <v>146</v>
      </c>
      <c r="D1711" s="11" t="s">
        <v>138</v>
      </c>
      <c r="E1711" s="11" t="s">
        <v>139</v>
      </c>
      <c r="F1711" s="12" t="n">
        <v>2728100</v>
      </c>
      <c r="G1711" s="12" t="n">
        <v>2321000</v>
      </c>
      <c r="H1711" s="11" t="n">
        <v>20</v>
      </c>
      <c r="I1711" s="11" t="s">
        <v>86</v>
      </c>
      <c r="J1711" s="11" t="s">
        <v>87</v>
      </c>
      <c r="K1711" s="11" t="s">
        <v>88</v>
      </c>
      <c r="L1711" s="11" t="s">
        <v>89</v>
      </c>
      <c r="M1711" s="11" t="s">
        <v>90</v>
      </c>
      <c r="N1711" s="11" t="s">
        <v>149</v>
      </c>
      <c r="O1711" s="11" t="s">
        <v>150</v>
      </c>
      <c r="P1711" s="11" t="s">
        <v>151</v>
      </c>
      <c r="Q1711" s="13" t="n">
        <f aca="false">F1711*H1711</f>
        <v>54562000</v>
      </c>
      <c r="R1711" s="13" t="n">
        <f aca="false">G1711*H1711</f>
        <v>46420000</v>
      </c>
      <c r="S1711" s="13" t="n">
        <f aca="false">Q1711-R1711</f>
        <v>8142000</v>
      </c>
      <c r="T1711" s="14" t="n">
        <f aca="false">IFERROR(S1711/Q1711,0)</f>
        <v>0.149224735163667</v>
      </c>
      <c r="U1711" s="15" t="str">
        <f aca="false">TEXT(A1711,"yyyy-mm")</f>
        <v>2022-10</v>
      </c>
    </row>
    <row r="1712" customFormat="false" ht="15" hidden="false" customHeight="false" outlineLevel="0" collapsed="false">
      <c r="A1712" s="10" t="n">
        <v>44840</v>
      </c>
      <c r="B1712" s="11" t="s">
        <v>1844</v>
      </c>
      <c r="C1712" s="11" t="s">
        <v>148</v>
      </c>
      <c r="D1712" s="11" t="s">
        <v>138</v>
      </c>
      <c r="E1712" s="11" t="s">
        <v>122</v>
      </c>
      <c r="F1712" s="12" t="n">
        <v>4941716</v>
      </c>
      <c r="G1712" s="12" t="n">
        <v>4456000</v>
      </c>
      <c r="H1712" s="11" t="n">
        <v>30</v>
      </c>
      <c r="I1712" s="11" t="s">
        <v>69</v>
      </c>
      <c r="J1712" s="11" t="s">
        <v>80</v>
      </c>
      <c r="K1712" s="11" t="s">
        <v>81</v>
      </c>
      <c r="L1712" s="11" t="s">
        <v>82</v>
      </c>
      <c r="M1712" s="11" t="s">
        <v>73</v>
      </c>
      <c r="N1712" s="11" t="s">
        <v>99</v>
      </c>
      <c r="O1712" s="11" t="s">
        <v>100</v>
      </c>
      <c r="P1712" s="11" t="s">
        <v>101</v>
      </c>
      <c r="Q1712" s="13" t="n">
        <f aca="false">F1712*H1712</f>
        <v>148251480</v>
      </c>
      <c r="R1712" s="13" t="n">
        <f aca="false">G1712*H1712</f>
        <v>133680000</v>
      </c>
      <c r="S1712" s="13" t="n">
        <f aca="false">Q1712-R1712</f>
        <v>14571480</v>
      </c>
      <c r="T1712" s="14" t="n">
        <f aca="false">IFERROR(S1712/Q1712,0)</f>
        <v>0.0982889344511097</v>
      </c>
      <c r="U1712" s="15" t="str">
        <f aca="false">TEXT(A1712,"yyyy-mm")</f>
        <v>2022-10</v>
      </c>
    </row>
    <row r="1713" customFormat="false" ht="15" hidden="false" customHeight="false" outlineLevel="0" collapsed="false">
      <c r="A1713" s="10" t="n">
        <v>44841</v>
      </c>
      <c r="B1713" s="11" t="s">
        <v>1845</v>
      </c>
      <c r="C1713" s="11" t="s">
        <v>66</v>
      </c>
      <c r="D1713" s="11" t="s">
        <v>67</v>
      </c>
      <c r="E1713" s="11" t="s">
        <v>68</v>
      </c>
      <c r="F1713" s="12" t="n">
        <v>3048952</v>
      </c>
      <c r="G1713" s="12" t="n">
        <v>2560000</v>
      </c>
      <c r="H1713" s="11" t="n">
        <v>10</v>
      </c>
      <c r="I1713" s="11" t="s">
        <v>69</v>
      </c>
      <c r="J1713" s="11" t="s">
        <v>80</v>
      </c>
      <c r="K1713" s="11" t="s">
        <v>81</v>
      </c>
      <c r="L1713" s="11" t="s">
        <v>82</v>
      </c>
      <c r="M1713" s="11" t="s">
        <v>73</v>
      </c>
      <c r="N1713" s="11" t="s">
        <v>173</v>
      </c>
      <c r="O1713" s="11" t="s">
        <v>174</v>
      </c>
      <c r="P1713" s="11" t="s">
        <v>95</v>
      </c>
      <c r="Q1713" s="13" t="n">
        <f aca="false">F1713*H1713</f>
        <v>30489520</v>
      </c>
      <c r="R1713" s="13" t="n">
        <f aca="false">G1713*H1713</f>
        <v>25600000</v>
      </c>
      <c r="S1713" s="13" t="n">
        <f aca="false">Q1713-R1713</f>
        <v>4889520</v>
      </c>
      <c r="T1713" s="14" t="n">
        <f aca="false">IFERROR(S1713/Q1713,0)</f>
        <v>0.160367234380863</v>
      </c>
      <c r="U1713" s="15" t="str">
        <f aca="false">TEXT(A1713,"yyyy-mm")</f>
        <v>2022-10</v>
      </c>
    </row>
    <row r="1714" customFormat="false" ht="15" hidden="false" customHeight="false" outlineLevel="0" collapsed="false">
      <c r="A1714" s="10" t="n">
        <v>44841</v>
      </c>
      <c r="B1714" s="11" t="s">
        <v>1846</v>
      </c>
      <c r="C1714" s="11" t="s">
        <v>78</v>
      </c>
      <c r="D1714" s="11" t="s">
        <v>67</v>
      </c>
      <c r="E1714" s="11" t="s">
        <v>79</v>
      </c>
      <c r="F1714" s="12" t="n">
        <v>1870000</v>
      </c>
      <c r="G1714" s="12" t="n">
        <v>1650000</v>
      </c>
      <c r="H1714" s="11" t="n">
        <v>9</v>
      </c>
      <c r="I1714" s="11" t="s">
        <v>86</v>
      </c>
      <c r="J1714" s="11" t="s">
        <v>87</v>
      </c>
      <c r="K1714" s="11" t="s">
        <v>88</v>
      </c>
      <c r="L1714" s="11" t="s">
        <v>89</v>
      </c>
      <c r="M1714" s="11" t="s">
        <v>90</v>
      </c>
      <c r="N1714" s="11" t="s">
        <v>123</v>
      </c>
      <c r="O1714" s="11" t="s">
        <v>60</v>
      </c>
      <c r="P1714" s="11" t="s">
        <v>106</v>
      </c>
      <c r="Q1714" s="13" t="n">
        <f aca="false">F1714*H1714</f>
        <v>16830000</v>
      </c>
      <c r="R1714" s="13" t="n">
        <f aca="false">G1714*H1714</f>
        <v>14850000</v>
      </c>
      <c r="S1714" s="13" t="n">
        <f aca="false">Q1714-R1714</f>
        <v>1980000</v>
      </c>
      <c r="T1714" s="14" t="n">
        <f aca="false">IFERROR(S1714/Q1714,0)</f>
        <v>0.117647058823529</v>
      </c>
      <c r="U1714" s="15" t="str">
        <f aca="false">TEXT(A1714,"yyyy-mm")</f>
        <v>2022-10</v>
      </c>
    </row>
    <row r="1715" customFormat="false" ht="15" hidden="false" customHeight="false" outlineLevel="0" collapsed="false">
      <c r="A1715" s="10" t="n">
        <v>44841</v>
      </c>
      <c r="B1715" s="11" t="s">
        <v>1847</v>
      </c>
      <c r="C1715" s="11" t="s">
        <v>84</v>
      </c>
      <c r="D1715" s="11" t="s">
        <v>67</v>
      </c>
      <c r="E1715" s="11" t="s">
        <v>85</v>
      </c>
      <c r="F1715" s="12" t="n">
        <v>2600000</v>
      </c>
      <c r="G1715" s="12" t="n">
        <v>2300000</v>
      </c>
      <c r="H1715" s="11" t="n">
        <v>14</v>
      </c>
      <c r="I1715" s="11" t="s">
        <v>69</v>
      </c>
      <c r="J1715" s="11" t="s">
        <v>80</v>
      </c>
      <c r="K1715" s="11" t="s">
        <v>81</v>
      </c>
      <c r="L1715" s="11" t="s">
        <v>82</v>
      </c>
      <c r="M1715" s="11" t="s">
        <v>73</v>
      </c>
      <c r="N1715" s="11" t="s">
        <v>149</v>
      </c>
      <c r="O1715" s="11" t="s">
        <v>150</v>
      </c>
      <c r="P1715" s="11" t="s">
        <v>151</v>
      </c>
      <c r="Q1715" s="13" t="n">
        <f aca="false">F1715*H1715</f>
        <v>36400000</v>
      </c>
      <c r="R1715" s="13" t="n">
        <f aca="false">G1715*H1715</f>
        <v>32200000</v>
      </c>
      <c r="S1715" s="13" t="n">
        <f aca="false">Q1715-R1715</f>
        <v>4200000</v>
      </c>
      <c r="T1715" s="14" t="n">
        <f aca="false">IFERROR(S1715/Q1715,0)</f>
        <v>0.115384615384615</v>
      </c>
      <c r="U1715" s="15" t="str">
        <f aca="false">TEXT(A1715,"yyyy-mm")</f>
        <v>2022-10</v>
      </c>
    </row>
    <row r="1716" customFormat="false" ht="15" hidden="false" customHeight="false" outlineLevel="0" collapsed="false">
      <c r="A1716" s="10" t="n">
        <v>44841</v>
      </c>
      <c r="B1716" s="11" t="s">
        <v>1848</v>
      </c>
      <c r="C1716" s="11" t="s">
        <v>92</v>
      </c>
      <c r="D1716" s="11" t="s">
        <v>67</v>
      </c>
      <c r="E1716" s="11" t="s">
        <v>79</v>
      </c>
      <c r="F1716" s="12" t="n">
        <v>3577480</v>
      </c>
      <c r="G1716" s="12" t="n">
        <v>3100000</v>
      </c>
      <c r="H1716" s="11" t="n">
        <v>13</v>
      </c>
      <c r="I1716" s="11" t="s">
        <v>69</v>
      </c>
      <c r="J1716" s="11" t="s">
        <v>80</v>
      </c>
      <c r="K1716" s="11" t="s">
        <v>81</v>
      </c>
      <c r="L1716" s="11" t="s">
        <v>82</v>
      </c>
      <c r="M1716" s="11" t="s">
        <v>73</v>
      </c>
      <c r="N1716" s="11" t="s">
        <v>74</v>
      </c>
      <c r="O1716" s="11" t="s">
        <v>75</v>
      </c>
      <c r="P1716" s="11" t="s">
        <v>76</v>
      </c>
      <c r="Q1716" s="13" t="n">
        <f aca="false">F1716*H1716</f>
        <v>46507240</v>
      </c>
      <c r="R1716" s="13" t="n">
        <f aca="false">G1716*H1716</f>
        <v>40300000</v>
      </c>
      <c r="S1716" s="13" t="n">
        <f aca="false">Q1716-R1716</f>
        <v>6207240</v>
      </c>
      <c r="T1716" s="14" t="n">
        <f aca="false">IFERROR(S1716/Q1716,0)</f>
        <v>0.133468251394837</v>
      </c>
      <c r="U1716" s="15" t="str">
        <f aca="false">TEXT(A1716,"yyyy-mm")</f>
        <v>2022-10</v>
      </c>
    </row>
    <row r="1717" customFormat="false" ht="15" hidden="false" customHeight="false" outlineLevel="0" collapsed="false">
      <c r="A1717" s="10" t="n">
        <v>44842</v>
      </c>
      <c r="B1717" s="11" t="s">
        <v>1849</v>
      </c>
      <c r="C1717" s="11" t="s">
        <v>97</v>
      </c>
      <c r="D1717" s="11" t="s">
        <v>67</v>
      </c>
      <c r="E1717" s="11" t="s">
        <v>98</v>
      </c>
      <c r="F1717" s="12" t="n">
        <v>4969724</v>
      </c>
      <c r="G1717" s="12" t="n">
        <v>4121560</v>
      </c>
      <c r="H1717" s="11" t="n">
        <v>6</v>
      </c>
      <c r="I1717" s="11" t="s">
        <v>69</v>
      </c>
      <c r="J1717" s="11" t="s">
        <v>70</v>
      </c>
      <c r="K1717" s="11" t="s">
        <v>71</v>
      </c>
      <c r="L1717" s="11" t="s">
        <v>72</v>
      </c>
      <c r="M1717" s="11" t="s">
        <v>73</v>
      </c>
      <c r="N1717" s="11" t="s">
        <v>74</v>
      </c>
      <c r="O1717" s="11" t="s">
        <v>75</v>
      </c>
      <c r="P1717" s="11" t="s">
        <v>76</v>
      </c>
      <c r="Q1717" s="13" t="n">
        <f aca="false">F1717*H1717</f>
        <v>29818344</v>
      </c>
      <c r="R1717" s="13" t="n">
        <f aca="false">G1717*H1717</f>
        <v>24729360</v>
      </c>
      <c r="S1717" s="13" t="n">
        <f aca="false">Q1717-R1717</f>
        <v>5088984</v>
      </c>
      <c r="T1717" s="14" t="n">
        <f aca="false">IFERROR(S1717/Q1717,0)</f>
        <v>0.170666218083741</v>
      </c>
      <c r="U1717" s="15" t="str">
        <f aca="false">TEXT(A1717,"yyyy-mm")</f>
        <v>2022-10</v>
      </c>
    </row>
    <row r="1718" customFormat="false" ht="15" hidden="false" customHeight="false" outlineLevel="0" collapsed="false">
      <c r="A1718" s="10" t="n">
        <v>44843</v>
      </c>
      <c r="B1718" s="11" t="s">
        <v>1850</v>
      </c>
      <c r="C1718" s="11" t="s">
        <v>103</v>
      </c>
      <c r="D1718" s="11" t="s">
        <v>67</v>
      </c>
      <c r="E1718" s="11" t="s">
        <v>68</v>
      </c>
      <c r="F1718" s="12" t="n">
        <v>3319925</v>
      </c>
      <c r="G1718" s="12" t="n">
        <v>2800000</v>
      </c>
      <c r="H1718" s="11" t="n">
        <v>18</v>
      </c>
      <c r="I1718" s="11" t="s">
        <v>86</v>
      </c>
      <c r="J1718" s="11" t="s">
        <v>87</v>
      </c>
      <c r="K1718" s="11" t="s">
        <v>88</v>
      </c>
      <c r="L1718" s="11" t="s">
        <v>89</v>
      </c>
      <c r="M1718" s="11" t="s">
        <v>90</v>
      </c>
      <c r="N1718" s="11" t="s">
        <v>123</v>
      </c>
      <c r="O1718" s="11" t="s">
        <v>60</v>
      </c>
      <c r="P1718" s="11" t="s">
        <v>106</v>
      </c>
      <c r="Q1718" s="13" t="n">
        <f aca="false">F1718*H1718</f>
        <v>59758650</v>
      </c>
      <c r="R1718" s="13" t="n">
        <f aca="false">G1718*H1718</f>
        <v>50400000</v>
      </c>
      <c r="S1718" s="13" t="n">
        <f aca="false">Q1718-R1718</f>
        <v>9358650</v>
      </c>
      <c r="T1718" s="14" t="n">
        <f aca="false">IFERROR(S1718/Q1718,0)</f>
        <v>0.15660745348163</v>
      </c>
      <c r="U1718" s="15" t="str">
        <f aca="false">TEXT(A1718,"yyyy-mm")</f>
        <v>2022-10</v>
      </c>
    </row>
    <row r="1719" customFormat="false" ht="15" hidden="false" customHeight="false" outlineLevel="0" collapsed="false">
      <c r="A1719" s="10" t="n">
        <v>44843</v>
      </c>
      <c r="B1719" s="11" t="s">
        <v>1851</v>
      </c>
      <c r="C1719" s="11" t="s">
        <v>108</v>
      </c>
      <c r="D1719" s="11" t="s">
        <v>67</v>
      </c>
      <c r="E1719" s="11" t="s">
        <v>68</v>
      </c>
      <c r="F1719" s="12" t="n">
        <v>4757880</v>
      </c>
      <c r="G1719" s="12" t="n">
        <v>3450000</v>
      </c>
      <c r="H1719" s="11" t="n">
        <v>14</v>
      </c>
      <c r="I1719" s="11" t="s">
        <v>69</v>
      </c>
      <c r="J1719" s="11" t="s">
        <v>80</v>
      </c>
      <c r="K1719" s="11" t="s">
        <v>81</v>
      </c>
      <c r="L1719" s="11" t="s">
        <v>82</v>
      </c>
      <c r="M1719" s="11" t="s">
        <v>73</v>
      </c>
      <c r="N1719" s="11" t="s">
        <v>133</v>
      </c>
      <c r="O1719" s="11" t="s">
        <v>60</v>
      </c>
      <c r="P1719" s="11" t="s">
        <v>76</v>
      </c>
      <c r="Q1719" s="13" t="n">
        <f aca="false">F1719*H1719</f>
        <v>66610320</v>
      </c>
      <c r="R1719" s="13" t="n">
        <f aca="false">G1719*H1719</f>
        <v>48300000</v>
      </c>
      <c r="S1719" s="13" t="n">
        <f aca="false">Q1719-R1719</f>
        <v>18310320</v>
      </c>
      <c r="T1719" s="14" t="n">
        <f aca="false">IFERROR(S1719/Q1719,0)</f>
        <v>0.274887134606169</v>
      </c>
      <c r="U1719" s="15" t="str">
        <f aca="false">TEXT(A1719,"yyyy-mm")</f>
        <v>2022-10</v>
      </c>
    </row>
    <row r="1720" customFormat="false" ht="15" hidden="false" customHeight="false" outlineLevel="0" collapsed="false">
      <c r="A1720" s="10" t="n">
        <v>44843</v>
      </c>
      <c r="B1720" s="11" t="s">
        <v>1852</v>
      </c>
      <c r="C1720" s="11" t="s">
        <v>111</v>
      </c>
      <c r="D1720" s="11" t="s">
        <v>67</v>
      </c>
      <c r="E1720" s="11" t="s">
        <v>79</v>
      </c>
      <c r="F1720" s="12" t="n">
        <v>3545808</v>
      </c>
      <c r="G1720" s="12" t="n">
        <v>3350000</v>
      </c>
      <c r="H1720" s="11" t="n">
        <v>7</v>
      </c>
      <c r="I1720" s="11" t="s">
        <v>69</v>
      </c>
      <c r="J1720" s="11" t="s">
        <v>112</v>
      </c>
      <c r="K1720" s="11" t="s">
        <v>113</v>
      </c>
      <c r="L1720" s="11" t="s">
        <v>82</v>
      </c>
      <c r="M1720" s="11" t="s">
        <v>157</v>
      </c>
      <c r="N1720" s="11" t="s">
        <v>104</v>
      </c>
      <c r="O1720" s="11" t="s">
        <v>105</v>
      </c>
      <c r="P1720" s="11" t="s">
        <v>106</v>
      </c>
      <c r="Q1720" s="13" t="n">
        <f aca="false">F1720*H1720</f>
        <v>24820656</v>
      </c>
      <c r="R1720" s="13" t="n">
        <f aca="false">G1720*H1720</f>
        <v>23450000</v>
      </c>
      <c r="S1720" s="13" t="n">
        <f aca="false">Q1720-R1720</f>
        <v>1370656</v>
      </c>
      <c r="T1720" s="14" t="n">
        <f aca="false">IFERROR(S1720/Q1720,0)</f>
        <v>0.0552223921881839</v>
      </c>
      <c r="U1720" s="15" t="str">
        <f aca="false">TEXT(A1720,"yyyy-mm")</f>
        <v>2022-10</v>
      </c>
    </row>
    <row r="1721" customFormat="false" ht="15" hidden="false" customHeight="false" outlineLevel="0" collapsed="false">
      <c r="A1721" s="10" t="n">
        <v>44843</v>
      </c>
      <c r="B1721" s="11" t="s">
        <v>1853</v>
      </c>
      <c r="C1721" s="11" t="s">
        <v>115</v>
      </c>
      <c r="D1721" s="11" t="s">
        <v>67</v>
      </c>
      <c r="E1721" s="11" t="s">
        <v>98</v>
      </c>
      <c r="F1721" s="12" t="n">
        <v>4200743</v>
      </c>
      <c r="G1721" s="12" t="n">
        <v>4101000</v>
      </c>
      <c r="H1721" s="11" t="n">
        <v>15</v>
      </c>
      <c r="I1721" s="11" t="s">
        <v>69</v>
      </c>
      <c r="J1721" s="11" t="s">
        <v>70</v>
      </c>
      <c r="K1721" s="11" t="s">
        <v>71</v>
      </c>
      <c r="L1721" s="11" t="s">
        <v>72</v>
      </c>
      <c r="M1721" s="11" t="s">
        <v>73</v>
      </c>
      <c r="N1721" s="11" t="s">
        <v>104</v>
      </c>
      <c r="O1721" s="11" t="s">
        <v>105</v>
      </c>
      <c r="P1721" s="11" t="s">
        <v>106</v>
      </c>
      <c r="Q1721" s="13" t="n">
        <f aca="false">F1721*H1721</f>
        <v>63011145</v>
      </c>
      <c r="R1721" s="13" t="n">
        <f aca="false">G1721*H1721</f>
        <v>61515000</v>
      </c>
      <c r="S1721" s="13" t="n">
        <f aca="false">Q1721-R1721</f>
        <v>1496145</v>
      </c>
      <c r="T1721" s="14" t="n">
        <f aca="false">IFERROR(S1721/Q1721,0)</f>
        <v>0.023744132883159</v>
      </c>
      <c r="U1721" s="15" t="str">
        <f aca="false">TEXT(A1721,"yyyy-mm")</f>
        <v>2022-10</v>
      </c>
    </row>
    <row r="1722" customFormat="false" ht="15" hidden="false" customHeight="false" outlineLevel="0" collapsed="false">
      <c r="A1722" s="10" t="n">
        <v>44843</v>
      </c>
      <c r="B1722" s="11" t="s">
        <v>1854</v>
      </c>
      <c r="C1722" s="11" t="s">
        <v>117</v>
      </c>
      <c r="D1722" s="11" t="s">
        <v>118</v>
      </c>
      <c r="E1722" s="11" t="s">
        <v>119</v>
      </c>
      <c r="F1722" s="12" t="n">
        <v>8220549</v>
      </c>
      <c r="G1722" s="12" t="n">
        <v>6500000</v>
      </c>
      <c r="H1722" s="11" t="n">
        <v>12</v>
      </c>
      <c r="I1722" s="11" t="s">
        <v>69</v>
      </c>
      <c r="J1722" s="11" t="s">
        <v>80</v>
      </c>
      <c r="K1722" s="11" t="s">
        <v>81</v>
      </c>
      <c r="L1722" s="11" t="s">
        <v>82</v>
      </c>
      <c r="M1722" s="11" t="s">
        <v>73</v>
      </c>
      <c r="N1722" s="11" t="s">
        <v>74</v>
      </c>
      <c r="O1722" s="11" t="s">
        <v>75</v>
      </c>
      <c r="P1722" s="11" t="s">
        <v>76</v>
      </c>
      <c r="Q1722" s="13" t="n">
        <f aca="false">F1722*H1722</f>
        <v>98646588</v>
      </c>
      <c r="R1722" s="13" t="n">
        <f aca="false">G1722*H1722</f>
        <v>78000000</v>
      </c>
      <c r="S1722" s="13" t="n">
        <f aca="false">Q1722-R1722</f>
        <v>20646588</v>
      </c>
      <c r="T1722" s="14" t="n">
        <f aca="false">IFERROR(S1722/Q1722,0)</f>
        <v>0.209298551714733</v>
      </c>
      <c r="U1722" s="15" t="str">
        <f aca="false">TEXT(A1722,"yyyy-mm")</f>
        <v>2022-10</v>
      </c>
    </row>
    <row r="1723" customFormat="false" ht="15" hidden="false" customHeight="false" outlineLevel="0" collapsed="false">
      <c r="A1723" s="10" t="n">
        <v>44844</v>
      </c>
      <c r="B1723" s="11" t="s">
        <v>1855</v>
      </c>
      <c r="C1723" s="11" t="s">
        <v>121</v>
      </c>
      <c r="D1723" s="11" t="s">
        <v>118</v>
      </c>
      <c r="E1723" s="11" t="s">
        <v>122</v>
      </c>
      <c r="F1723" s="12" t="n">
        <v>7687274</v>
      </c>
      <c r="G1723" s="12" t="n">
        <v>6500000</v>
      </c>
      <c r="H1723" s="11" t="n">
        <v>5</v>
      </c>
      <c r="I1723" s="11" t="s">
        <v>69</v>
      </c>
      <c r="J1723" s="11" t="s">
        <v>80</v>
      </c>
      <c r="K1723" s="11" t="s">
        <v>81</v>
      </c>
      <c r="L1723" s="11" t="s">
        <v>82</v>
      </c>
      <c r="M1723" s="11" t="s">
        <v>73</v>
      </c>
      <c r="N1723" s="11" t="s">
        <v>143</v>
      </c>
      <c r="O1723" s="11" t="s">
        <v>144</v>
      </c>
      <c r="P1723" s="11" t="s">
        <v>101</v>
      </c>
      <c r="Q1723" s="13" t="n">
        <f aca="false">F1723*H1723</f>
        <v>38436370</v>
      </c>
      <c r="R1723" s="13" t="n">
        <f aca="false">G1723*H1723</f>
        <v>32500000</v>
      </c>
      <c r="S1723" s="13" t="n">
        <f aca="false">Q1723-R1723</f>
        <v>5936370</v>
      </c>
      <c r="T1723" s="14" t="n">
        <f aca="false">IFERROR(S1723/Q1723,0)</f>
        <v>0.154446686822923</v>
      </c>
      <c r="U1723" s="15" t="str">
        <f aca="false">TEXT(A1723,"yyyy-mm")</f>
        <v>2022-10</v>
      </c>
    </row>
    <row r="1724" customFormat="false" ht="15" hidden="false" customHeight="false" outlineLevel="0" collapsed="false">
      <c r="A1724" s="10" t="n">
        <v>44844</v>
      </c>
      <c r="B1724" s="11" t="s">
        <v>1856</v>
      </c>
      <c r="C1724" s="11" t="s">
        <v>125</v>
      </c>
      <c r="D1724" s="11" t="s">
        <v>118</v>
      </c>
      <c r="E1724" s="11" t="s">
        <v>126</v>
      </c>
      <c r="F1724" s="12" t="n">
        <v>5684211</v>
      </c>
      <c r="G1724" s="12" t="n">
        <v>4300000</v>
      </c>
      <c r="H1724" s="11" t="n">
        <v>14</v>
      </c>
      <c r="I1724" s="11" t="s">
        <v>86</v>
      </c>
      <c r="J1724" s="11" t="s">
        <v>87</v>
      </c>
      <c r="K1724" s="11" t="s">
        <v>88</v>
      </c>
      <c r="L1724" s="11" t="s">
        <v>89</v>
      </c>
      <c r="M1724" s="11" t="s">
        <v>90</v>
      </c>
      <c r="N1724" s="11" t="s">
        <v>149</v>
      </c>
      <c r="O1724" s="11" t="s">
        <v>150</v>
      </c>
      <c r="P1724" s="11" t="s">
        <v>151</v>
      </c>
      <c r="Q1724" s="13" t="n">
        <f aca="false">F1724*H1724</f>
        <v>79578954</v>
      </c>
      <c r="R1724" s="13" t="n">
        <f aca="false">G1724*H1724</f>
        <v>60200000</v>
      </c>
      <c r="S1724" s="13" t="n">
        <f aca="false">Q1724-R1724</f>
        <v>19378954</v>
      </c>
      <c r="T1724" s="14" t="n">
        <f aca="false">IFERROR(S1724/Q1724,0)</f>
        <v>0.243518581558637</v>
      </c>
      <c r="U1724" s="15" t="str">
        <f aca="false">TEXT(A1724,"yyyy-mm")</f>
        <v>2022-10</v>
      </c>
    </row>
    <row r="1725" customFormat="false" ht="15" hidden="false" customHeight="false" outlineLevel="0" collapsed="false">
      <c r="A1725" s="10" t="n">
        <v>44845</v>
      </c>
      <c r="B1725" s="11" t="s">
        <v>1857</v>
      </c>
      <c r="C1725" s="11" t="s">
        <v>128</v>
      </c>
      <c r="D1725" s="11" t="s">
        <v>118</v>
      </c>
      <c r="E1725" s="11" t="s">
        <v>119</v>
      </c>
      <c r="F1725" s="12" t="n">
        <v>3370302</v>
      </c>
      <c r="G1725" s="12" t="n">
        <v>2100000</v>
      </c>
      <c r="H1725" s="11" t="n">
        <v>14</v>
      </c>
      <c r="I1725" s="11" t="s">
        <v>69</v>
      </c>
      <c r="J1725" s="11" t="s">
        <v>80</v>
      </c>
      <c r="K1725" s="11" t="s">
        <v>81</v>
      </c>
      <c r="L1725" s="11" t="s">
        <v>82</v>
      </c>
      <c r="M1725" s="11" t="s">
        <v>73</v>
      </c>
      <c r="N1725" s="11" t="s">
        <v>93</v>
      </c>
      <c r="O1725" s="11" t="s">
        <v>94</v>
      </c>
      <c r="P1725" s="11" t="s">
        <v>95</v>
      </c>
      <c r="Q1725" s="13" t="n">
        <f aca="false">F1725*H1725</f>
        <v>47184228</v>
      </c>
      <c r="R1725" s="13" t="n">
        <f aca="false">G1725*H1725</f>
        <v>29400000</v>
      </c>
      <c r="S1725" s="13" t="n">
        <f aca="false">Q1725-R1725</f>
        <v>17784228</v>
      </c>
      <c r="T1725" s="14" t="n">
        <f aca="false">IFERROR(S1725/Q1725,0)</f>
        <v>0.37691043710623</v>
      </c>
      <c r="U1725" s="15" t="str">
        <f aca="false">TEXT(A1725,"yyyy-mm")</f>
        <v>2022-10</v>
      </c>
    </row>
    <row r="1726" customFormat="false" ht="15" hidden="false" customHeight="false" outlineLevel="0" collapsed="false">
      <c r="A1726" s="10" t="n">
        <v>44845</v>
      </c>
      <c r="B1726" s="11" t="s">
        <v>1858</v>
      </c>
      <c r="C1726" s="11" t="s">
        <v>130</v>
      </c>
      <c r="D1726" s="11" t="s">
        <v>118</v>
      </c>
      <c r="E1726" s="11" t="s">
        <v>68</v>
      </c>
      <c r="F1726" s="12" t="n">
        <v>2852897</v>
      </c>
      <c r="G1726" s="12" t="n">
        <v>2450000</v>
      </c>
      <c r="H1726" s="11" t="n">
        <v>3</v>
      </c>
      <c r="I1726" s="11" t="s">
        <v>69</v>
      </c>
      <c r="J1726" s="11" t="s">
        <v>70</v>
      </c>
      <c r="K1726" s="11" t="s">
        <v>71</v>
      </c>
      <c r="L1726" s="11" t="s">
        <v>72</v>
      </c>
      <c r="M1726" s="11" t="s">
        <v>73</v>
      </c>
      <c r="N1726" s="11" t="s">
        <v>143</v>
      </c>
      <c r="O1726" s="11" t="s">
        <v>144</v>
      </c>
      <c r="P1726" s="11" t="s">
        <v>101</v>
      </c>
      <c r="Q1726" s="13" t="n">
        <f aca="false">F1726*H1726</f>
        <v>8558691</v>
      </c>
      <c r="R1726" s="13" t="n">
        <f aca="false">G1726*H1726</f>
        <v>7350000</v>
      </c>
      <c r="S1726" s="13" t="n">
        <f aca="false">Q1726-R1726</f>
        <v>1208691</v>
      </c>
      <c r="T1726" s="14" t="n">
        <f aca="false">IFERROR(S1726/Q1726,0)</f>
        <v>0.141223815651249</v>
      </c>
      <c r="U1726" s="15" t="str">
        <f aca="false">TEXT(A1726,"yyyy-mm")</f>
        <v>2022-10</v>
      </c>
    </row>
    <row r="1727" customFormat="false" ht="15" hidden="false" customHeight="false" outlineLevel="0" collapsed="false">
      <c r="A1727" s="10" t="n">
        <v>44845</v>
      </c>
      <c r="B1727" s="11" t="s">
        <v>1859</v>
      </c>
      <c r="C1727" s="11" t="s">
        <v>132</v>
      </c>
      <c r="D1727" s="11" t="s">
        <v>118</v>
      </c>
      <c r="E1727" s="11" t="s">
        <v>68</v>
      </c>
      <c r="F1727" s="12" t="n">
        <v>4803603</v>
      </c>
      <c r="G1727" s="12" t="n">
        <v>4121000</v>
      </c>
      <c r="H1727" s="11" t="n">
        <v>6</v>
      </c>
      <c r="I1727" s="11" t="s">
        <v>69</v>
      </c>
      <c r="J1727" s="11" t="s">
        <v>70</v>
      </c>
      <c r="K1727" s="11" t="s">
        <v>71</v>
      </c>
      <c r="L1727" s="11" t="s">
        <v>72</v>
      </c>
      <c r="M1727" s="11" t="s">
        <v>73</v>
      </c>
      <c r="N1727" s="11" t="s">
        <v>133</v>
      </c>
      <c r="O1727" s="11" t="s">
        <v>60</v>
      </c>
      <c r="P1727" s="11" t="s">
        <v>76</v>
      </c>
      <c r="Q1727" s="13" t="n">
        <f aca="false">F1727*H1727</f>
        <v>28821618</v>
      </c>
      <c r="R1727" s="13" t="n">
        <f aca="false">G1727*H1727</f>
        <v>24726000</v>
      </c>
      <c r="S1727" s="13" t="n">
        <f aca="false">Q1727-R1727</f>
        <v>4095618</v>
      </c>
      <c r="T1727" s="14" t="n">
        <f aca="false">IFERROR(S1727/Q1727,0)</f>
        <v>0.142102292799801</v>
      </c>
      <c r="U1727" s="15" t="str">
        <f aca="false">TEXT(A1727,"yyyy-mm")</f>
        <v>2022-10</v>
      </c>
    </row>
    <row r="1728" customFormat="false" ht="15" hidden="false" customHeight="false" outlineLevel="0" collapsed="false">
      <c r="A1728" s="10" t="n">
        <v>44846</v>
      </c>
      <c r="B1728" s="11" t="s">
        <v>1860</v>
      </c>
      <c r="C1728" s="11" t="s">
        <v>135</v>
      </c>
      <c r="D1728" s="11" t="s">
        <v>118</v>
      </c>
      <c r="E1728" s="11" t="s">
        <v>68</v>
      </c>
      <c r="F1728" s="12" t="n">
        <v>5689947</v>
      </c>
      <c r="G1728" s="12" t="n">
        <v>5235000</v>
      </c>
      <c r="H1728" s="11" t="n">
        <v>16</v>
      </c>
      <c r="I1728" s="11" t="s">
        <v>69</v>
      </c>
      <c r="J1728" s="11" t="s">
        <v>70</v>
      </c>
      <c r="K1728" s="11" t="s">
        <v>71</v>
      </c>
      <c r="L1728" s="11" t="s">
        <v>72</v>
      </c>
      <c r="M1728" s="11" t="s">
        <v>73</v>
      </c>
      <c r="N1728" s="11" t="s">
        <v>173</v>
      </c>
      <c r="O1728" s="11" t="s">
        <v>174</v>
      </c>
      <c r="P1728" s="11" t="s">
        <v>95</v>
      </c>
      <c r="Q1728" s="13" t="n">
        <f aca="false">F1728*H1728</f>
        <v>91039152</v>
      </c>
      <c r="R1728" s="13" t="n">
        <f aca="false">G1728*H1728</f>
        <v>83760000</v>
      </c>
      <c r="S1728" s="13" t="n">
        <f aca="false">Q1728-R1728</f>
        <v>7279152</v>
      </c>
      <c r="T1728" s="14" t="n">
        <f aca="false">IFERROR(S1728/Q1728,0)</f>
        <v>0.0799562807878527</v>
      </c>
      <c r="U1728" s="15" t="str">
        <f aca="false">TEXT(A1728,"yyyy-mm")</f>
        <v>2022-10</v>
      </c>
    </row>
    <row r="1729" customFormat="false" ht="15" hidden="false" customHeight="false" outlineLevel="0" collapsed="false">
      <c r="A1729" s="10" t="n">
        <v>44846</v>
      </c>
      <c r="B1729" s="11" t="s">
        <v>1861</v>
      </c>
      <c r="C1729" s="11" t="s">
        <v>137</v>
      </c>
      <c r="D1729" s="11" t="s">
        <v>138</v>
      </c>
      <c r="E1729" s="11" t="s">
        <v>139</v>
      </c>
      <c r="F1729" s="12" t="n">
        <v>5171827</v>
      </c>
      <c r="G1729" s="12" t="n">
        <v>4890000</v>
      </c>
      <c r="H1729" s="11" t="n">
        <v>2</v>
      </c>
      <c r="I1729" s="11" t="s">
        <v>69</v>
      </c>
      <c r="J1729" s="11" t="s">
        <v>80</v>
      </c>
      <c r="K1729" s="11" t="s">
        <v>81</v>
      </c>
      <c r="L1729" s="11" t="s">
        <v>82</v>
      </c>
      <c r="M1729" s="11" t="s">
        <v>73</v>
      </c>
      <c r="N1729" s="11" t="s">
        <v>149</v>
      </c>
      <c r="O1729" s="11" t="s">
        <v>150</v>
      </c>
      <c r="P1729" s="11" t="s">
        <v>151</v>
      </c>
      <c r="Q1729" s="13" t="n">
        <f aca="false">F1729*H1729</f>
        <v>10343654</v>
      </c>
      <c r="R1729" s="13" t="n">
        <f aca="false">G1729*H1729</f>
        <v>9780000</v>
      </c>
      <c r="S1729" s="13" t="n">
        <f aca="false">Q1729-R1729</f>
        <v>563654</v>
      </c>
      <c r="T1729" s="14" t="n">
        <f aca="false">IFERROR(S1729/Q1729,0)</f>
        <v>0.0544927353525166</v>
      </c>
      <c r="U1729" s="15" t="str">
        <f aca="false">TEXT(A1729,"yyyy-mm")</f>
        <v>2022-10</v>
      </c>
    </row>
    <row r="1730" customFormat="false" ht="15" hidden="false" customHeight="false" outlineLevel="0" collapsed="false">
      <c r="A1730" s="10" t="n">
        <v>44846</v>
      </c>
      <c r="B1730" s="11" t="s">
        <v>1862</v>
      </c>
      <c r="C1730" s="11" t="s">
        <v>141</v>
      </c>
      <c r="D1730" s="11" t="s">
        <v>138</v>
      </c>
      <c r="E1730" s="11" t="s">
        <v>142</v>
      </c>
      <c r="F1730" s="12" t="n">
        <v>2805124</v>
      </c>
      <c r="G1730" s="12" t="n">
        <v>2178000</v>
      </c>
      <c r="H1730" s="11" t="n">
        <v>22</v>
      </c>
      <c r="I1730" s="11" t="s">
        <v>69</v>
      </c>
      <c r="J1730" s="11" t="s">
        <v>80</v>
      </c>
      <c r="K1730" s="11" t="s">
        <v>81</v>
      </c>
      <c r="L1730" s="11" t="s">
        <v>82</v>
      </c>
      <c r="M1730" s="11" t="s">
        <v>73</v>
      </c>
      <c r="N1730" s="11" t="s">
        <v>133</v>
      </c>
      <c r="O1730" s="11" t="s">
        <v>60</v>
      </c>
      <c r="P1730" s="11" t="s">
        <v>76</v>
      </c>
      <c r="Q1730" s="13" t="n">
        <f aca="false">F1730*H1730</f>
        <v>61712728</v>
      </c>
      <c r="R1730" s="13" t="n">
        <f aca="false">G1730*H1730</f>
        <v>47916000</v>
      </c>
      <c r="S1730" s="13" t="n">
        <f aca="false">Q1730-R1730</f>
        <v>13796728</v>
      </c>
      <c r="T1730" s="14" t="n">
        <f aca="false">IFERROR(S1730/Q1730,0)</f>
        <v>0.22356373550688</v>
      </c>
      <c r="U1730" s="15" t="str">
        <f aca="false">TEXT(A1730,"yyyy-mm")</f>
        <v>2022-10</v>
      </c>
    </row>
    <row r="1731" customFormat="false" ht="15" hidden="false" customHeight="false" outlineLevel="0" collapsed="false">
      <c r="A1731" s="10" t="n">
        <v>44847</v>
      </c>
      <c r="B1731" s="11" t="s">
        <v>1863</v>
      </c>
      <c r="C1731" s="11" t="s">
        <v>146</v>
      </c>
      <c r="D1731" s="11" t="s">
        <v>138</v>
      </c>
      <c r="E1731" s="11" t="s">
        <v>139</v>
      </c>
      <c r="F1731" s="12" t="n">
        <v>2728100</v>
      </c>
      <c r="G1731" s="12" t="n">
        <v>2321000</v>
      </c>
      <c r="H1731" s="11" t="n">
        <v>23</v>
      </c>
      <c r="I1731" s="11" t="s">
        <v>69</v>
      </c>
      <c r="J1731" s="11" t="s">
        <v>80</v>
      </c>
      <c r="K1731" s="11" t="s">
        <v>81</v>
      </c>
      <c r="L1731" s="11" t="s">
        <v>82</v>
      </c>
      <c r="M1731" s="11" t="s">
        <v>73</v>
      </c>
      <c r="N1731" s="11" t="s">
        <v>93</v>
      </c>
      <c r="O1731" s="11" t="s">
        <v>94</v>
      </c>
      <c r="P1731" s="11" t="s">
        <v>95</v>
      </c>
      <c r="Q1731" s="13" t="n">
        <f aca="false">F1731*H1731</f>
        <v>62746300</v>
      </c>
      <c r="R1731" s="13" t="n">
        <f aca="false">G1731*H1731</f>
        <v>53383000</v>
      </c>
      <c r="S1731" s="13" t="n">
        <f aca="false">Q1731-R1731</f>
        <v>9363300</v>
      </c>
      <c r="T1731" s="14" t="n">
        <f aca="false">IFERROR(S1731/Q1731,0)</f>
        <v>0.149224735163667</v>
      </c>
      <c r="U1731" s="15" t="str">
        <f aca="false">TEXT(A1731,"yyyy-mm")</f>
        <v>2022-10</v>
      </c>
    </row>
    <row r="1732" customFormat="false" ht="15" hidden="false" customHeight="false" outlineLevel="0" collapsed="false">
      <c r="A1732" s="10" t="n">
        <v>44847</v>
      </c>
      <c r="B1732" s="11" t="s">
        <v>1864</v>
      </c>
      <c r="C1732" s="11" t="s">
        <v>148</v>
      </c>
      <c r="D1732" s="11" t="s">
        <v>138</v>
      </c>
      <c r="E1732" s="11" t="s">
        <v>122</v>
      </c>
      <c r="F1732" s="12" t="n">
        <v>4941716</v>
      </c>
      <c r="G1732" s="12" t="n">
        <v>4456000</v>
      </c>
      <c r="H1732" s="11" t="n">
        <v>22</v>
      </c>
      <c r="I1732" s="11" t="s">
        <v>69</v>
      </c>
      <c r="J1732" s="11" t="s">
        <v>80</v>
      </c>
      <c r="K1732" s="11" t="s">
        <v>81</v>
      </c>
      <c r="L1732" s="11" t="s">
        <v>82</v>
      </c>
      <c r="M1732" s="11" t="s">
        <v>73</v>
      </c>
      <c r="N1732" s="11" t="s">
        <v>109</v>
      </c>
      <c r="O1732" s="11" t="s">
        <v>75</v>
      </c>
      <c r="P1732" s="11" t="s">
        <v>95</v>
      </c>
      <c r="Q1732" s="13" t="n">
        <f aca="false">F1732*H1732</f>
        <v>108717752</v>
      </c>
      <c r="R1732" s="13" t="n">
        <f aca="false">G1732*H1732</f>
        <v>98032000</v>
      </c>
      <c r="S1732" s="13" t="n">
        <f aca="false">Q1732-R1732</f>
        <v>10685752</v>
      </c>
      <c r="T1732" s="14" t="n">
        <f aca="false">IFERROR(S1732/Q1732,0)</f>
        <v>0.0982889344511097</v>
      </c>
      <c r="U1732" s="15" t="str">
        <f aca="false">TEXT(A1732,"yyyy-mm")</f>
        <v>2022-10</v>
      </c>
    </row>
    <row r="1733" customFormat="false" ht="15" hidden="false" customHeight="false" outlineLevel="0" collapsed="false">
      <c r="A1733" s="10" t="n">
        <v>44848</v>
      </c>
      <c r="B1733" s="11" t="s">
        <v>1865</v>
      </c>
      <c r="C1733" s="11" t="s">
        <v>66</v>
      </c>
      <c r="D1733" s="11" t="s">
        <v>67</v>
      </c>
      <c r="E1733" s="11" t="s">
        <v>68</v>
      </c>
      <c r="F1733" s="12" t="n">
        <v>3048952</v>
      </c>
      <c r="G1733" s="12" t="n">
        <v>2560000</v>
      </c>
      <c r="H1733" s="11" t="n">
        <v>4</v>
      </c>
      <c r="I1733" s="11" t="s">
        <v>69</v>
      </c>
      <c r="J1733" s="11" t="s">
        <v>80</v>
      </c>
      <c r="K1733" s="11" t="s">
        <v>81</v>
      </c>
      <c r="L1733" s="11" t="s">
        <v>82</v>
      </c>
      <c r="M1733" s="11" t="s">
        <v>73</v>
      </c>
      <c r="N1733" s="11" t="s">
        <v>143</v>
      </c>
      <c r="O1733" s="11" t="s">
        <v>144</v>
      </c>
      <c r="P1733" s="11" t="s">
        <v>101</v>
      </c>
      <c r="Q1733" s="13" t="n">
        <f aca="false">F1733*H1733</f>
        <v>12195808</v>
      </c>
      <c r="R1733" s="13" t="n">
        <f aca="false">G1733*H1733</f>
        <v>10240000</v>
      </c>
      <c r="S1733" s="13" t="n">
        <f aca="false">Q1733-R1733</f>
        <v>1955808</v>
      </c>
      <c r="T1733" s="14" t="n">
        <f aca="false">IFERROR(S1733/Q1733,0)</f>
        <v>0.160367234380863</v>
      </c>
      <c r="U1733" s="15" t="str">
        <f aca="false">TEXT(A1733,"yyyy-mm")</f>
        <v>2022-10</v>
      </c>
    </row>
    <row r="1734" customFormat="false" ht="15" hidden="false" customHeight="false" outlineLevel="0" collapsed="false">
      <c r="A1734" s="10" t="n">
        <v>44848</v>
      </c>
      <c r="B1734" s="11" t="s">
        <v>1866</v>
      </c>
      <c r="C1734" s="11" t="s">
        <v>78</v>
      </c>
      <c r="D1734" s="11" t="s">
        <v>67</v>
      </c>
      <c r="E1734" s="11" t="s">
        <v>79</v>
      </c>
      <c r="F1734" s="12" t="n">
        <v>1870000</v>
      </c>
      <c r="G1734" s="12" t="n">
        <v>1650000</v>
      </c>
      <c r="H1734" s="11" t="n">
        <v>1</v>
      </c>
      <c r="I1734" s="11" t="s">
        <v>69</v>
      </c>
      <c r="J1734" s="11" t="s">
        <v>112</v>
      </c>
      <c r="K1734" s="11" t="s">
        <v>113</v>
      </c>
      <c r="L1734" s="11" t="s">
        <v>82</v>
      </c>
      <c r="M1734" s="11" t="s">
        <v>157</v>
      </c>
      <c r="N1734" s="11" t="s">
        <v>74</v>
      </c>
      <c r="O1734" s="11" t="s">
        <v>75</v>
      </c>
      <c r="P1734" s="11" t="s">
        <v>76</v>
      </c>
      <c r="Q1734" s="13" t="n">
        <f aca="false">F1734*H1734</f>
        <v>1870000</v>
      </c>
      <c r="R1734" s="13" t="n">
        <f aca="false">G1734*H1734</f>
        <v>1650000</v>
      </c>
      <c r="S1734" s="13" t="n">
        <f aca="false">Q1734-R1734</f>
        <v>220000</v>
      </c>
      <c r="T1734" s="14" t="n">
        <f aca="false">IFERROR(S1734/Q1734,0)</f>
        <v>0.117647058823529</v>
      </c>
      <c r="U1734" s="15" t="str">
        <f aca="false">TEXT(A1734,"yyyy-mm")</f>
        <v>2022-10</v>
      </c>
    </row>
    <row r="1735" customFormat="false" ht="15" hidden="false" customHeight="false" outlineLevel="0" collapsed="false">
      <c r="A1735" s="10" t="n">
        <v>44848</v>
      </c>
      <c r="B1735" s="11" t="s">
        <v>1867</v>
      </c>
      <c r="C1735" s="11" t="s">
        <v>84</v>
      </c>
      <c r="D1735" s="11" t="s">
        <v>67</v>
      </c>
      <c r="E1735" s="11" t="s">
        <v>85</v>
      </c>
      <c r="F1735" s="12" t="n">
        <v>2600000</v>
      </c>
      <c r="G1735" s="12" t="n">
        <v>2300000</v>
      </c>
      <c r="H1735" s="11" t="n">
        <v>7</v>
      </c>
      <c r="I1735" s="11" t="s">
        <v>86</v>
      </c>
      <c r="J1735" s="11" t="s">
        <v>87</v>
      </c>
      <c r="K1735" s="11" t="s">
        <v>88</v>
      </c>
      <c r="L1735" s="11" t="s">
        <v>89</v>
      </c>
      <c r="M1735" s="11" t="s">
        <v>90</v>
      </c>
      <c r="N1735" s="11" t="s">
        <v>133</v>
      </c>
      <c r="O1735" s="11" t="s">
        <v>60</v>
      </c>
      <c r="P1735" s="11" t="s">
        <v>76</v>
      </c>
      <c r="Q1735" s="13" t="n">
        <f aca="false">F1735*H1735</f>
        <v>18200000</v>
      </c>
      <c r="R1735" s="13" t="n">
        <f aca="false">G1735*H1735</f>
        <v>16100000</v>
      </c>
      <c r="S1735" s="13" t="n">
        <f aca="false">Q1735-R1735</f>
        <v>2100000</v>
      </c>
      <c r="T1735" s="14" t="n">
        <f aca="false">IFERROR(S1735/Q1735,0)</f>
        <v>0.115384615384615</v>
      </c>
      <c r="U1735" s="15" t="str">
        <f aca="false">TEXT(A1735,"yyyy-mm")</f>
        <v>2022-10</v>
      </c>
    </row>
    <row r="1736" customFormat="false" ht="15" hidden="false" customHeight="false" outlineLevel="0" collapsed="false">
      <c r="A1736" s="10" t="n">
        <v>44848</v>
      </c>
      <c r="B1736" s="11" t="s">
        <v>1868</v>
      </c>
      <c r="C1736" s="11" t="s">
        <v>92</v>
      </c>
      <c r="D1736" s="11" t="s">
        <v>67</v>
      </c>
      <c r="E1736" s="11" t="s">
        <v>79</v>
      </c>
      <c r="F1736" s="12" t="n">
        <v>3577480</v>
      </c>
      <c r="G1736" s="12" t="n">
        <v>3100000</v>
      </c>
      <c r="H1736" s="11" t="n">
        <v>8</v>
      </c>
      <c r="I1736" s="11" t="s">
        <v>69</v>
      </c>
      <c r="J1736" s="11" t="s">
        <v>112</v>
      </c>
      <c r="K1736" s="11" t="s">
        <v>113</v>
      </c>
      <c r="L1736" s="11" t="s">
        <v>82</v>
      </c>
      <c r="M1736" s="11" t="s">
        <v>157</v>
      </c>
      <c r="N1736" s="11" t="s">
        <v>133</v>
      </c>
      <c r="O1736" s="11" t="s">
        <v>60</v>
      </c>
      <c r="P1736" s="11" t="s">
        <v>76</v>
      </c>
      <c r="Q1736" s="13" t="n">
        <f aca="false">F1736*H1736</f>
        <v>28619840</v>
      </c>
      <c r="R1736" s="13" t="n">
        <f aca="false">G1736*H1736</f>
        <v>24800000</v>
      </c>
      <c r="S1736" s="13" t="n">
        <f aca="false">Q1736-R1736</f>
        <v>3819840</v>
      </c>
      <c r="T1736" s="14" t="n">
        <f aca="false">IFERROR(S1736/Q1736,0)</f>
        <v>0.133468251394837</v>
      </c>
      <c r="U1736" s="15" t="str">
        <f aca="false">TEXT(A1736,"yyyy-mm")</f>
        <v>2022-10</v>
      </c>
    </row>
    <row r="1737" customFormat="false" ht="15" hidden="false" customHeight="false" outlineLevel="0" collapsed="false">
      <c r="A1737" s="10" t="n">
        <v>44849</v>
      </c>
      <c r="B1737" s="11" t="s">
        <v>1869</v>
      </c>
      <c r="C1737" s="11" t="s">
        <v>97</v>
      </c>
      <c r="D1737" s="11" t="s">
        <v>67</v>
      </c>
      <c r="E1737" s="11" t="s">
        <v>98</v>
      </c>
      <c r="F1737" s="12" t="n">
        <v>4969724</v>
      </c>
      <c r="G1737" s="12" t="n">
        <v>4121560</v>
      </c>
      <c r="H1737" s="11" t="n">
        <v>18</v>
      </c>
      <c r="I1737" s="11" t="s">
        <v>69</v>
      </c>
      <c r="J1737" s="11" t="s">
        <v>112</v>
      </c>
      <c r="K1737" s="11" t="s">
        <v>113</v>
      </c>
      <c r="L1737" s="11" t="s">
        <v>82</v>
      </c>
      <c r="M1737" s="11" t="s">
        <v>157</v>
      </c>
      <c r="N1737" s="11" t="s">
        <v>109</v>
      </c>
      <c r="O1737" s="11" t="s">
        <v>75</v>
      </c>
      <c r="P1737" s="11" t="s">
        <v>95</v>
      </c>
      <c r="Q1737" s="13" t="n">
        <f aca="false">F1737*H1737</f>
        <v>89455032</v>
      </c>
      <c r="R1737" s="13" t="n">
        <f aca="false">G1737*H1737</f>
        <v>74188080</v>
      </c>
      <c r="S1737" s="13" t="n">
        <f aca="false">Q1737-R1737</f>
        <v>15266952</v>
      </c>
      <c r="T1737" s="14" t="n">
        <f aca="false">IFERROR(S1737/Q1737,0)</f>
        <v>0.170666218083741</v>
      </c>
      <c r="U1737" s="15" t="str">
        <f aca="false">TEXT(A1737,"yyyy-mm")</f>
        <v>2022-10</v>
      </c>
    </row>
    <row r="1738" customFormat="false" ht="15" hidden="false" customHeight="false" outlineLevel="0" collapsed="false">
      <c r="A1738" s="10" t="n">
        <v>44850</v>
      </c>
      <c r="B1738" s="11" t="s">
        <v>1870</v>
      </c>
      <c r="C1738" s="11" t="s">
        <v>103</v>
      </c>
      <c r="D1738" s="11" t="s">
        <v>67</v>
      </c>
      <c r="E1738" s="11" t="s">
        <v>68</v>
      </c>
      <c r="F1738" s="12" t="n">
        <v>3319925</v>
      </c>
      <c r="G1738" s="12" t="n">
        <v>2800000</v>
      </c>
      <c r="H1738" s="11" t="n">
        <v>14</v>
      </c>
      <c r="I1738" s="11" t="s">
        <v>69</v>
      </c>
      <c r="J1738" s="11" t="s">
        <v>70</v>
      </c>
      <c r="K1738" s="11" t="s">
        <v>71</v>
      </c>
      <c r="L1738" s="11" t="s">
        <v>72</v>
      </c>
      <c r="M1738" s="11" t="s">
        <v>73</v>
      </c>
      <c r="N1738" s="11" t="s">
        <v>109</v>
      </c>
      <c r="O1738" s="11" t="s">
        <v>75</v>
      </c>
      <c r="P1738" s="11" t="s">
        <v>95</v>
      </c>
      <c r="Q1738" s="13" t="n">
        <f aca="false">F1738*H1738</f>
        <v>46478950</v>
      </c>
      <c r="R1738" s="13" t="n">
        <f aca="false">G1738*H1738</f>
        <v>39200000</v>
      </c>
      <c r="S1738" s="13" t="n">
        <f aca="false">Q1738-R1738</f>
        <v>7278950</v>
      </c>
      <c r="T1738" s="14" t="n">
        <f aca="false">IFERROR(S1738/Q1738,0)</f>
        <v>0.15660745348163</v>
      </c>
      <c r="U1738" s="15" t="str">
        <f aca="false">TEXT(A1738,"yyyy-mm")</f>
        <v>2022-10</v>
      </c>
    </row>
    <row r="1739" customFormat="false" ht="15" hidden="false" customHeight="false" outlineLevel="0" collapsed="false">
      <c r="A1739" s="10" t="n">
        <v>44850</v>
      </c>
      <c r="B1739" s="11" t="s">
        <v>1871</v>
      </c>
      <c r="C1739" s="11" t="s">
        <v>108</v>
      </c>
      <c r="D1739" s="11" t="s">
        <v>67</v>
      </c>
      <c r="E1739" s="11" t="s">
        <v>68</v>
      </c>
      <c r="F1739" s="12" t="n">
        <v>4757880</v>
      </c>
      <c r="G1739" s="12" t="n">
        <v>3450000</v>
      </c>
      <c r="H1739" s="11" t="n">
        <v>2</v>
      </c>
      <c r="I1739" s="11" t="s">
        <v>69</v>
      </c>
      <c r="J1739" s="11" t="s">
        <v>80</v>
      </c>
      <c r="K1739" s="11" t="s">
        <v>81</v>
      </c>
      <c r="L1739" s="11" t="s">
        <v>82</v>
      </c>
      <c r="M1739" s="11" t="s">
        <v>73</v>
      </c>
      <c r="N1739" s="11" t="s">
        <v>133</v>
      </c>
      <c r="O1739" s="11" t="s">
        <v>60</v>
      </c>
      <c r="P1739" s="11" t="s">
        <v>76</v>
      </c>
      <c r="Q1739" s="13" t="n">
        <f aca="false">F1739*H1739</f>
        <v>9515760</v>
      </c>
      <c r="R1739" s="13" t="n">
        <f aca="false">G1739*H1739</f>
        <v>6900000</v>
      </c>
      <c r="S1739" s="13" t="n">
        <f aca="false">Q1739-R1739</f>
        <v>2615760</v>
      </c>
      <c r="T1739" s="14" t="n">
        <f aca="false">IFERROR(S1739/Q1739,0)</f>
        <v>0.274887134606169</v>
      </c>
      <c r="U1739" s="15" t="str">
        <f aca="false">TEXT(A1739,"yyyy-mm")</f>
        <v>2022-10</v>
      </c>
    </row>
    <row r="1740" customFormat="false" ht="15" hidden="false" customHeight="false" outlineLevel="0" collapsed="false">
      <c r="A1740" s="10" t="n">
        <v>44850</v>
      </c>
      <c r="B1740" s="11" t="s">
        <v>1872</v>
      </c>
      <c r="C1740" s="11" t="s">
        <v>111</v>
      </c>
      <c r="D1740" s="11" t="s">
        <v>67</v>
      </c>
      <c r="E1740" s="11" t="s">
        <v>79</v>
      </c>
      <c r="F1740" s="12" t="n">
        <v>3545808</v>
      </c>
      <c r="G1740" s="12" t="n">
        <v>3350000</v>
      </c>
      <c r="H1740" s="11" t="n">
        <v>19</v>
      </c>
      <c r="I1740" s="11" t="s">
        <v>86</v>
      </c>
      <c r="J1740" s="11" t="s">
        <v>87</v>
      </c>
      <c r="K1740" s="11" t="s">
        <v>88</v>
      </c>
      <c r="L1740" s="11" t="s">
        <v>89</v>
      </c>
      <c r="M1740" s="11" t="s">
        <v>90</v>
      </c>
      <c r="N1740" s="11" t="s">
        <v>133</v>
      </c>
      <c r="O1740" s="11" t="s">
        <v>60</v>
      </c>
      <c r="P1740" s="11" t="s">
        <v>76</v>
      </c>
      <c r="Q1740" s="13" t="n">
        <f aca="false">F1740*H1740</f>
        <v>67370352</v>
      </c>
      <c r="R1740" s="13" t="n">
        <f aca="false">G1740*H1740</f>
        <v>63650000</v>
      </c>
      <c r="S1740" s="13" t="n">
        <f aca="false">Q1740-R1740</f>
        <v>3720352</v>
      </c>
      <c r="T1740" s="14" t="n">
        <f aca="false">IFERROR(S1740/Q1740,0)</f>
        <v>0.0552223921881839</v>
      </c>
      <c r="U1740" s="15" t="str">
        <f aca="false">TEXT(A1740,"yyyy-mm")</f>
        <v>2022-10</v>
      </c>
    </row>
    <row r="1741" customFormat="false" ht="15" hidden="false" customHeight="false" outlineLevel="0" collapsed="false">
      <c r="A1741" s="10" t="n">
        <v>44850</v>
      </c>
      <c r="B1741" s="11" t="s">
        <v>1873</v>
      </c>
      <c r="C1741" s="11" t="s">
        <v>115</v>
      </c>
      <c r="D1741" s="11" t="s">
        <v>67</v>
      </c>
      <c r="E1741" s="11" t="s">
        <v>98</v>
      </c>
      <c r="F1741" s="12" t="n">
        <v>4200743</v>
      </c>
      <c r="G1741" s="12" t="n">
        <v>4101000</v>
      </c>
      <c r="H1741" s="11" t="n">
        <v>3</v>
      </c>
      <c r="I1741" s="11" t="s">
        <v>69</v>
      </c>
      <c r="J1741" s="11" t="s">
        <v>80</v>
      </c>
      <c r="K1741" s="11" t="s">
        <v>81</v>
      </c>
      <c r="L1741" s="11" t="s">
        <v>82</v>
      </c>
      <c r="M1741" s="11" t="s">
        <v>73</v>
      </c>
      <c r="N1741" s="11" t="s">
        <v>93</v>
      </c>
      <c r="O1741" s="11" t="s">
        <v>94</v>
      </c>
      <c r="P1741" s="11" t="s">
        <v>95</v>
      </c>
      <c r="Q1741" s="13" t="n">
        <f aca="false">F1741*H1741</f>
        <v>12602229</v>
      </c>
      <c r="R1741" s="13" t="n">
        <f aca="false">G1741*H1741</f>
        <v>12303000</v>
      </c>
      <c r="S1741" s="13" t="n">
        <f aca="false">Q1741-R1741</f>
        <v>299229</v>
      </c>
      <c r="T1741" s="14" t="n">
        <f aca="false">IFERROR(S1741/Q1741,0)</f>
        <v>0.023744132883159</v>
      </c>
      <c r="U1741" s="15" t="str">
        <f aca="false">TEXT(A1741,"yyyy-mm")</f>
        <v>2022-10</v>
      </c>
    </row>
    <row r="1742" customFormat="false" ht="15" hidden="false" customHeight="false" outlineLevel="0" collapsed="false">
      <c r="A1742" s="10" t="n">
        <v>44851</v>
      </c>
      <c r="B1742" s="11" t="s">
        <v>1874</v>
      </c>
      <c r="C1742" s="11" t="s">
        <v>117</v>
      </c>
      <c r="D1742" s="11" t="s">
        <v>118</v>
      </c>
      <c r="E1742" s="11" t="s">
        <v>119</v>
      </c>
      <c r="F1742" s="12" t="n">
        <v>8220549</v>
      </c>
      <c r="G1742" s="12" t="n">
        <v>6500000</v>
      </c>
      <c r="H1742" s="11" t="n">
        <v>19</v>
      </c>
      <c r="I1742" s="11" t="s">
        <v>69</v>
      </c>
      <c r="J1742" s="11" t="s">
        <v>70</v>
      </c>
      <c r="K1742" s="11" t="s">
        <v>71</v>
      </c>
      <c r="L1742" s="11" t="s">
        <v>72</v>
      </c>
      <c r="M1742" s="11" t="s">
        <v>73</v>
      </c>
      <c r="N1742" s="11" t="s">
        <v>74</v>
      </c>
      <c r="O1742" s="11" t="s">
        <v>75</v>
      </c>
      <c r="P1742" s="11" t="s">
        <v>76</v>
      </c>
      <c r="Q1742" s="13" t="n">
        <f aca="false">F1742*H1742</f>
        <v>156190431</v>
      </c>
      <c r="R1742" s="13" t="n">
        <f aca="false">G1742*H1742</f>
        <v>123500000</v>
      </c>
      <c r="S1742" s="13" t="n">
        <f aca="false">Q1742-R1742</f>
        <v>32690431</v>
      </c>
      <c r="T1742" s="14" t="n">
        <f aca="false">IFERROR(S1742/Q1742,0)</f>
        <v>0.209298551714733</v>
      </c>
      <c r="U1742" s="15" t="str">
        <f aca="false">TEXT(A1742,"yyyy-mm")</f>
        <v>2022-10</v>
      </c>
    </row>
    <row r="1743" customFormat="false" ht="15" hidden="false" customHeight="false" outlineLevel="0" collapsed="false">
      <c r="A1743" s="10" t="n">
        <v>44852</v>
      </c>
      <c r="B1743" s="11" t="s">
        <v>1875</v>
      </c>
      <c r="C1743" s="11" t="s">
        <v>121</v>
      </c>
      <c r="D1743" s="11" t="s">
        <v>118</v>
      </c>
      <c r="E1743" s="11" t="s">
        <v>122</v>
      </c>
      <c r="F1743" s="12" t="n">
        <v>7687274</v>
      </c>
      <c r="G1743" s="12" t="n">
        <v>6500000</v>
      </c>
      <c r="H1743" s="11" t="n">
        <v>13</v>
      </c>
      <c r="I1743" s="11" t="s">
        <v>69</v>
      </c>
      <c r="J1743" s="11" t="s">
        <v>80</v>
      </c>
      <c r="K1743" s="11" t="s">
        <v>81</v>
      </c>
      <c r="L1743" s="11" t="s">
        <v>82</v>
      </c>
      <c r="M1743" s="11" t="s">
        <v>73</v>
      </c>
      <c r="N1743" s="11" t="s">
        <v>99</v>
      </c>
      <c r="O1743" s="11" t="s">
        <v>100</v>
      </c>
      <c r="P1743" s="11" t="s">
        <v>101</v>
      </c>
      <c r="Q1743" s="13" t="n">
        <f aca="false">F1743*H1743</f>
        <v>99934562</v>
      </c>
      <c r="R1743" s="13" t="n">
        <f aca="false">G1743*H1743</f>
        <v>84500000</v>
      </c>
      <c r="S1743" s="13" t="n">
        <f aca="false">Q1743-R1743</f>
        <v>15434562</v>
      </c>
      <c r="T1743" s="14" t="n">
        <f aca="false">IFERROR(S1743/Q1743,0)</f>
        <v>0.154446686822923</v>
      </c>
      <c r="U1743" s="15" t="str">
        <f aca="false">TEXT(A1743,"yyyy-mm")</f>
        <v>2022-10</v>
      </c>
    </row>
    <row r="1744" customFormat="false" ht="15" hidden="false" customHeight="false" outlineLevel="0" collapsed="false">
      <c r="A1744" s="10" t="n">
        <v>44852</v>
      </c>
      <c r="B1744" s="11" t="s">
        <v>1876</v>
      </c>
      <c r="C1744" s="11" t="s">
        <v>125</v>
      </c>
      <c r="D1744" s="11" t="s">
        <v>118</v>
      </c>
      <c r="E1744" s="11" t="s">
        <v>126</v>
      </c>
      <c r="F1744" s="12" t="n">
        <v>5684211</v>
      </c>
      <c r="G1744" s="12" t="n">
        <v>4300000</v>
      </c>
      <c r="H1744" s="11" t="n">
        <v>9</v>
      </c>
      <c r="I1744" s="11" t="s">
        <v>69</v>
      </c>
      <c r="J1744" s="11" t="s">
        <v>80</v>
      </c>
      <c r="K1744" s="11" t="s">
        <v>81</v>
      </c>
      <c r="L1744" s="11" t="s">
        <v>82</v>
      </c>
      <c r="M1744" s="11" t="s">
        <v>73</v>
      </c>
      <c r="N1744" s="11" t="s">
        <v>93</v>
      </c>
      <c r="O1744" s="11" t="s">
        <v>94</v>
      </c>
      <c r="P1744" s="11" t="s">
        <v>95</v>
      </c>
      <c r="Q1744" s="13" t="n">
        <f aca="false">F1744*H1744</f>
        <v>51157899</v>
      </c>
      <c r="R1744" s="13" t="n">
        <f aca="false">G1744*H1744</f>
        <v>38700000</v>
      </c>
      <c r="S1744" s="13" t="n">
        <f aca="false">Q1744-R1744</f>
        <v>12457899</v>
      </c>
      <c r="T1744" s="14" t="n">
        <f aca="false">IFERROR(S1744/Q1744,0)</f>
        <v>0.243518581558637</v>
      </c>
      <c r="U1744" s="15" t="str">
        <f aca="false">TEXT(A1744,"yyyy-mm")</f>
        <v>2022-10</v>
      </c>
    </row>
    <row r="1745" customFormat="false" ht="15" hidden="false" customHeight="false" outlineLevel="0" collapsed="false">
      <c r="A1745" s="10" t="n">
        <v>44852</v>
      </c>
      <c r="B1745" s="11" t="s">
        <v>1877</v>
      </c>
      <c r="C1745" s="11" t="s">
        <v>128</v>
      </c>
      <c r="D1745" s="11" t="s">
        <v>118</v>
      </c>
      <c r="E1745" s="11" t="s">
        <v>119</v>
      </c>
      <c r="F1745" s="12" t="n">
        <v>3370302</v>
      </c>
      <c r="G1745" s="12" t="n">
        <v>2100000</v>
      </c>
      <c r="H1745" s="11" t="n">
        <v>32</v>
      </c>
      <c r="I1745" s="11" t="s">
        <v>69</v>
      </c>
      <c r="J1745" s="11" t="s">
        <v>80</v>
      </c>
      <c r="K1745" s="11" t="s">
        <v>81</v>
      </c>
      <c r="L1745" s="11" t="s">
        <v>82</v>
      </c>
      <c r="M1745" s="11" t="s">
        <v>73</v>
      </c>
      <c r="N1745" s="11" t="s">
        <v>123</v>
      </c>
      <c r="O1745" s="11" t="s">
        <v>60</v>
      </c>
      <c r="P1745" s="11" t="s">
        <v>106</v>
      </c>
      <c r="Q1745" s="13" t="n">
        <f aca="false">F1745*H1745</f>
        <v>107849664</v>
      </c>
      <c r="R1745" s="13" t="n">
        <f aca="false">G1745*H1745</f>
        <v>67200000</v>
      </c>
      <c r="S1745" s="13" t="n">
        <f aca="false">Q1745-R1745</f>
        <v>40649664</v>
      </c>
      <c r="T1745" s="14" t="n">
        <f aca="false">IFERROR(S1745/Q1745,0)</f>
        <v>0.37691043710623</v>
      </c>
      <c r="U1745" s="15" t="str">
        <f aca="false">TEXT(A1745,"yyyy-mm")</f>
        <v>2022-10</v>
      </c>
    </row>
    <row r="1746" customFormat="false" ht="15" hidden="false" customHeight="false" outlineLevel="0" collapsed="false">
      <c r="A1746" s="10" t="n">
        <v>44852</v>
      </c>
      <c r="B1746" s="11" t="s">
        <v>1878</v>
      </c>
      <c r="C1746" s="11" t="s">
        <v>130</v>
      </c>
      <c r="D1746" s="11" t="s">
        <v>118</v>
      </c>
      <c r="E1746" s="11" t="s">
        <v>68</v>
      </c>
      <c r="F1746" s="12" t="n">
        <v>2852897</v>
      </c>
      <c r="G1746" s="12" t="n">
        <v>2450000</v>
      </c>
      <c r="H1746" s="11" t="n">
        <v>4</v>
      </c>
      <c r="I1746" s="11" t="s">
        <v>69</v>
      </c>
      <c r="J1746" s="11" t="s">
        <v>112</v>
      </c>
      <c r="K1746" s="11" t="s">
        <v>113</v>
      </c>
      <c r="L1746" s="11" t="s">
        <v>82</v>
      </c>
      <c r="M1746" s="11" t="s">
        <v>157</v>
      </c>
      <c r="N1746" s="11" t="s">
        <v>143</v>
      </c>
      <c r="O1746" s="11" t="s">
        <v>144</v>
      </c>
      <c r="P1746" s="11" t="s">
        <v>101</v>
      </c>
      <c r="Q1746" s="13" t="n">
        <f aca="false">F1746*H1746</f>
        <v>11411588</v>
      </c>
      <c r="R1746" s="13" t="n">
        <f aca="false">G1746*H1746</f>
        <v>9800000</v>
      </c>
      <c r="S1746" s="13" t="n">
        <f aca="false">Q1746-R1746</f>
        <v>1611588</v>
      </c>
      <c r="T1746" s="14" t="n">
        <f aca="false">IFERROR(S1746/Q1746,0)</f>
        <v>0.141223815651249</v>
      </c>
      <c r="U1746" s="15" t="str">
        <f aca="false">TEXT(A1746,"yyyy-mm")</f>
        <v>2022-10</v>
      </c>
    </row>
    <row r="1747" customFormat="false" ht="15" hidden="false" customHeight="false" outlineLevel="0" collapsed="false">
      <c r="A1747" s="10" t="n">
        <v>44853</v>
      </c>
      <c r="B1747" s="11" t="s">
        <v>1879</v>
      </c>
      <c r="C1747" s="11" t="s">
        <v>132</v>
      </c>
      <c r="D1747" s="11" t="s">
        <v>118</v>
      </c>
      <c r="E1747" s="11" t="s">
        <v>68</v>
      </c>
      <c r="F1747" s="12" t="n">
        <v>4803603</v>
      </c>
      <c r="G1747" s="12" t="n">
        <v>4121000</v>
      </c>
      <c r="H1747" s="11" t="n">
        <v>5</v>
      </c>
      <c r="I1747" s="11" t="s">
        <v>86</v>
      </c>
      <c r="J1747" s="11" t="s">
        <v>87</v>
      </c>
      <c r="K1747" s="11" t="s">
        <v>88</v>
      </c>
      <c r="L1747" s="11" t="s">
        <v>89</v>
      </c>
      <c r="M1747" s="11" t="s">
        <v>90</v>
      </c>
      <c r="N1747" s="11" t="s">
        <v>99</v>
      </c>
      <c r="O1747" s="11" t="s">
        <v>100</v>
      </c>
      <c r="P1747" s="11" t="s">
        <v>101</v>
      </c>
      <c r="Q1747" s="13" t="n">
        <f aca="false">F1747*H1747</f>
        <v>24018015</v>
      </c>
      <c r="R1747" s="13" t="n">
        <f aca="false">G1747*H1747</f>
        <v>20605000</v>
      </c>
      <c r="S1747" s="13" t="n">
        <f aca="false">Q1747-R1747</f>
        <v>3413015</v>
      </c>
      <c r="T1747" s="14" t="n">
        <f aca="false">IFERROR(S1747/Q1747,0)</f>
        <v>0.142102292799801</v>
      </c>
      <c r="U1747" s="15" t="str">
        <f aca="false">TEXT(A1747,"yyyy-mm")</f>
        <v>2022-10</v>
      </c>
    </row>
    <row r="1748" customFormat="false" ht="15" hidden="false" customHeight="false" outlineLevel="0" collapsed="false">
      <c r="A1748" s="10" t="n">
        <v>44853</v>
      </c>
      <c r="B1748" s="11" t="s">
        <v>1880</v>
      </c>
      <c r="C1748" s="11" t="s">
        <v>135</v>
      </c>
      <c r="D1748" s="11" t="s">
        <v>118</v>
      </c>
      <c r="E1748" s="11" t="s">
        <v>68</v>
      </c>
      <c r="F1748" s="12" t="n">
        <v>5689947</v>
      </c>
      <c r="G1748" s="12" t="n">
        <v>5235000</v>
      </c>
      <c r="H1748" s="11" t="n">
        <v>19</v>
      </c>
      <c r="I1748" s="11" t="s">
        <v>69</v>
      </c>
      <c r="J1748" s="11" t="s">
        <v>70</v>
      </c>
      <c r="K1748" s="11" t="s">
        <v>71</v>
      </c>
      <c r="L1748" s="11" t="s">
        <v>72</v>
      </c>
      <c r="M1748" s="11" t="s">
        <v>73</v>
      </c>
      <c r="N1748" s="11" t="s">
        <v>109</v>
      </c>
      <c r="O1748" s="11" t="s">
        <v>75</v>
      </c>
      <c r="P1748" s="11" t="s">
        <v>95</v>
      </c>
      <c r="Q1748" s="13" t="n">
        <f aca="false">F1748*H1748</f>
        <v>108108993</v>
      </c>
      <c r="R1748" s="13" t="n">
        <f aca="false">G1748*H1748</f>
        <v>99465000</v>
      </c>
      <c r="S1748" s="13" t="n">
        <f aca="false">Q1748-R1748</f>
        <v>8643993</v>
      </c>
      <c r="T1748" s="14" t="n">
        <f aca="false">IFERROR(S1748/Q1748,0)</f>
        <v>0.0799562807878527</v>
      </c>
      <c r="U1748" s="15" t="str">
        <f aca="false">TEXT(A1748,"yyyy-mm")</f>
        <v>2022-10</v>
      </c>
    </row>
    <row r="1749" customFormat="false" ht="15" hidden="false" customHeight="false" outlineLevel="0" collapsed="false">
      <c r="A1749" s="10" t="n">
        <v>44853</v>
      </c>
      <c r="B1749" s="11" t="s">
        <v>1881</v>
      </c>
      <c r="C1749" s="11" t="s">
        <v>137</v>
      </c>
      <c r="D1749" s="11" t="s">
        <v>138</v>
      </c>
      <c r="E1749" s="11" t="s">
        <v>139</v>
      </c>
      <c r="F1749" s="12" t="n">
        <v>5171827</v>
      </c>
      <c r="G1749" s="12" t="n">
        <v>4890000</v>
      </c>
      <c r="H1749" s="11" t="n">
        <v>15</v>
      </c>
      <c r="I1749" s="11" t="s">
        <v>69</v>
      </c>
      <c r="J1749" s="11" t="s">
        <v>80</v>
      </c>
      <c r="K1749" s="11" t="s">
        <v>81</v>
      </c>
      <c r="L1749" s="11" t="s">
        <v>82</v>
      </c>
      <c r="M1749" s="11" t="s">
        <v>73</v>
      </c>
      <c r="N1749" s="11" t="s">
        <v>93</v>
      </c>
      <c r="O1749" s="11" t="s">
        <v>94</v>
      </c>
      <c r="P1749" s="11" t="s">
        <v>95</v>
      </c>
      <c r="Q1749" s="13" t="n">
        <f aca="false">F1749*H1749</f>
        <v>77577405</v>
      </c>
      <c r="R1749" s="13" t="n">
        <f aca="false">G1749*H1749</f>
        <v>73350000</v>
      </c>
      <c r="S1749" s="13" t="n">
        <f aca="false">Q1749-R1749</f>
        <v>4227405</v>
      </c>
      <c r="T1749" s="14" t="n">
        <f aca="false">IFERROR(S1749/Q1749,0)</f>
        <v>0.0544927353525166</v>
      </c>
      <c r="U1749" s="15" t="str">
        <f aca="false">TEXT(A1749,"yyyy-mm")</f>
        <v>2022-10</v>
      </c>
    </row>
    <row r="1750" customFormat="false" ht="15" hidden="false" customHeight="false" outlineLevel="0" collapsed="false">
      <c r="A1750" s="10" t="n">
        <v>44854</v>
      </c>
      <c r="B1750" s="11" t="s">
        <v>1882</v>
      </c>
      <c r="C1750" s="11" t="s">
        <v>141</v>
      </c>
      <c r="D1750" s="11" t="s">
        <v>138</v>
      </c>
      <c r="E1750" s="11" t="s">
        <v>142</v>
      </c>
      <c r="F1750" s="12" t="n">
        <v>2805124</v>
      </c>
      <c r="G1750" s="12" t="n">
        <v>2178000</v>
      </c>
      <c r="H1750" s="11" t="n">
        <v>14</v>
      </c>
      <c r="I1750" s="11" t="s">
        <v>69</v>
      </c>
      <c r="J1750" s="11" t="s">
        <v>70</v>
      </c>
      <c r="K1750" s="11" t="s">
        <v>71</v>
      </c>
      <c r="L1750" s="11" t="s">
        <v>72</v>
      </c>
      <c r="M1750" s="11" t="s">
        <v>73</v>
      </c>
      <c r="N1750" s="11" t="s">
        <v>149</v>
      </c>
      <c r="O1750" s="11" t="s">
        <v>150</v>
      </c>
      <c r="P1750" s="11" t="s">
        <v>151</v>
      </c>
      <c r="Q1750" s="13" t="n">
        <f aca="false">F1750*H1750</f>
        <v>39271736</v>
      </c>
      <c r="R1750" s="13" t="n">
        <f aca="false">G1750*H1750</f>
        <v>30492000</v>
      </c>
      <c r="S1750" s="13" t="n">
        <f aca="false">Q1750-R1750</f>
        <v>8779736</v>
      </c>
      <c r="T1750" s="14" t="n">
        <f aca="false">IFERROR(S1750/Q1750,0)</f>
        <v>0.22356373550688</v>
      </c>
      <c r="U1750" s="15" t="str">
        <f aca="false">TEXT(A1750,"yyyy-mm")</f>
        <v>2022-10</v>
      </c>
    </row>
    <row r="1751" customFormat="false" ht="15" hidden="false" customHeight="false" outlineLevel="0" collapsed="false">
      <c r="A1751" s="10" t="n">
        <v>44854</v>
      </c>
      <c r="B1751" s="11" t="s">
        <v>1883</v>
      </c>
      <c r="C1751" s="11" t="s">
        <v>146</v>
      </c>
      <c r="D1751" s="11" t="s">
        <v>138</v>
      </c>
      <c r="E1751" s="11" t="s">
        <v>139</v>
      </c>
      <c r="F1751" s="12" t="n">
        <v>2728100</v>
      </c>
      <c r="G1751" s="12" t="n">
        <v>2321000</v>
      </c>
      <c r="H1751" s="11" t="n">
        <v>16</v>
      </c>
      <c r="I1751" s="11" t="s">
        <v>69</v>
      </c>
      <c r="J1751" s="11" t="s">
        <v>70</v>
      </c>
      <c r="K1751" s="11" t="s">
        <v>71</v>
      </c>
      <c r="L1751" s="11" t="s">
        <v>72</v>
      </c>
      <c r="M1751" s="11" t="s">
        <v>73</v>
      </c>
      <c r="N1751" s="11" t="s">
        <v>104</v>
      </c>
      <c r="O1751" s="11" t="s">
        <v>105</v>
      </c>
      <c r="P1751" s="11" t="s">
        <v>106</v>
      </c>
      <c r="Q1751" s="13" t="n">
        <f aca="false">F1751*H1751</f>
        <v>43649600</v>
      </c>
      <c r="R1751" s="13" t="n">
        <f aca="false">G1751*H1751</f>
        <v>37136000</v>
      </c>
      <c r="S1751" s="13" t="n">
        <f aca="false">Q1751-R1751</f>
        <v>6513600</v>
      </c>
      <c r="T1751" s="14" t="n">
        <f aca="false">IFERROR(S1751/Q1751,0)</f>
        <v>0.149224735163667</v>
      </c>
      <c r="U1751" s="15" t="str">
        <f aca="false">TEXT(A1751,"yyyy-mm")</f>
        <v>2022-10</v>
      </c>
    </row>
    <row r="1752" customFormat="false" ht="15" hidden="false" customHeight="false" outlineLevel="0" collapsed="false">
      <c r="A1752" s="10" t="n">
        <v>44854</v>
      </c>
      <c r="B1752" s="11" t="s">
        <v>1884</v>
      </c>
      <c r="C1752" s="11" t="s">
        <v>148</v>
      </c>
      <c r="D1752" s="11" t="s">
        <v>138</v>
      </c>
      <c r="E1752" s="11" t="s">
        <v>122</v>
      </c>
      <c r="F1752" s="12" t="n">
        <v>4941716</v>
      </c>
      <c r="G1752" s="12" t="n">
        <v>4456000</v>
      </c>
      <c r="H1752" s="11" t="n">
        <v>20</v>
      </c>
      <c r="I1752" s="11" t="s">
        <v>69</v>
      </c>
      <c r="J1752" s="11" t="s">
        <v>70</v>
      </c>
      <c r="K1752" s="11" t="s">
        <v>71</v>
      </c>
      <c r="L1752" s="11" t="s">
        <v>72</v>
      </c>
      <c r="M1752" s="11" t="s">
        <v>73</v>
      </c>
      <c r="N1752" s="11" t="s">
        <v>133</v>
      </c>
      <c r="O1752" s="11" t="s">
        <v>60</v>
      </c>
      <c r="P1752" s="11" t="s">
        <v>76</v>
      </c>
      <c r="Q1752" s="13" t="n">
        <f aca="false">F1752*H1752</f>
        <v>98834320</v>
      </c>
      <c r="R1752" s="13" t="n">
        <f aca="false">G1752*H1752</f>
        <v>89120000</v>
      </c>
      <c r="S1752" s="13" t="n">
        <f aca="false">Q1752-R1752</f>
        <v>9714320</v>
      </c>
      <c r="T1752" s="14" t="n">
        <f aca="false">IFERROR(S1752/Q1752,0)</f>
        <v>0.0982889344511097</v>
      </c>
      <c r="U1752" s="15" t="str">
        <f aca="false">TEXT(A1752,"yyyy-mm")</f>
        <v>2022-10</v>
      </c>
    </row>
    <row r="1753" customFormat="false" ht="15" hidden="false" customHeight="false" outlineLevel="0" collapsed="false">
      <c r="A1753" s="10" t="n">
        <v>44855</v>
      </c>
      <c r="B1753" s="11" t="s">
        <v>1885</v>
      </c>
      <c r="C1753" s="11" t="s">
        <v>66</v>
      </c>
      <c r="D1753" s="11" t="s">
        <v>67</v>
      </c>
      <c r="E1753" s="11" t="s">
        <v>68</v>
      </c>
      <c r="F1753" s="12" t="n">
        <v>3048952</v>
      </c>
      <c r="G1753" s="12" t="n">
        <v>2560000</v>
      </c>
      <c r="H1753" s="11" t="n">
        <v>14</v>
      </c>
      <c r="I1753" s="11" t="s">
        <v>69</v>
      </c>
      <c r="J1753" s="11" t="s">
        <v>80</v>
      </c>
      <c r="K1753" s="11" t="s">
        <v>81</v>
      </c>
      <c r="L1753" s="11" t="s">
        <v>82</v>
      </c>
      <c r="M1753" s="11" t="s">
        <v>73</v>
      </c>
      <c r="N1753" s="11" t="s">
        <v>143</v>
      </c>
      <c r="O1753" s="11" t="s">
        <v>144</v>
      </c>
      <c r="P1753" s="11" t="s">
        <v>101</v>
      </c>
      <c r="Q1753" s="13" t="n">
        <f aca="false">F1753*H1753</f>
        <v>42685328</v>
      </c>
      <c r="R1753" s="13" t="n">
        <f aca="false">G1753*H1753</f>
        <v>35840000</v>
      </c>
      <c r="S1753" s="13" t="n">
        <f aca="false">Q1753-R1753</f>
        <v>6845328</v>
      </c>
      <c r="T1753" s="14" t="n">
        <f aca="false">IFERROR(S1753/Q1753,0)</f>
        <v>0.160367234380863</v>
      </c>
      <c r="U1753" s="15" t="str">
        <f aca="false">TEXT(A1753,"yyyy-mm")</f>
        <v>2022-10</v>
      </c>
    </row>
    <row r="1754" customFormat="false" ht="15" hidden="false" customHeight="false" outlineLevel="0" collapsed="false">
      <c r="A1754" s="10" t="n">
        <v>44855</v>
      </c>
      <c r="B1754" s="11" t="s">
        <v>1886</v>
      </c>
      <c r="C1754" s="11" t="s">
        <v>78</v>
      </c>
      <c r="D1754" s="11" t="s">
        <v>67</v>
      </c>
      <c r="E1754" s="11" t="s">
        <v>79</v>
      </c>
      <c r="F1754" s="12" t="n">
        <v>1870000</v>
      </c>
      <c r="G1754" s="12" t="n">
        <v>1650000</v>
      </c>
      <c r="H1754" s="11" t="n">
        <v>19</v>
      </c>
      <c r="I1754" s="11" t="s">
        <v>86</v>
      </c>
      <c r="J1754" s="11" t="s">
        <v>87</v>
      </c>
      <c r="K1754" s="11" t="s">
        <v>88</v>
      </c>
      <c r="L1754" s="11" t="s">
        <v>89</v>
      </c>
      <c r="M1754" s="11" t="s">
        <v>90</v>
      </c>
      <c r="N1754" s="11" t="s">
        <v>173</v>
      </c>
      <c r="O1754" s="11" t="s">
        <v>174</v>
      </c>
      <c r="P1754" s="11" t="s">
        <v>95</v>
      </c>
      <c r="Q1754" s="13" t="n">
        <f aca="false">F1754*H1754</f>
        <v>35530000</v>
      </c>
      <c r="R1754" s="13" t="n">
        <f aca="false">G1754*H1754</f>
        <v>31350000</v>
      </c>
      <c r="S1754" s="13" t="n">
        <f aca="false">Q1754-R1754</f>
        <v>4180000</v>
      </c>
      <c r="T1754" s="14" t="n">
        <f aca="false">IFERROR(S1754/Q1754,0)</f>
        <v>0.117647058823529</v>
      </c>
      <c r="U1754" s="15" t="str">
        <f aca="false">TEXT(A1754,"yyyy-mm")</f>
        <v>2022-10</v>
      </c>
    </row>
    <row r="1755" customFormat="false" ht="15" hidden="false" customHeight="false" outlineLevel="0" collapsed="false">
      <c r="A1755" s="10" t="n">
        <v>44855</v>
      </c>
      <c r="B1755" s="11" t="s">
        <v>1887</v>
      </c>
      <c r="C1755" s="11" t="s">
        <v>84</v>
      </c>
      <c r="D1755" s="11" t="s">
        <v>67</v>
      </c>
      <c r="E1755" s="11" t="s">
        <v>85</v>
      </c>
      <c r="F1755" s="12" t="n">
        <v>2600000</v>
      </c>
      <c r="G1755" s="12" t="n">
        <v>2300000</v>
      </c>
      <c r="H1755" s="11" t="n">
        <v>13</v>
      </c>
      <c r="I1755" s="11" t="s">
        <v>69</v>
      </c>
      <c r="J1755" s="11" t="s">
        <v>112</v>
      </c>
      <c r="K1755" s="11" t="s">
        <v>113</v>
      </c>
      <c r="L1755" s="11" t="s">
        <v>82</v>
      </c>
      <c r="M1755" s="11" t="s">
        <v>157</v>
      </c>
      <c r="N1755" s="11" t="s">
        <v>109</v>
      </c>
      <c r="O1755" s="11" t="s">
        <v>75</v>
      </c>
      <c r="P1755" s="11" t="s">
        <v>95</v>
      </c>
      <c r="Q1755" s="13" t="n">
        <f aca="false">F1755*H1755</f>
        <v>33800000</v>
      </c>
      <c r="R1755" s="13" t="n">
        <f aca="false">G1755*H1755</f>
        <v>29900000</v>
      </c>
      <c r="S1755" s="13" t="n">
        <f aca="false">Q1755-R1755</f>
        <v>3900000</v>
      </c>
      <c r="T1755" s="14" t="n">
        <f aca="false">IFERROR(S1755/Q1755,0)</f>
        <v>0.115384615384615</v>
      </c>
      <c r="U1755" s="15" t="str">
        <f aca="false">TEXT(A1755,"yyyy-mm")</f>
        <v>2022-10</v>
      </c>
    </row>
    <row r="1756" customFormat="false" ht="15" hidden="false" customHeight="false" outlineLevel="0" collapsed="false">
      <c r="A1756" s="10" t="n">
        <v>44855</v>
      </c>
      <c r="B1756" s="11" t="s">
        <v>1888</v>
      </c>
      <c r="C1756" s="11" t="s">
        <v>92</v>
      </c>
      <c r="D1756" s="11" t="s">
        <v>67</v>
      </c>
      <c r="E1756" s="11" t="s">
        <v>79</v>
      </c>
      <c r="F1756" s="12" t="n">
        <v>3577480</v>
      </c>
      <c r="G1756" s="12" t="n">
        <v>3100000</v>
      </c>
      <c r="H1756" s="11" t="n">
        <v>22</v>
      </c>
      <c r="I1756" s="11" t="s">
        <v>69</v>
      </c>
      <c r="J1756" s="11" t="s">
        <v>112</v>
      </c>
      <c r="K1756" s="11" t="s">
        <v>113</v>
      </c>
      <c r="L1756" s="11" t="s">
        <v>82</v>
      </c>
      <c r="M1756" s="11" t="s">
        <v>157</v>
      </c>
      <c r="N1756" s="11" t="s">
        <v>93</v>
      </c>
      <c r="O1756" s="11" t="s">
        <v>94</v>
      </c>
      <c r="P1756" s="11" t="s">
        <v>95</v>
      </c>
      <c r="Q1756" s="13" t="n">
        <f aca="false">F1756*H1756</f>
        <v>78704560</v>
      </c>
      <c r="R1756" s="13" t="n">
        <f aca="false">G1756*H1756</f>
        <v>68200000</v>
      </c>
      <c r="S1756" s="13" t="n">
        <f aca="false">Q1756-R1756</f>
        <v>10504560</v>
      </c>
      <c r="T1756" s="14" t="n">
        <f aca="false">IFERROR(S1756/Q1756,0)</f>
        <v>0.133468251394837</v>
      </c>
      <c r="U1756" s="15" t="str">
        <f aca="false">TEXT(A1756,"yyyy-mm")</f>
        <v>2022-10</v>
      </c>
    </row>
    <row r="1757" customFormat="false" ht="15" hidden="false" customHeight="false" outlineLevel="0" collapsed="false">
      <c r="A1757" s="10" t="n">
        <v>44855</v>
      </c>
      <c r="B1757" s="11" t="s">
        <v>1889</v>
      </c>
      <c r="C1757" s="11" t="s">
        <v>97</v>
      </c>
      <c r="D1757" s="11" t="s">
        <v>67</v>
      </c>
      <c r="E1757" s="11" t="s">
        <v>98</v>
      </c>
      <c r="F1757" s="12" t="n">
        <v>4969724</v>
      </c>
      <c r="G1757" s="12" t="n">
        <v>4121560</v>
      </c>
      <c r="H1757" s="11" t="n">
        <v>18</v>
      </c>
      <c r="I1757" s="11" t="s">
        <v>69</v>
      </c>
      <c r="J1757" s="11" t="s">
        <v>80</v>
      </c>
      <c r="K1757" s="11" t="s">
        <v>81</v>
      </c>
      <c r="L1757" s="11" t="s">
        <v>82</v>
      </c>
      <c r="M1757" s="11" t="s">
        <v>73</v>
      </c>
      <c r="N1757" s="11" t="s">
        <v>109</v>
      </c>
      <c r="O1757" s="11" t="s">
        <v>75</v>
      </c>
      <c r="P1757" s="11" t="s">
        <v>95</v>
      </c>
      <c r="Q1757" s="13" t="n">
        <f aca="false">F1757*H1757</f>
        <v>89455032</v>
      </c>
      <c r="R1757" s="13" t="n">
        <f aca="false">G1757*H1757</f>
        <v>74188080</v>
      </c>
      <c r="S1757" s="13" t="n">
        <f aca="false">Q1757-R1757</f>
        <v>15266952</v>
      </c>
      <c r="T1757" s="14" t="n">
        <f aca="false">IFERROR(S1757/Q1757,0)</f>
        <v>0.170666218083741</v>
      </c>
      <c r="U1757" s="15" t="str">
        <f aca="false">TEXT(A1757,"yyyy-mm")</f>
        <v>2022-10</v>
      </c>
    </row>
    <row r="1758" customFormat="false" ht="15" hidden="false" customHeight="false" outlineLevel="0" collapsed="false">
      <c r="A1758" s="10" t="n">
        <v>44856</v>
      </c>
      <c r="B1758" s="11" t="s">
        <v>1890</v>
      </c>
      <c r="C1758" s="11" t="s">
        <v>103</v>
      </c>
      <c r="D1758" s="11" t="s">
        <v>67</v>
      </c>
      <c r="E1758" s="11" t="s">
        <v>68</v>
      </c>
      <c r="F1758" s="12" t="n">
        <v>3319925</v>
      </c>
      <c r="G1758" s="12" t="n">
        <v>2800000</v>
      </c>
      <c r="H1758" s="11" t="n">
        <v>19</v>
      </c>
      <c r="I1758" s="11" t="s">
        <v>69</v>
      </c>
      <c r="J1758" s="11" t="s">
        <v>80</v>
      </c>
      <c r="K1758" s="11" t="s">
        <v>81</v>
      </c>
      <c r="L1758" s="11" t="s">
        <v>82</v>
      </c>
      <c r="M1758" s="11" t="s">
        <v>73</v>
      </c>
      <c r="N1758" s="11" t="s">
        <v>93</v>
      </c>
      <c r="O1758" s="11" t="s">
        <v>94</v>
      </c>
      <c r="P1758" s="11" t="s">
        <v>95</v>
      </c>
      <c r="Q1758" s="13" t="n">
        <f aca="false">F1758*H1758</f>
        <v>63078575</v>
      </c>
      <c r="R1758" s="13" t="n">
        <f aca="false">G1758*H1758</f>
        <v>53200000</v>
      </c>
      <c r="S1758" s="13" t="n">
        <f aca="false">Q1758-R1758</f>
        <v>9878575</v>
      </c>
      <c r="T1758" s="14" t="n">
        <f aca="false">IFERROR(S1758/Q1758,0)</f>
        <v>0.15660745348163</v>
      </c>
      <c r="U1758" s="15" t="str">
        <f aca="false">TEXT(A1758,"yyyy-mm")</f>
        <v>2022-10</v>
      </c>
    </row>
    <row r="1759" customFormat="false" ht="15" hidden="false" customHeight="false" outlineLevel="0" collapsed="false">
      <c r="A1759" s="10" t="n">
        <v>44856</v>
      </c>
      <c r="B1759" s="11" t="s">
        <v>1891</v>
      </c>
      <c r="C1759" s="11" t="s">
        <v>108</v>
      </c>
      <c r="D1759" s="11" t="s">
        <v>67</v>
      </c>
      <c r="E1759" s="11" t="s">
        <v>68</v>
      </c>
      <c r="F1759" s="12" t="n">
        <v>4757880</v>
      </c>
      <c r="G1759" s="12" t="n">
        <v>3450000</v>
      </c>
      <c r="H1759" s="11" t="n">
        <v>7</v>
      </c>
      <c r="I1759" s="11" t="s">
        <v>69</v>
      </c>
      <c r="J1759" s="11" t="s">
        <v>112</v>
      </c>
      <c r="K1759" s="11" t="s">
        <v>113</v>
      </c>
      <c r="L1759" s="11" t="s">
        <v>82</v>
      </c>
      <c r="M1759" s="11" t="s">
        <v>157</v>
      </c>
      <c r="N1759" s="11" t="s">
        <v>109</v>
      </c>
      <c r="O1759" s="11" t="s">
        <v>75</v>
      </c>
      <c r="P1759" s="11" t="s">
        <v>95</v>
      </c>
      <c r="Q1759" s="13" t="n">
        <f aca="false">F1759*H1759</f>
        <v>33305160</v>
      </c>
      <c r="R1759" s="13" t="n">
        <f aca="false">G1759*H1759</f>
        <v>24150000</v>
      </c>
      <c r="S1759" s="13" t="n">
        <f aca="false">Q1759-R1759</f>
        <v>9155160</v>
      </c>
      <c r="T1759" s="14" t="n">
        <f aca="false">IFERROR(S1759/Q1759,0)</f>
        <v>0.274887134606169</v>
      </c>
      <c r="U1759" s="15" t="str">
        <f aca="false">TEXT(A1759,"yyyy-mm")</f>
        <v>2022-10</v>
      </c>
    </row>
    <row r="1760" customFormat="false" ht="15" hidden="false" customHeight="false" outlineLevel="0" collapsed="false">
      <c r="A1760" s="10" t="n">
        <v>44857</v>
      </c>
      <c r="B1760" s="11" t="s">
        <v>1892</v>
      </c>
      <c r="C1760" s="11" t="s">
        <v>111</v>
      </c>
      <c r="D1760" s="11" t="s">
        <v>67</v>
      </c>
      <c r="E1760" s="11" t="s">
        <v>79</v>
      </c>
      <c r="F1760" s="12" t="n">
        <v>3545808</v>
      </c>
      <c r="G1760" s="12" t="n">
        <v>3350000</v>
      </c>
      <c r="H1760" s="11" t="n">
        <v>8</v>
      </c>
      <c r="I1760" s="11" t="s">
        <v>69</v>
      </c>
      <c r="J1760" s="11" t="s">
        <v>80</v>
      </c>
      <c r="K1760" s="11" t="s">
        <v>81</v>
      </c>
      <c r="L1760" s="11" t="s">
        <v>82</v>
      </c>
      <c r="M1760" s="11" t="s">
        <v>73</v>
      </c>
      <c r="N1760" s="11" t="s">
        <v>109</v>
      </c>
      <c r="O1760" s="11" t="s">
        <v>75</v>
      </c>
      <c r="P1760" s="11" t="s">
        <v>95</v>
      </c>
      <c r="Q1760" s="13" t="n">
        <f aca="false">F1760*H1760</f>
        <v>28366464</v>
      </c>
      <c r="R1760" s="13" t="n">
        <f aca="false">G1760*H1760</f>
        <v>26800000</v>
      </c>
      <c r="S1760" s="13" t="n">
        <f aca="false">Q1760-R1760</f>
        <v>1566464</v>
      </c>
      <c r="T1760" s="14" t="n">
        <f aca="false">IFERROR(S1760/Q1760,0)</f>
        <v>0.0552223921881839</v>
      </c>
      <c r="U1760" s="15" t="str">
        <f aca="false">TEXT(A1760,"yyyy-mm")</f>
        <v>2022-10</v>
      </c>
    </row>
    <row r="1761" customFormat="false" ht="15" hidden="false" customHeight="false" outlineLevel="0" collapsed="false">
      <c r="A1761" s="10" t="n">
        <v>44859</v>
      </c>
      <c r="B1761" s="11" t="s">
        <v>1893</v>
      </c>
      <c r="C1761" s="11" t="s">
        <v>115</v>
      </c>
      <c r="D1761" s="11" t="s">
        <v>67</v>
      </c>
      <c r="E1761" s="11" t="s">
        <v>98</v>
      </c>
      <c r="F1761" s="12" t="n">
        <v>4200743</v>
      </c>
      <c r="G1761" s="12" t="n">
        <v>4101000</v>
      </c>
      <c r="H1761" s="11" t="n">
        <v>3</v>
      </c>
      <c r="I1761" s="11" t="s">
        <v>69</v>
      </c>
      <c r="J1761" s="11" t="s">
        <v>80</v>
      </c>
      <c r="K1761" s="11" t="s">
        <v>81</v>
      </c>
      <c r="L1761" s="11" t="s">
        <v>82</v>
      </c>
      <c r="M1761" s="11" t="s">
        <v>73</v>
      </c>
      <c r="N1761" s="11" t="s">
        <v>93</v>
      </c>
      <c r="O1761" s="11" t="s">
        <v>94</v>
      </c>
      <c r="P1761" s="11" t="s">
        <v>95</v>
      </c>
      <c r="Q1761" s="13" t="n">
        <f aca="false">F1761*H1761</f>
        <v>12602229</v>
      </c>
      <c r="R1761" s="13" t="n">
        <f aca="false">G1761*H1761</f>
        <v>12303000</v>
      </c>
      <c r="S1761" s="13" t="n">
        <f aca="false">Q1761-R1761</f>
        <v>299229</v>
      </c>
      <c r="T1761" s="14" t="n">
        <f aca="false">IFERROR(S1761/Q1761,0)</f>
        <v>0.023744132883159</v>
      </c>
      <c r="U1761" s="15" t="str">
        <f aca="false">TEXT(A1761,"yyyy-mm")</f>
        <v>2022-10</v>
      </c>
    </row>
    <row r="1762" customFormat="false" ht="15" hidden="false" customHeight="false" outlineLevel="0" collapsed="false">
      <c r="A1762" s="10" t="n">
        <v>44860</v>
      </c>
      <c r="B1762" s="11" t="s">
        <v>1894</v>
      </c>
      <c r="C1762" s="11" t="s">
        <v>117</v>
      </c>
      <c r="D1762" s="11" t="s">
        <v>118</v>
      </c>
      <c r="E1762" s="11" t="s">
        <v>119</v>
      </c>
      <c r="F1762" s="12" t="n">
        <v>8220549</v>
      </c>
      <c r="G1762" s="12" t="n">
        <v>6500000</v>
      </c>
      <c r="H1762" s="11" t="n">
        <v>11</v>
      </c>
      <c r="I1762" s="11" t="s">
        <v>69</v>
      </c>
      <c r="J1762" s="11" t="s">
        <v>80</v>
      </c>
      <c r="K1762" s="11" t="s">
        <v>81</v>
      </c>
      <c r="L1762" s="11" t="s">
        <v>82</v>
      </c>
      <c r="M1762" s="11" t="s">
        <v>73</v>
      </c>
      <c r="N1762" s="11" t="s">
        <v>109</v>
      </c>
      <c r="O1762" s="11" t="s">
        <v>75</v>
      </c>
      <c r="P1762" s="11" t="s">
        <v>95</v>
      </c>
      <c r="Q1762" s="13" t="n">
        <f aca="false">F1762*H1762</f>
        <v>90426039</v>
      </c>
      <c r="R1762" s="13" t="n">
        <f aca="false">G1762*H1762</f>
        <v>71500000</v>
      </c>
      <c r="S1762" s="13" t="n">
        <f aca="false">Q1762-R1762</f>
        <v>18926039</v>
      </c>
      <c r="T1762" s="14" t="n">
        <f aca="false">IFERROR(S1762/Q1762,0)</f>
        <v>0.209298551714733</v>
      </c>
      <c r="U1762" s="15" t="str">
        <f aca="false">TEXT(A1762,"yyyy-mm")</f>
        <v>2022-10</v>
      </c>
    </row>
    <row r="1763" customFormat="false" ht="15" hidden="false" customHeight="false" outlineLevel="0" collapsed="false">
      <c r="A1763" s="10" t="n">
        <v>44860</v>
      </c>
      <c r="B1763" s="11" t="s">
        <v>1895</v>
      </c>
      <c r="C1763" s="11" t="s">
        <v>121</v>
      </c>
      <c r="D1763" s="11" t="s">
        <v>118</v>
      </c>
      <c r="E1763" s="11" t="s">
        <v>122</v>
      </c>
      <c r="F1763" s="12" t="n">
        <v>7687274</v>
      </c>
      <c r="G1763" s="12" t="n">
        <v>6500000</v>
      </c>
      <c r="H1763" s="11" t="n">
        <v>3</v>
      </c>
      <c r="I1763" s="11" t="s">
        <v>69</v>
      </c>
      <c r="J1763" s="11" t="s">
        <v>80</v>
      </c>
      <c r="K1763" s="11" t="s">
        <v>81</v>
      </c>
      <c r="L1763" s="11" t="s">
        <v>82</v>
      </c>
      <c r="M1763" s="11" t="s">
        <v>73</v>
      </c>
      <c r="N1763" s="11" t="s">
        <v>104</v>
      </c>
      <c r="O1763" s="11" t="s">
        <v>105</v>
      </c>
      <c r="P1763" s="11" t="s">
        <v>106</v>
      </c>
      <c r="Q1763" s="13" t="n">
        <f aca="false">F1763*H1763</f>
        <v>23061822</v>
      </c>
      <c r="R1763" s="13" t="n">
        <f aca="false">G1763*H1763</f>
        <v>19500000</v>
      </c>
      <c r="S1763" s="13" t="n">
        <f aca="false">Q1763-R1763</f>
        <v>3561822</v>
      </c>
      <c r="T1763" s="14" t="n">
        <f aca="false">IFERROR(S1763/Q1763,0)</f>
        <v>0.154446686822923</v>
      </c>
      <c r="U1763" s="15" t="str">
        <f aca="false">TEXT(A1763,"yyyy-mm")</f>
        <v>2022-10</v>
      </c>
    </row>
    <row r="1764" customFormat="false" ht="15" hidden="false" customHeight="false" outlineLevel="0" collapsed="false">
      <c r="A1764" s="10" t="n">
        <v>44860</v>
      </c>
      <c r="B1764" s="11" t="s">
        <v>1896</v>
      </c>
      <c r="C1764" s="11" t="s">
        <v>125</v>
      </c>
      <c r="D1764" s="11" t="s">
        <v>118</v>
      </c>
      <c r="E1764" s="11" t="s">
        <v>126</v>
      </c>
      <c r="F1764" s="12" t="n">
        <v>5684211</v>
      </c>
      <c r="G1764" s="12" t="n">
        <v>4300000</v>
      </c>
      <c r="H1764" s="11" t="n">
        <v>1</v>
      </c>
      <c r="I1764" s="11" t="s">
        <v>86</v>
      </c>
      <c r="J1764" s="11" t="s">
        <v>87</v>
      </c>
      <c r="K1764" s="11" t="s">
        <v>88</v>
      </c>
      <c r="L1764" s="11" t="s">
        <v>89</v>
      </c>
      <c r="M1764" s="11" t="s">
        <v>90</v>
      </c>
      <c r="N1764" s="11" t="s">
        <v>143</v>
      </c>
      <c r="O1764" s="11" t="s">
        <v>144</v>
      </c>
      <c r="P1764" s="11" t="s">
        <v>101</v>
      </c>
      <c r="Q1764" s="13" t="n">
        <f aca="false">F1764*H1764</f>
        <v>5684211</v>
      </c>
      <c r="R1764" s="13" t="n">
        <f aca="false">G1764*H1764</f>
        <v>4300000</v>
      </c>
      <c r="S1764" s="13" t="n">
        <f aca="false">Q1764-R1764</f>
        <v>1384211</v>
      </c>
      <c r="T1764" s="14" t="n">
        <f aca="false">IFERROR(S1764/Q1764,0)</f>
        <v>0.243518581558637</v>
      </c>
      <c r="U1764" s="15" t="str">
        <f aca="false">TEXT(A1764,"yyyy-mm")</f>
        <v>2022-10</v>
      </c>
    </row>
    <row r="1765" customFormat="false" ht="15" hidden="false" customHeight="false" outlineLevel="0" collapsed="false">
      <c r="A1765" s="10" t="n">
        <v>44860</v>
      </c>
      <c r="B1765" s="11" t="s">
        <v>1897</v>
      </c>
      <c r="C1765" s="11" t="s">
        <v>128</v>
      </c>
      <c r="D1765" s="11" t="s">
        <v>118</v>
      </c>
      <c r="E1765" s="11" t="s">
        <v>119</v>
      </c>
      <c r="F1765" s="12" t="n">
        <v>3370302</v>
      </c>
      <c r="G1765" s="12" t="n">
        <v>2100000</v>
      </c>
      <c r="H1765" s="11" t="n">
        <v>20</v>
      </c>
      <c r="I1765" s="11" t="s">
        <v>69</v>
      </c>
      <c r="J1765" s="11" t="s">
        <v>80</v>
      </c>
      <c r="K1765" s="11" t="s">
        <v>81</v>
      </c>
      <c r="L1765" s="11" t="s">
        <v>82</v>
      </c>
      <c r="M1765" s="11" t="s">
        <v>73</v>
      </c>
      <c r="N1765" s="11" t="s">
        <v>99</v>
      </c>
      <c r="O1765" s="11" t="s">
        <v>100</v>
      </c>
      <c r="P1765" s="11" t="s">
        <v>101</v>
      </c>
      <c r="Q1765" s="13" t="n">
        <f aca="false">F1765*H1765</f>
        <v>67406040</v>
      </c>
      <c r="R1765" s="13" t="n">
        <f aca="false">G1765*H1765</f>
        <v>42000000</v>
      </c>
      <c r="S1765" s="13" t="n">
        <f aca="false">Q1765-R1765</f>
        <v>25406040</v>
      </c>
      <c r="T1765" s="14" t="n">
        <f aca="false">IFERROR(S1765/Q1765,0)</f>
        <v>0.37691043710623</v>
      </c>
      <c r="U1765" s="15" t="str">
        <f aca="false">TEXT(A1765,"yyyy-mm")</f>
        <v>2022-10</v>
      </c>
    </row>
    <row r="1766" customFormat="false" ht="15" hidden="false" customHeight="false" outlineLevel="0" collapsed="false">
      <c r="A1766" s="10" t="n">
        <v>44861</v>
      </c>
      <c r="B1766" s="11" t="s">
        <v>1898</v>
      </c>
      <c r="C1766" s="11" t="s">
        <v>130</v>
      </c>
      <c r="D1766" s="11" t="s">
        <v>118</v>
      </c>
      <c r="E1766" s="11" t="s">
        <v>68</v>
      </c>
      <c r="F1766" s="12" t="n">
        <v>2852897</v>
      </c>
      <c r="G1766" s="12" t="n">
        <v>2450000</v>
      </c>
      <c r="H1766" s="11" t="n">
        <v>10</v>
      </c>
      <c r="I1766" s="11" t="s">
        <v>86</v>
      </c>
      <c r="J1766" s="11" t="s">
        <v>87</v>
      </c>
      <c r="K1766" s="11" t="s">
        <v>88</v>
      </c>
      <c r="L1766" s="11" t="s">
        <v>89</v>
      </c>
      <c r="M1766" s="11" t="s">
        <v>90</v>
      </c>
      <c r="N1766" s="11" t="s">
        <v>93</v>
      </c>
      <c r="O1766" s="11" t="s">
        <v>94</v>
      </c>
      <c r="P1766" s="11" t="s">
        <v>95</v>
      </c>
      <c r="Q1766" s="13" t="n">
        <f aca="false">F1766*H1766</f>
        <v>28528970</v>
      </c>
      <c r="R1766" s="13" t="n">
        <f aca="false">G1766*H1766</f>
        <v>24500000</v>
      </c>
      <c r="S1766" s="13" t="n">
        <f aca="false">Q1766-R1766</f>
        <v>4028970</v>
      </c>
      <c r="T1766" s="14" t="n">
        <f aca="false">IFERROR(S1766/Q1766,0)</f>
        <v>0.141223815651249</v>
      </c>
      <c r="U1766" s="15" t="str">
        <f aca="false">TEXT(A1766,"yyyy-mm")</f>
        <v>2022-10</v>
      </c>
    </row>
    <row r="1767" customFormat="false" ht="15" hidden="false" customHeight="false" outlineLevel="0" collapsed="false">
      <c r="A1767" s="10" t="n">
        <v>44862</v>
      </c>
      <c r="B1767" s="11" t="s">
        <v>1899</v>
      </c>
      <c r="C1767" s="11" t="s">
        <v>132</v>
      </c>
      <c r="D1767" s="11" t="s">
        <v>118</v>
      </c>
      <c r="E1767" s="11" t="s">
        <v>68</v>
      </c>
      <c r="F1767" s="12" t="n">
        <v>4803603</v>
      </c>
      <c r="G1767" s="12" t="n">
        <v>4121000</v>
      </c>
      <c r="H1767" s="11" t="n">
        <v>16</v>
      </c>
      <c r="I1767" s="11" t="s">
        <v>69</v>
      </c>
      <c r="J1767" s="11" t="s">
        <v>112</v>
      </c>
      <c r="K1767" s="11" t="s">
        <v>113</v>
      </c>
      <c r="L1767" s="11" t="s">
        <v>82</v>
      </c>
      <c r="M1767" s="11" t="s">
        <v>157</v>
      </c>
      <c r="N1767" s="11" t="s">
        <v>74</v>
      </c>
      <c r="O1767" s="11" t="s">
        <v>75</v>
      </c>
      <c r="P1767" s="11" t="s">
        <v>76</v>
      </c>
      <c r="Q1767" s="13" t="n">
        <f aca="false">F1767*H1767</f>
        <v>76857648</v>
      </c>
      <c r="R1767" s="13" t="n">
        <f aca="false">G1767*H1767</f>
        <v>65936000</v>
      </c>
      <c r="S1767" s="13" t="n">
        <f aca="false">Q1767-R1767</f>
        <v>10921648</v>
      </c>
      <c r="T1767" s="14" t="n">
        <f aca="false">IFERROR(S1767/Q1767,0)</f>
        <v>0.142102292799801</v>
      </c>
      <c r="U1767" s="15" t="str">
        <f aca="false">TEXT(A1767,"yyyy-mm")</f>
        <v>2022-10</v>
      </c>
    </row>
    <row r="1768" customFormat="false" ht="15" hidden="false" customHeight="false" outlineLevel="0" collapsed="false">
      <c r="A1768" s="10" t="n">
        <v>44862</v>
      </c>
      <c r="B1768" s="11" t="s">
        <v>1900</v>
      </c>
      <c r="C1768" s="11" t="s">
        <v>135</v>
      </c>
      <c r="D1768" s="11" t="s">
        <v>118</v>
      </c>
      <c r="E1768" s="11" t="s">
        <v>68</v>
      </c>
      <c r="F1768" s="12" t="n">
        <v>5689947</v>
      </c>
      <c r="G1768" s="12" t="n">
        <v>5235000</v>
      </c>
      <c r="H1768" s="11" t="n">
        <v>23</v>
      </c>
      <c r="I1768" s="11" t="s">
        <v>86</v>
      </c>
      <c r="J1768" s="11" t="s">
        <v>87</v>
      </c>
      <c r="K1768" s="11" t="s">
        <v>88</v>
      </c>
      <c r="L1768" s="11" t="s">
        <v>89</v>
      </c>
      <c r="M1768" s="11" t="s">
        <v>90</v>
      </c>
      <c r="N1768" s="11" t="s">
        <v>99</v>
      </c>
      <c r="O1768" s="11" t="s">
        <v>100</v>
      </c>
      <c r="P1768" s="11" t="s">
        <v>101</v>
      </c>
      <c r="Q1768" s="13" t="n">
        <f aca="false">F1768*H1768</f>
        <v>130868781</v>
      </c>
      <c r="R1768" s="13" t="n">
        <f aca="false">G1768*H1768</f>
        <v>120405000</v>
      </c>
      <c r="S1768" s="13" t="n">
        <f aca="false">Q1768-R1768</f>
        <v>10463781</v>
      </c>
      <c r="T1768" s="14" t="n">
        <f aca="false">IFERROR(S1768/Q1768,0)</f>
        <v>0.0799562807878527</v>
      </c>
      <c r="U1768" s="15" t="str">
        <f aca="false">TEXT(A1768,"yyyy-mm")</f>
        <v>2022-10</v>
      </c>
    </row>
    <row r="1769" customFormat="false" ht="15" hidden="false" customHeight="false" outlineLevel="0" collapsed="false">
      <c r="A1769" s="10" t="n">
        <v>44862</v>
      </c>
      <c r="B1769" s="11" t="s">
        <v>1901</v>
      </c>
      <c r="C1769" s="11" t="s">
        <v>137</v>
      </c>
      <c r="D1769" s="11" t="s">
        <v>138</v>
      </c>
      <c r="E1769" s="11" t="s">
        <v>139</v>
      </c>
      <c r="F1769" s="12" t="n">
        <v>5171827</v>
      </c>
      <c r="G1769" s="12" t="n">
        <v>4890000</v>
      </c>
      <c r="H1769" s="11" t="n">
        <v>16</v>
      </c>
      <c r="I1769" s="11" t="s">
        <v>86</v>
      </c>
      <c r="J1769" s="11" t="s">
        <v>87</v>
      </c>
      <c r="K1769" s="11" t="s">
        <v>88</v>
      </c>
      <c r="L1769" s="11" t="s">
        <v>89</v>
      </c>
      <c r="M1769" s="11" t="s">
        <v>90</v>
      </c>
      <c r="N1769" s="11" t="s">
        <v>143</v>
      </c>
      <c r="O1769" s="11" t="s">
        <v>144</v>
      </c>
      <c r="P1769" s="11" t="s">
        <v>101</v>
      </c>
      <c r="Q1769" s="13" t="n">
        <f aca="false">F1769*H1769</f>
        <v>82749232</v>
      </c>
      <c r="R1769" s="13" t="n">
        <f aca="false">G1769*H1769</f>
        <v>78240000</v>
      </c>
      <c r="S1769" s="13" t="n">
        <f aca="false">Q1769-R1769</f>
        <v>4509232</v>
      </c>
      <c r="T1769" s="14" t="n">
        <f aca="false">IFERROR(S1769/Q1769,0)</f>
        <v>0.0544927353525166</v>
      </c>
      <c r="U1769" s="15" t="str">
        <f aca="false">TEXT(A1769,"yyyy-mm")</f>
        <v>2022-10</v>
      </c>
    </row>
    <row r="1770" customFormat="false" ht="15" hidden="false" customHeight="false" outlineLevel="0" collapsed="false">
      <c r="A1770" s="10" t="n">
        <v>44862</v>
      </c>
      <c r="B1770" s="11" t="s">
        <v>1902</v>
      </c>
      <c r="C1770" s="11" t="s">
        <v>141</v>
      </c>
      <c r="D1770" s="11" t="s">
        <v>138</v>
      </c>
      <c r="E1770" s="11" t="s">
        <v>142</v>
      </c>
      <c r="F1770" s="12" t="n">
        <v>2805124</v>
      </c>
      <c r="G1770" s="12" t="n">
        <v>2178000</v>
      </c>
      <c r="H1770" s="11" t="n">
        <v>7</v>
      </c>
      <c r="I1770" s="11" t="s">
        <v>69</v>
      </c>
      <c r="J1770" s="11" t="s">
        <v>80</v>
      </c>
      <c r="K1770" s="11" t="s">
        <v>81</v>
      </c>
      <c r="L1770" s="11" t="s">
        <v>82</v>
      </c>
      <c r="M1770" s="11" t="s">
        <v>73</v>
      </c>
      <c r="N1770" s="11" t="s">
        <v>133</v>
      </c>
      <c r="O1770" s="11" t="s">
        <v>60</v>
      </c>
      <c r="P1770" s="11" t="s">
        <v>76</v>
      </c>
      <c r="Q1770" s="13" t="n">
        <f aca="false">F1770*H1770</f>
        <v>19635868</v>
      </c>
      <c r="R1770" s="13" t="n">
        <f aca="false">G1770*H1770</f>
        <v>15246000</v>
      </c>
      <c r="S1770" s="13" t="n">
        <f aca="false">Q1770-R1770</f>
        <v>4389868</v>
      </c>
      <c r="T1770" s="14" t="n">
        <f aca="false">IFERROR(S1770/Q1770,0)</f>
        <v>0.22356373550688</v>
      </c>
      <c r="U1770" s="15" t="str">
        <f aca="false">TEXT(A1770,"yyyy-mm")</f>
        <v>2022-10</v>
      </c>
    </row>
    <row r="1771" customFormat="false" ht="15" hidden="false" customHeight="false" outlineLevel="0" collapsed="false">
      <c r="A1771" s="10" t="n">
        <v>44863</v>
      </c>
      <c r="B1771" s="11" t="s">
        <v>1903</v>
      </c>
      <c r="C1771" s="11" t="s">
        <v>146</v>
      </c>
      <c r="D1771" s="11" t="s">
        <v>138</v>
      </c>
      <c r="E1771" s="11" t="s">
        <v>139</v>
      </c>
      <c r="F1771" s="12" t="n">
        <v>2728100</v>
      </c>
      <c r="G1771" s="12" t="n">
        <v>2321000</v>
      </c>
      <c r="H1771" s="11" t="n">
        <v>13</v>
      </c>
      <c r="I1771" s="11" t="s">
        <v>86</v>
      </c>
      <c r="J1771" s="11" t="s">
        <v>87</v>
      </c>
      <c r="K1771" s="11" t="s">
        <v>88</v>
      </c>
      <c r="L1771" s="11" t="s">
        <v>89</v>
      </c>
      <c r="M1771" s="11" t="s">
        <v>90</v>
      </c>
      <c r="N1771" s="11" t="s">
        <v>143</v>
      </c>
      <c r="O1771" s="11" t="s">
        <v>144</v>
      </c>
      <c r="P1771" s="11" t="s">
        <v>101</v>
      </c>
      <c r="Q1771" s="13" t="n">
        <f aca="false">F1771*H1771</f>
        <v>35465300</v>
      </c>
      <c r="R1771" s="13" t="n">
        <f aca="false">G1771*H1771</f>
        <v>30173000</v>
      </c>
      <c r="S1771" s="13" t="n">
        <f aca="false">Q1771-R1771</f>
        <v>5292300</v>
      </c>
      <c r="T1771" s="14" t="n">
        <f aca="false">IFERROR(S1771/Q1771,0)</f>
        <v>0.149224735163667</v>
      </c>
      <c r="U1771" s="15" t="str">
        <f aca="false">TEXT(A1771,"yyyy-mm")</f>
        <v>2022-10</v>
      </c>
    </row>
    <row r="1772" customFormat="false" ht="15" hidden="false" customHeight="false" outlineLevel="0" collapsed="false">
      <c r="A1772" s="10" t="n">
        <v>44863</v>
      </c>
      <c r="B1772" s="11" t="s">
        <v>1904</v>
      </c>
      <c r="C1772" s="11" t="s">
        <v>148</v>
      </c>
      <c r="D1772" s="11" t="s">
        <v>138</v>
      </c>
      <c r="E1772" s="11" t="s">
        <v>122</v>
      </c>
      <c r="F1772" s="12" t="n">
        <v>4941716</v>
      </c>
      <c r="G1772" s="12" t="n">
        <v>4456000</v>
      </c>
      <c r="H1772" s="11" t="n">
        <v>25</v>
      </c>
      <c r="I1772" s="11" t="s">
        <v>69</v>
      </c>
      <c r="J1772" s="11" t="s">
        <v>80</v>
      </c>
      <c r="K1772" s="11" t="s">
        <v>81</v>
      </c>
      <c r="L1772" s="11" t="s">
        <v>82</v>
      </c>
      <c r="M1772" s="11" t="s">
        <v>73</v>
      </c>
      <c r="N1772" s="11" t="s">
        <v>173</v>
      </c>
      <c r="O1772" s="11" t="s">
        <v>174</v>
      </c>
      <c r="P1772" s="11" t="s">
        <v>95</v>
      </c>
      <c r="Q1772" s="13" t="n">
        <f aca="false">F1772*H1772</f>
        <v>123542900</v>
      </c>
      <c r="R1772" s="13" t="n">
        <f aca="false">G1772*H1772</f>
        <v>111400000</v>
      </c>
      <c r="S1772" s="13" t="n">
        <f aca="false">Q1772-R1772</f>
        <v>12142900</v>
      </c>
      <c r="T1772" s="14" t="n">
        <f aca="false">IFERROR(S1772/Q1772,0)</f>
        <v>0.0982889344511097</v>
      </c>
      <c r="U1772" s="15" t="str">
        <f aca="false">TEXT(A1772,"yyyy-mm")</f>
        <v>2022-10</v>
      </c>
    </row>
    <row r="1773" customFormat="false" ht="15" hidden="false" customHeight="false" outlineLevel="0" collapsed="false">
      <c r="A1773" s="10" t="n">
        <v>44863</v>
      </c>
      <c r="B1773" s="11" t="s">
        <v>1905</v>
      </c>
      <c r="C1773" s="11" t="s">
        <v>66</v>
      </c>
      <c r="D1773" s="11" t="s">
        <v>67</v>
      </c>
      <c r="E1773" s="11" t="s">
        <v>68</v>
      </c>
      <c r="F1773" s="12" t="n">
        <v>3048952</v>
      </c>
      <c r="G1773" s="12" t="n">
        <v>2560000</v>
      </c>
      <c r="H1773" s="11" t="n">
        <v>13</v>
      </c>
      <c r="I1773" s="11" t="s">
        <v>86</v>
      </c>
      <c r="J1773" s="11" t="s">
        <v>87</v>
      </c>
      <c r="K1773" s="11" t="s">
        <v>88</v>
      </c>
      <c r="L1773" s="11" t="s">
        <v>89</v>
      </c>
      <c r="M1773" s="11" t="s">
        <v>90</v>
      </c>
      <c r="N1773" s="11" t="s">
        <v>93</v>
      </c>
      <c r="O1773" s="11" t="s">
        <v>94</v>
      </c>
      <c r="P1773" s="11" t="s">
        <v>95</v>
      </c>
      <c r="Q1773" s="13" t="n">
        <f aca="false">F1773*H1773</f>
        <v>39636376</v>
      </c>
      <c r="R1773" s="13" t="n">
        <f aca="false">G1773*H1773</f>
        <v>33280000</v>
      </c>
      <c r="S1773" s="13" t="n">
        <f aca="false">Q1773-R1773</f>
        <v>6356376</v>
      </c>
      <c r="T1773" s="14" t="n">
        <f aca="false">IFERROR(S1773/Q1773,0)</f>
        <v>0.160367234380863</v>
      </c>
      <c r="U1773" s="15" t="str">
        <f aca="false">TEXT(A1773,"yyyy-mm")</f>
        <v>2022-10</v>
      </c>
    </row>
    <row r="1774" customFormat="false" ht="15" hidden="false" customHeight="false" outlineLevel="0" collapsed="false">
      <c r="A1774" s="10" t="n">
        <v>44863</v>
      </c>
      <c r="B1774" s="11" t="s">
        <v>1906</v>
      </c>
      <c r="C1774" s="11" t="s">
        <v>78</v>
      </c>
      <c r="D1774" s="11" t="s">
        <v>67</v>
      </c>
      <c r="E1774" s="11" t="s">
        <v>79</v>
      </c>
      <c r="F1774" s="12" t="n">
        <v>1870000</v>
      </c>
      <c r="G1774" s="12" t="n">
        <v>1650000</v>
      </c>
      <c r="H1774" s="11" t="n">
        <v>14</v>
      </c>
      <c r="I1774" s="11" t="s">
        <v>86</v>
      </c>
      <c r="J1774" s="11" t="s">
        <v>87</v>
      </c>
      <c r="K1774" s="11" t="s">
        <v>88</v>
      </c>
      <c r="L1774" s="11" t="s">
        <v>89</v>
      </c>
      <c r="M1774" s="11" t="s">
        <v>90</v>
      </c>
      <c r="N1774" s="11" t="s">
        <v>143</v>
      </c>
      <c r="O1774" s="11" t="s">
        <v>144</v>
      </c>
      <c r="P1774" s="11" t="s">
        <v>101</v>
      </c>
      <c r="Q1774" s="13" t="n">
        <f aca="false">F1774*H1774</f>
        <v>26180000</v>
      </c>
      <c r="R1774" s="13" t="n">
        <f aca="false">G1774*H1774</f>
        <v>23100000</v>
      </c>
      <c r="S1774" s="13" t="n">
        <f aca="false">Q1774-R1774</f>
        <v>3080000</v>
      </c>
      <c r="T1774" s="14" t="n">
        <f aca="false">IFERROR(S1774/Q1774,0)</f>
        <v>0.117647058823529</v>
      </c>
      <c r="U1774" s="15" t="str">
        <f aca="false">TEXT(A1774,"yyyy-mm")</f>
        <v>2022-10</v>
      </c>
    </row>
    <row r="1775" customFormat="false" ht="15" hidden="false" customHeight="false" outlineLevel="0" collapsed="false">
      <c r="A1775" s="10" t="n">
        <v>44863</v>
      </c>
      <c r="B1775" s="11" t="s">
        <v>1907</v>
      </c>
      <c r="C1775" s="11" t="s">
        <v>84</v>
      </c>
      <c r="D1775" s="11" t="s">
        <v>67</v>
      </c>
      <c r="E1775" s="11" t="s">
        <v>85</v>
      </c>
      <c r="F1775" s="12" t="n">
        <v>2600000</v>
      </c>
      <c r="G1775" s="12" t="n">
        <v>2300000</v>
      </c>
      <c r="H1775" s="11" t="n">
        <v>12</v>
      </c>
      <c r="I1775" s="11" t="s">
        <v>86</v>
      </c>
      <c r="J1775" s="11" t="s">
        <v>87</v>
      </c>
      <c r="K1775" s="11" t="s">
        <v>88</v>
      </c>
      <c r="L1775" s="11" t="s">
        <v>89</v>
      </c>
      <c r="M1775" s="11" t="s">
        <v>90</v>
      </c>
      <c r="N1775" s="11" t="s">
        <v>149</v>
      </c>
      <c r="O1775" s="11" t="s">
        <v>150</v>
      </c>
      <c r="P1775" s="11" t="s">
        <v>151</v>
      </c>
      <c r="Q1775" s="13" t="n">
        <f aca="false">F1775*H1775</f>
        <v>31200000</v>
      </c>
      <c r="R1775" s="13" t="n">
        <f aca="false">G1775*H1775</f>
        <v>27600000</v>
      </c>
      <c r="S1775" s="13" t="n">
        <f aca="false">Q1775-R1775</f>
        <v>3600000</v>
      </c>
      <c r="T1775" s="14" t="n">
        <f aca="false">IFERROR(S1775/Q1775,0)</f>
        <v>0.115384615384615</v>
      </c>
      <c r="U1775" s="15" t="str">
        <f aca="false">TEXT(A1775,"yyyy-mm")</f>
        <v>2022-10</v>
      </c>
    </row>
    <row r="1776" customFormat="false" ht="15" hidden="false" customHeight="false" outlineLevel="0" collapsed="false">
      <c r="A1776" s="10" t="n">
        <v>44864</v>
      </c>
      <c r="B1776" s="11" t="s">
        <v>1908</v>
      </c>
      <c r="C1776" s="11" t="s">
        <v>92</v>
      </c>
      <c r="D1776" s="11" t="s">
        <v>67</v>
      </c>
      <c r="E1776" s="11" t="s">
        <v>79</v>
      </c>
      <c r="F1776" s="12" t="n">
        <v>3577480</v>
      </c>
      <c r="G1776" s="12" t="n">
        <v>3100000</v>
      </c>
      <c r="H1776" s="11" t="n">
        <v>18</v>
      </c>
      <c r="I1776" s="11" t="s">
        <v>86</v>
      </c>
      <c r="J1776" s="11" t="s">
        <v>87</v>
      </c>
      <c r="K1776" s="11" t="s">
        <v>88</v>
      </c>
      <c r="L1776" s="11" t="s">
        <v>89</v>
      </c>
      <c r="M1776" s="11" t="s">
        <v>90</v>
      </c>
      <c r="N1776" s="11" t="s">
        <v>173</v>
      </c>
      <c r="O1776" s="11" t="s">
        <v>174</v>
      </c>
      <c r="P1776" s="11" t="s">
        <v>95</v>
      </c>
      <c r="Q1776" s="13" t="n">
        <f aca="false">F1776*H1776</f>
        <v>64394640</v>
      </c>
      <c r="R1776" s="13" t="n">
        <f aca="false">G1776*H1776</f>
        <v>55800000</v>
      </c>
      <c r="S1776" s="13" t="n">
        <f aca="false">Q1776-R1776</f>
        <v>8594640</v>
      </c>
      <c r="T1776" s="14" t="n">
        <f aca="false">IFERROR(S1776/Q1776,0)</f>
        <v>0.133468251394837</v>
      </c>
      <c r="U1776" s="15" t="str">
        <f aca="false">TEXT(A1776,"yyyy-mm")</f>
        <v>2022-10</v>
      </c>
    </row>
    <row r="1777" customFormat="false" ht="15" hidden="false" customHeight="false" outlineLevel="0" collapsed="false">
      <c r="A1777" s="10" t="n">
        <v>44864</v>
      </c>
      <c r="B1777" s="11" t="s">
        <v>1909</v>
      </c>
      <c r="C1777" s="11" t="s">
        <v>97</v>
      </c>
      <c r="D1777" s="11" t="s">
        <v>67</v>
      </c>
      <c r="E1777" s="11" t="s">
        <v>98</v>
      </c>
      <c r="F1777" s="12" t="n">
        <v>4969724</v>
      </c>
      <c r="G1777" s="12" t="n">
        <v>4121560</v>
      </c>
      <c r="H1777" s="11" t="n">
        <v>1</v>
      </c>
      <c r="I1777" s="11" t="s">
        <v>86</v>
      </c>
      <c r="J1777" s="11" t="s">
        <v>87</v>
      </c>
      <c r="K1777" s="11" t="s">
        <v>88</v>
      </c>
      <c r="L1777" s="11" t="s">
        <v>89</v>
      </c>
      <c r="M1777" s="11" t="s">
        <v>90</v>
      </c>
      <c r="N1777" s="11" t="s">
        <v>149</v>
      </c>
      <c r="O1777" s="11" t="s">
        <v>150</v>
      </c>
      <c r="P1777" s="11" t="s">
        <v>151</v>
      </c>
      <c r="Q1777" s="13" t="n">
        <f aca="false">F1777*H1777</f>
        <v>4969724</v>
      </c>
      <c r="R1777" s="13" t="n">
        <f aca="false">G1777*H1777</f>
        <v>4121560</v>
      </c>
      <c r="S1777" s="13" t="n">
        <f aca="false">Q1777-R1777</f>
        <v>848164</v>
      </c>
      <c r="T1777" s="14" t="n">
        <f aca="false">IFERROR(S1777/Q1777,0)</f>
        <v>0.170666218083741</v>
      </c>
      <c r="U1777" s="15" t="str">
        <f aca="false">TEXT(A1777,"yyyy-mm")</f>
        <v>2022-10</v>
      </c>
    </row>
    <row r="1778" customFormat="false" ht="15" hidden="false" customHeight="false" outlineLevel="0" collapsed="false">
      <c r="A1778" s="10" t="n">
        <v>44865</v>
      </c>
      <c r="B1778" s="11" t="s">
        <v>1910</v>
      </c>
      <c r="C1778" s="11" t="s">
        <v>103</v>
      </c>
      <c r="D1778" s="11" t="s">
        <v>67</v>
      </c>
      <c r="E1778" s="11" t="s">
        <v>68</v>
      </c>
      <c r="F1778" s="12" t="n">
        <v>3319925</v>
      </c>
      <c r="G1778" s="12" t="n">
        <v>2800000</v>
      </c>
      <c r="H1778" s="11" t="n">
        <v>2</v>
      </c>
      <c r="I1778" s="11" t="s">
        <v>69</v>
      </c>
      <c r="J1778" s="11" t="s">
        <v>70</v>
      </c>
      <c r="K1778" s="11" t="s">
        <v>71</v>
      </c>
      <c r="L1778" s="11" t="s">
        <v>72</v>
      </c>
      <c r="M1778" s="11" t="s">
        <v>73</v>
      </c>
      <c r="N1778" s="11" t="s">
        <v>133</v>
      </c>
      <c r="O1778" s="11" t="s">
        <v>60</v>
      </c>
      <c r="P1778" s="11" t="s">
        <v>76</v>
      </c>
      <c r="Q1778" s="13" t="n">
        <f aca="false">F1778*H1778</f>
        <v>6639850</v>
      </c>
      <c r="R1778" s="13" t="n">
        <f aca="false">G1778*H1778</f>
        <v>5600000</v>
      </c>
      <c r="S1778" s="13" t="n">
        <f aca="false">Q1778-R1778</f>
        <v>1039850</v>
      </c>
      <c r="T1778" s="14" t="n">
        <f aca="false">IFERROR(S1778/Q1778,0)</f>
        <v>0.15660745348163</v>
      </c>
      <c r="U1778" s="15" t="str">
        <f aca="false">TEXT(A1778,"yyyy-mm")</f>
        <v>2022-10</v>
      </c>
    </row>
    <row r="1779" customFormat="false" ht="15" hidden="false" customHeight="false" outlineLevel="0" collapsed="false">
      <c r="A1779" s="10" t="n">
        <v>44866</v>
      </c>
      <c r="B1779" s="11" t="s">
        <v>1911</v>
      </c>
      <c r="C1779" s="11" t="s">
        <v>108</v>
      </c>
      <c r="D1779" s="11" t="s">
        <v>67</v>
      </c>
      <c r="E1779" s="11" t="s">
        <v>68</v>
      </c>
      <c r="F1779" s="12" t="n">
        <v>4757880</v>
      </c>
      <c r="G1779" s="12" t="n">
        <v>3450000</v>
      </c>
      <c r="H1779" s="11" t="n">
        <v>1</v>
      </c>
      <c r="I1779" s="11" t="s">
        <v>86</v>
      </c>
      <c r="J1779" s="11" t="s">
        <v>87</v>
      </c>
      <c r="K1779" s="11" t="s">
        <v>88</v>
      </c>
      <c r="L1779" s="11" t="s">
        <v>89</v>
      </c>
      <c r="M1779" s="11" t="s">
        <v>90</v>
      </c>
      <c r="N1779" s="11" t="s">
        <v>93</v>
      </c>
      <c r="O1779" s="11" t="s">
        <v>94</v>
      </c>
      <c r="P1779" s="11" t="s">
        <v>95</v>
      </c>
      <c r="Q1779" s="13" t="n">
        <f aca="false">F1779*H1779</f>
        <v>4757880</v>
      </c>
      <c r="R1779" s="13" t="n">
        <f aca="false">G1779*H1779</f>
        <v>3450000</v>
      </c>
      <c r="S1779" s="13" t="n">
        <f aca="false">Q1779-R1779</f>
        <v>1307880</v>
      </c>
      <c r="T1779" s="14" t="n">
        <f aca="false">IFERROR(S1779/Q1779,0)</f>
        <v>0.274887134606169</v>
      </c>
      <c r="U1779" s="15" t="str">
        <f aca="false">TEXT(A1779,"yyyy-mm")</f>
        <v>2022-11</v>
      </c>
    </row>
    <row r="1780" customFormat="false" ht="15" hidden="false" customHeight="false" outlineLevel="0" collapsed="false">
      <c r="A1780" s="10" t="n">
        <v>44866</v>
      </c>
      <c r="B1780" s="11" t="s">
        <v>1912</v>
      </c>
      <c r="C1780" s="11" t="s">
        <v>111</v>
      </c>
      <c r="D1780" s="11" t="s">
        <v>67</v>
      </c>
      <c r="E1780" s="11" t="s">
        <v>79</v>
      </c>
      <c r="F1780" s="12" t="n">
        <v>3545808</v>
      </c>
      <c r="G1780" s="12" t="n">
        <v>3350000</v>
      </c>
      <c r="H1780" s="11" t="n">
        <v>19</v>
      </c>
      <c r="I1780" s="11" t="s">
        <v>69</v>
      </c>
      <c r="J1780" s="11" t="s">
        <v>70</v>
      </c>
      <c r="K1780" s="11" t="s">
        <v>71</v>
      </c>
      <c r="L1780" s="11" t="s">
        <v>72</v>
      </c>
      <c r="M1780" s="11" t="s">
        <v>73</v>
      </c>
      <c r="N1780" s="11" t="s">
        <v>133</v>
      </c>
      <c r="O1780" s="11" t="s">
        <v>60</v>
      </c>
      <c r="P1780" s="11" t="s">
        <v>76</v>
      </c>
      <c r="Q1780" s="13" t="n">
        <f aca="false">F1780*H1780</f>
        <v>67370352</v>
      </c>
      <c r="R1780" s="13" t="n">
        <f aca="false">G1780*H1780</f>
        <v>63650000</v>
      </c>
      <c r="S1780" s="13" t="n">
        <f aca="false">Q1780-R1780</f>
        <v>3720352</v>
      </c>
      <c r="T1780" s="14" t="n">
        <f aca="false">IFERROR(S1780/Q1780,0)</f>
        <v>0.0552223921881839</v>
      </c>
      <c r="U1780" s="15" t="str">
        <f aca="false">TEXT(A1780,"yyyy-mm")</f>
        <v>2022-11</v>
      </c>
    </row>
    <row r="1781" customFormat="false" ht="15" hidden="false" customHeight="false" outlineLevel="0" collapsed="false">
      <c r="A1781" s="10" t="n">
        <v>44868</v>
      </c>
      <c r="B1781" s="11" t="s">
        <v>1913</v>
      </c>
      <c r="C1781" s="11" t="s">
        <v>115</v>
      </c>
      <c r="D1781" s="11" t="s">
        <v>67</v>
      </c>
      <c r="E1781" s="11" t="s">
        <v>98</v>
      </c>
      <c r="F1781" s="12" t="n">
        <v>4200743</v>
      </c>
      <c r="G1781" s="12" t="n">
        <v>4101000</v>
      </c>
      <c r="H1781" s="11" t="n">
        <v>14</v>
      </c>
      <c r="I1781" s="11" t="s">
        <v>69</v>
      </c>
      <c r="J1781" s="11" t="s">
        <v>80</v>
      </c>
      <c r="K1781" s="11" t="s">
        <v>81</v>
      </c>
      <c r="L1781" s="11" t="s">
        <v>82</v>
      </c>
      <c r="M1781" s="11" t="s">
        <v>73</v>
      </c>
      <c r="N1781" s="11" t="s">
        <v>104</v>
      </c>
      <c r="O1781" s="11" t="s">
        <v>105</v>
      </c>
      <c r="P1781" s="11" t="s">
        <v>106</v>
      </c>
      <c r="Q1781" s="13" t="n">
        <f aca="false">F1781*H1781</f>
        <v>58810402</v>
      </c>
      <c r="R1781" s="13" t="n">
        <f aca="false">G1781*H1781</f>
        <v>57414000</v>
      </c>
      <c r="S1781" s="13" t="n">
        <f aca="false">Q1781-R1781</f>
        <v>1396402</v>
      </c>
      <c r="T1781" s="14" t="n">
        <f aca="false">IFERROR(S1781/Q1781,0)</f>
        <v>0.023744132883159</v>
      </c>
      <c r="U1781" s="15" t="str">
        <f aca="false">TEXT(A1781,"yyyy-mm")</f>
        <v>2022-11</v>
      </c>
    </row>
    <row r="1782" customFormat="false" ht="15" hidden="false" customHeight="false" outlineLevel="0" collapsed="false">
      <c r="A1782" s="10" t="n">
        <v>44869</v>
      </c>
      <c r="B1782" s="11" t="s">
        <v>1914</v>
      </c>
      <c r="C1782" s="11" t="s">
        <v>117</v>
      </c>
      <c r="D1782" s="11" t="s">
        <v>118</v>
      </c>
      <c r="E1782" s="11" t="s">
        <v>119</v>
      </c>
      <c r="F1782" s="12" t="n">
        <v>8220549</v>
      </c>
      <c r="G1782" s="12" t="n">
        <v>6500000</v>
      </c>
      <c r="H1782" s="11" t="n">
        <v>16</v>
      </c>
      <c r="I1782" s="11" t="s">
        <v>69</v>
      </c>
      <c r="J1782" s="11" t="s">
        <v>80</v>
      </c>
      <c r="K1782" s="11" t="s">
        <v>81</v>
      </c>
      <c r="L1782" s="11" t="s">
        <v>82</v>
      </c>
      <c r="M1782" s="11" t="s">
        <v>73</v>
      </c>
      <c r="N1782" s="11" t="s">
        <v>149</v>
      </c>
      <c r="O1782" s="11" t="s">
        <v>150</v>
      </c>
      <c r="P1782" s="11" t="s">
        <v>151</v>
      </c>
      <c r="Q1782" s="13" t="n">
        <f aca="false">F1782*H1782</f>
        <v>131528784</v>
      </c>
      <c r="R1782" s="13" t="n">
        <f aca="false">G1782*H1782</f>
        <v>104000000</v>
      </c>
      <c r="S1782" s="13" t="n">
        <f aca="false">Q1782-R1782</f>
        <v>27528784</v>
      </c>
      <c r="T1782" s="14" t="n">
        <f aca="false">IFERROR(S1782/Q1782,0)</f>
        <v>0.209298551714733</v>
      </c>
      <c r="U1782" s="15" t="str">
        <f aca="false">TEXT(A1782,"yyyy-mm")</f>
        <v>2022-11</v>
      </c>
    </row>
    <row r="1783" customFormat="false" ht="15" hidden="false" customHeight="false" outlineLevel="0" collapsed="false">
      <c r="A1783" s="10" t="n">
        <v>44869</v>
      </c>
      <c r="B1783" s="11" t="s">
        <v>1915</v>
      </c>
      <c r="C1783" s="11" t="s">
        <v>121</v>
      </c>
      <c r="D1783" s="11" t="s">
        <v>118</v>
      </c>
      <c r="E1783" s="11" t="s">
        <v>122</v>
      </c>
      <c r="F1783" s="12" t="n">
        <v>7687274</v>
      </c>
      <c r="G1783" s="12" t="n">
        <v>6500000</v>
      </c>
      <c r="H1783" s="11" t="n">
        <v>8</v>
      </c>
      <c r="I1783" s="11" t="s">
        <v>69</v>
      </c>
      <c r="J1783" s="11" t="s">
        <v>112</v>
      </c>
      <c r="K1783" s="11" t="s">
        <v>113</v>
      </c>
      <c r="L1783" s="11" t="s">
        <v>82</v>
      </c>
      <c r="M1783" s="11" t="s">
        <v>157</v>
      </c>
      <c r="N1783" s="11" t="s">
        <v>104</v>
      </c>
      <c r="O1783" s="11" t="s">
        <v>105</v>
      </c>
      <c r="P1783" s="11" t="s">
        <v>106</v>
      </c>
      <c r="Q1783" s="13" t="n">
        <f aca="false">F1783*H1783</f>
        <v>61498192</v>
      </c>
      <c r="R1783" s="13" t="n">
        <f aca="false">G1783*H1783</f>
        <v>52000000</v>
      </c>
      <c r="S1783" s="13" t="n">
        <f aca="false">Q1783-R1783</f>
        <v>9498192</v>
      </c>
      <c r="T1783" s="14" t="n">
        <f aca="false">IFERROR(S1783/Q1783,0)</f>
        <v>0.154446686822923</v>
      </c>
      <c r="U1783" s="15" t="str">
        <f aca="false">TEXT(A1783,"yyyy-mm")</f>
        <v>2022-11</v>
      </c>
    </row>
    <row r="1784" customFormat="false" ht="15" hidden="false" customHeight="false" outlineLevel="0" collapsed="false">
      <c r="A1784" s="10" t="n">
        <v>44871</v>
      </c>
      <c r="B1784" s="11" t="s">
        <v>1916</v>
      </c>
      <c r="C1784" s="11" t="s">
        <v>125</v>
      </c>
      <c r="D1784" s="11" t="s">
        <v>118</v>
      </c>
      <c r="E1784" s="11" t="s">
        <v>126</v>
      </c>
      <c r="F1784" s="12" t="n">
        <v>5684211</v>
      </c>
      <c r="G1784" s="12" t="n">
        <v>4300000</v>
      </c>
      <c r="H1784" s="11" t="n">
        <v>14</v>
      </c>
      <c r="I1784" s="11" t="s">
        <v>69</v>
      </c>
      <c r="J1784" s="11" t="s">
        <v>80</v>
      </c>
      <c r="K1784" s="11" t="s">
        <v>81</v>
      </c>
      <c r="L1784" s="11" t="s">
        <v>82</v>
      </c>
      <c r="M1784" s="11" t="s">
        <v>73</v>
      </c>
      <c r="N1784" s="11" t="s">
        <v>143</v>
      </c>
      <c r="O1784" s="11" t="s">
        <v>144</v>
      </c>
      <c r="P1784" s="11" t="s">
        <v>101</v>
      </c>
      <c r="Q1784" s="13" t="n">
        <f aca="false">F1784*H1784</f>
        <v>79578954</v>
      </c>
      <c r="R1784" s="13" t="n">
        <f aca="false">G1784*H1784</f>
        <v>60200000</v>
      </c>
      <c r="S1784" s="13" t="n">
        <f aca="false">Q1784-R1784</f>
        <v>19378954</v>
      </c>
      <c r="T1784" s="14" t="n">
        <f aca="false">IFERROR(S1784/Q1784,0)</f>
        <v>0.243518581558637</v>
      </c>
      <c r="U1784" s="15" t="str">
        <f aca="false">TEXT(A1784,"yyyy-mm")</f>
        <v>2022-11</v>
      </c>
    </row>
    <row r="1785" customFormat="false" ht="15" hidden="false" customHeight="false" outlineLevel="0" collapsed="false">
      <c r="A1785" s="10" t="n">
        <v>44871</v>
      </c>
      <c r="B1785" s="11" t="s">
        <v>1917</v>
      </c>
      <c r="C1785" s="11" t="s">
        <v>128</v>
      </c>
      <c r="D1785" s="11" t="s">
        <v>118</v>
      </c>
      <c r="E1785" s="11" t="s">
        <v>119</v>
      </c>
      <c r="F1785" s="12" t="n">
        <v>3370302</v>
      </c>
      <c r="G1785" s="12" t="n">
        <v>2100000</v>
      </c>
      <c r="H1785" s="11" t="n">
        <v>17</v>
      </c>
      <c r="I1785" s="11" t="s">
        <v>86</v>
      </c>
      <c r="J1785" s="11" t="s">
        <v>87</v>
      </c>
      <c r="K1785" s="11" t="s">
        <v>88</v>
      </c>
      <c r="L1785" s="11" t="s">
        <v>89</v>
      </c>
      <c r="M1785" s="11" t="s">
        <v>90</v>
      </c>
      <c r="N1785" s="11" t="s">
        <v>109</v>
      </c>
      <c r="O1785" s="11" t="s">
        <v>75</v>
      </c>
      <c r="P1785" s="11" t="s">
        <v>95</v>
      </c>
      <c r="Q1785" s="13" t="n">
        <f aca="false">F1785*H1785</f>
        <v>57295134</v>
      </c>
      <c r="R1785" s="13" t="n">
        <f aca="false">G1785*H1785</f>
        <v>35700000</v>
      </c>
      <c r="S1785" s="13" t="n">
        <f aca="false">Q1785-R1785</f>
        <v>21595134</v>
      </c>
      <c r="T1785" s="14" t="n">
        <f aca="false">IFERROR(S1785/Q1785,0)</f>
        <v>0.37691043710623</v>
      </c>
      <c r="U1785" s="15" t="str">
        <f aca="false">TEXT(A1785,"yyyy-mm")</f>
        <v>2022-11</v>
      </c>
    </row>
    <row r="1786" customFormat="false" ht="15" hidden="false" customHeight="false" outlineLevel="0" collapsed="false">
      <c r="A1786" s="10" t="n">
        <v>44872</v>
      </c>
      <c r="B1786" s="11" t="s">
        <v>1918</v>
      </c>
      <c r="C1786" s="11" t="s">
        <v>130</v>
      </c>
      <c r="D1786" s="11" t="s">
        <v>118</v>
      </c>
      <c r="E1786" s="11" t="s">
        <v>68</v>
      </c>
      <c r="F1786" s="12" t="n">
        <v>2852897</v>
      </c>
      <c r="G1786" s="12" t="n">
        <v>2450000</v>
      </c>
      <c r="H1786" s="11" t="n">
        <v>4</v>
      </c>
      <c r="I1786" s="11" t="s">
        <v>69</v>
      </c>
      <c r="J1786" s="11" t="s">
        <v>112</v>
      </c>
      <c r="K1786" s="11" t="s">
        <v>113</v>
      </c>
      <c r="L1786" s="11" t="s">
        <v>82</v>
      </c>
      <c r="M1786" s="11" t="s">
        <v>157</v>
      </c>
      <c r="N1786" s="11" t="s">
        <v>104</v>
      </c>
      <c r="O1786" s="11" t="s">
        <v>105</v>
      </c>
      <c r="P1786" s="11" t="s">
        <v>106</v>
      </c>
      <c r="Q1786" s="13" t="n">
        <f aca="false">F1786*H1786</f>
        <v>11411588</v>
      </c>
      <c r="R1786" s="13" t="n">
        <f aca="false">G1786*H1786</f>
        <v>9800000</v>
      </c>
      <c r="S1786" s="13" t="n">
        <f aca="false">Q1786-R1786</f>
        <v>1611588</v>
      </c>
      <c r="T1786" s="14" t="n">
        <f aca="false">IFERROR(S1786/Q1786,0)</f>
        <v>0.141223815651249</v>
      </c>
      <c r="U1786" s="15" t="str">
        <f aca="false">TEXT(A1786,"yyyy-mm")</f>
        <v>2022-11</v>
      </c>
    </row>
    <row r="1787" customFormat="false" ht="15" hidden="false" customHeight="false" outlineLevel="0" collapsed="false">
      <c r="A1787" s="10" t="n">
        <v>44873</v>
      </c>
      <c r="B1787" s="11" t="s">
        <v>1919</v>
      </c>
      <c r="C1787" s="11" t="s">
        <v>132</v>
      </c>
      <c r="D1787" s="11" t="s">
        <v>118</v>
      </c>
      <c r="E1787" s="11" t="s">
        <v>68</v>
      </c>
      <c r="F1787" s="12" t="n">
        <v>4803603</v>
      </c>
      <c r="G1787" s="12" t="n">
        <v>4121000</v>
      </c>
      <c r="H1787" s="11" t="n">
        <v>20</v>
      </c>
      <c r="I1787" s="11" t="s">
        <v>69</v>
      </c>
      <c r="J1787" s="11" t="s">
        <v>70</v>
      </c>
      <c r="K1787" s="11" t="s">
        <v>71</v>
      </c>
      <c r="L1787" s="11" t="s">
        <v>72</v>
      </c>
      <c r="M1787" s="11" t="s">
        <v>73</v>
      </c>
      <c r="N1787" s="11" t="s">
        <v>104</v>
      </c>
      <c r="O1787" s="11" t="s">
        <v>105</v>
      </c>
      <c r="P1787" s="11" t="s">
        <v>106</v>
      </c>
      <c r="Q1787" s="13" t="n">
        <f aca="false">F1787*H1787</f>
        <v>96072060</v>
      </c>
      <c r="R1787" s="13" t="n">
        <f aca="false">G1787*H1787</f>
        <v>82420000</v>
      </c>
      <c r="S1787" s="13" t="n">
        <f aca="false">Q1787-R1787</f>
        <v>13652060</v>
      </c>
      <c r="T1787" s="14" t="n">
        <f aca="false">IFERROR(S1787/Q1787,0)</f>
        <v>0.142102292799801</v>
      </c>
      <c r="U1787" s="15" t="str">
        <f aca="false">TEXT(A1787,"yyyy-mm")</f>
        <v>2022-11</v>
      </c>
    </row>
    <row r="1788" customFormat="false" ht="15" hidden="false" customHeight="false" outlineLevel="0" collapsed="false">
      <c r="A1788" s="10" t="n">
        <v>44873</v>
      </c>
      <c r="B1788" s="11" t="s">
        <v>1920</v>
      </c>
      <c r="C1788" s="11" t="s">
        <v>135</v>
      </c>
      <c r="D1788" s="11" t="s">
        <v>118</v>
      </c>
      <c r="E1788" s="11" t="s">
        <v>68</v>
      </c>
      <c r="F1788" s="12" t="n">
        <v>5689947</v>
      </c>
      <c r="G1788" s="12" t="n">
        <v>5235000</v>
      </c>
      <c r="H1788" s="11" t="n">
        <v>23</v>
      </c>
      <c r="I1788" s="11" t="s">
        <v>69</v>
      </c>
      <c r="J1788" s="11" t="s">
        <v>80</v>
      </c>
      <c r="K1788" s="11" t="s">
        <v>81</v>
      </c>
      <c r="L1788" s="11" t="s">
        <v>82</v>
      </c>
      <c r="M1788" s="11" t="s">
        <v>73</v>
      </c>
      <c r="N1788" s="11" t="s">
        <v>93</v>
      </c>
      <c r="O1788" s="11" t="s">
        <v>94</v>
      </c>
      <c r="P1788" s="11" t="s">
        <v>95</v>
      </c>
      <c r="Q1788" s="13" t="n">
        <f aca="false">F1788*H1788</f>
        <v>130868781</v>
      </c>
      <c r="R1788" s="13" t="n">
        <f aca="false">G1788*H1788</f>
        <v>120405000</v>
      </c>
      <c r="S1788" s="13" t="n">
        <f aca="false">Q1788-R1788</f>
        <v>10463781</v>
      </c>
      <c r="T1788" s="14" t="n">
        <f aca="false">IFERROR(S1788/Q1788,0)</f>
        <v>0.0799562807878527</v>
      </c>
      <c r="U1788" s="15" t="str">
        <f aca="false">TEXT(A1788,"yyyy-mm")</f>
        <v>2022-11</v>
      </c>
    </row>
    <row r="1789" customFormat="false" ht="15" hidden="false" customHeight="false" outlineLevel="0" collapsed="false">
      <c r="A1789" s="10" t="n">
        <v>44874</v>
      </c>
      <c r="B1789" s="11" t="s">
        <v>1921</v>
      </c>
      <c r="C1789" s="11" t="s">
        <v>137</v>
      </c>
      <c r="D1789" s="11" t="s">
        <v>138</v>
      </c>
      <c r="E1789" s="11" t="s">
        <v>139</v>
      </c>
      <c r="F1789" s="12" t="n">
        <v>5171827</v>
      </c>
      <c r="G1789" s="12" t="n">
        <v>4890000</v>
      </c>
      <c r="H1789" s="11" t="n">
        <v>6</v>
      </c>
      <c r="I1789" s="11" t="s">
        <v>69</v>
      </c>
      <c r="J1789" s="11" t="s">
        <v>80</v>
      </c>
      <c r="K1789" s="11" t="s">
        <v>81</v>
      </c>
      <c r="L1789" s="11" t="s">
        <v>82</v>
      </c>
      <c r="M1789" s="11" t="s">
        <v>73</v>
      </c>
      <c r="N1789" s="11" t="s">
        <v>149</v>
      </c>
      <c r="O1789" s="11" t="s">
        <v>150</v>
      </c>
      <c r="P1789" s="11" t="s">
        <v>151</v>
      </c>
      <c r="Q1789" s="13" t="n">
        <f aca="false">F1789*H1789</f>
        <v>31030962</v>
      </c>
      <c r="R1789" s="13" t="n">
        <f aca="false">G1789*H1789</f>
        <v>29340000</v>
      </c>
      <c r="S1789" s="13" t="n">
        <f aca="false">Q1789-R1789</f>
        <v>1690962</v>
      </c>
      <c r="T1789" s="14" t="n">
        <f aca="false">IFERROR(S1789/Q1789,0)</f>
        <v>0.0544927353525166</v>
      </c>
      <c r="U1789" s="15" t="str">
        <f aca="false">TEXT(A1789,"yyyy-mm")</f>
        <v>2022-11</v>
      </c>
    </row>
    <row r="1790" customFormat="false" ht="15" hidden="false" customHeight="false" outlineLevel="0" collapsed="false">
      <c r="A1790" s="10" t="n">
        <v>44874</v>
      </c>
      <c r="B1790" s="11" t="s">
        <v>1922</v>
      </c>
      <c r="C1790" s="11" t="s">
        <v>141</v>
      </c>
      <c r="D1790" s="11" t="s">
        <v>138</v>
      </c>
      <c r="E1790" s="11" t="s">
        <v>142</v>
      </c>
      <c r="F1790" s="12" t="n">
        <v>2805124</v>
      </c>
      <c r="G1790" s="12" t="n">
        <v>2178000</v>
      </c>
      <c r="H1790" s="11" t="n">
        <v>15</v>
      </c>
      <c r="I1790" s="11" t="s">
        <v>69</v>
      </c>
      <c r="J1790" s="11" t="s">
        <v>70</v>
      </c>
      <c r="K1790" s="11" t="s">
        <v>71</v>
      </c>
      <c r="L1790" s="11" t="s">
        <v>72</v>
      </c>
      <c r="M1790" s="11" t="s">
        <v>73</v>
      </c>
      <c r="N1790" s="11" t="s">
        <v>109</v>
      </c>
      <c r="O1790" s="11" t="s">
        <v>75</v>
      </c>
      <c r="P1790" s="11" t="s">
        <v>95</v>
      </c>
      <c r="Q1790" s="13" t="n">
        <f aca="false">F1790*H1790</f>
        <v>42076860</v>
      </c>
      <c r="R1790" s="13" t="n">
        <f aca="false">G1790*H1790</f>
        <v>32670000</v>
      </c>
      <c r="S1790" s="13" t="n">
        <f aca="false">Q1790-R1790</f>
        <v>9406860</v>
      </c>
      <c r="T1790" s="14" t="n">
        <f aca="false">IFERROR(S1790/Q1790,0)</f>
        <v>0.22356373550688</v>
      </c>
      <c r="U1790" s="15" t="str">
        <f aca="false">TEXT(A1790,"yyyy-mm")</f>
        <v>2022-11</v>
      </c>
    </row>
    <row r="1791" customFormat="false" ht="15" hidden="false" customHeight="false" outlineLevel="0" collapsed="false">
      <c r="A1791" s="10" t="n">
        <v>44874</v>
      </c>
      <c r="B1791" s="11" t="s">
        <v>1923</v>
      </c>
      <c r="C1791" s="11" t="s">
        <v>146</v>
      </c>
      <c r="D1791" s="11" t="s">
        <v>138</v>
      </c>
      <c r="E1791" s="11" t="s">
        <v>139</v>
      </c>
      <c r="F1791" s="12" t="n">
        <v>2728100</v>
      </c>
      <c r="G1791" s="12" t="n">
        <v>2321000</v>
      </c>
      <c r="H1791" s="11" t="n">
        <v>28</v>
      </c>
      <c r="I1791" s="11" t="s">
        <v>69</v>
      </c>
      <c r="J1791" s="11" t="s">
        <v>80</v>
      </c>
      <c r="K1791" s="11" t="s">
        <v>81</v>
      </c>
      <c r="L1791" s="11" t="s">
        <v>82</v>
      </c>
      <c r="M1791" s="11" t="s">
        <v>73</v>
      </c>
      <c r="N1791" s="11" t="s">
        <v>74</v>
      </c>
      <c r="O1791" s="11" t="s">
        <v>75</v>
      </c>
      <c r="P1791" s="11" t="s">
        <v>76</v>
      </c>
      <c r="Q1791" s="13" t="n">
        <f aca="false">F1791*H1791</f>
        <v>76386800</v>
      </c>
      <c r="R1791" s="13" t="n">
        <f aca="false">G1791*H1791</f>
        <v>64988000</v>
      </c>
      <c r="S1791" s="13" t="n">
        <f aca="false">Q1791-R1791</f>
        <v>11398800</v>
      </c>
      <c r="T1791" s="14" t="n">
        <f aca="false">IFERROR(S1791/Q1791,0)</f>
        <v>0.149224735163667</v>
      </c>
      <c r="U1791" s="15" t="str">
        <f aca="false">TEXT(A1791,"yyyy-mm")</f>
        <v>2022-11</v>
      </c>
    </row>
    <row r="1792" customFormat="false" ht="15" hidden="false" customHeight="false" outlineLevel="0" collapsed="false">
      <c r="A1792" s="10" t="n">
        <v>44874</v>
      </c>
      <c r="B1792" s="11" t="s">
        <v>1924</v>
      </c>
      <c r="C1792" s="11" t="s">
        <v>148</v>
      </c>
      <c r="D1792" s="11" t="s">
        <v>138</v>
      </c>
      <c r="E1792" s="11" t="s">
        <v>122</v>
      </c>
      <c r="F1792" s="12" t="n">
        <v>4941716</v>
      </c>
      <c r="G1792" s="12" t="n">
        <v>4456000</v>
      </c>
      <c r="H1792" s="11" t="n">
        <v>27</v>
      </c>
      <c r="I1792" s="11" t="s">
        <v>69</v>
      </c>
      <c r="J1792" s="11" t="s">
        <v>80</v>
      </c>
      <c r="K1792" s="11" t="s">
        <v>81</v>
      </c>
      <c r="L1792" s="11" t="s">
        <v>82</v>
      </c>
      <c r="M1792" s="11" t="s">
        <v>73</v>
      </c>
      <c r="N1792" s="11" t="s">
        <v>109</v>
      </c>
      <c r="O1792" s="11" t="s">
        <v>75</v>
      </c>
      <c r="P1792" s="11" t="s">
        <v>95</v>
      </c>
      <c r="Q1792" s="13" t="n">
        <f aca="false">F1792*H1792</f>
        <v>133426332</v>
      </c>
      <c r="R1792" s="13" t="n">
        <f aca="false">G1792*H1792</f>
        <v>120312000</v>
      </c>
      <c r="S1792" s="13" t="n">
        <f aca="false">Q1792-R1792</f>
        <v>13114332</v>
      </c>
      <c r="T1792" s="14" t="n">
        <f aca="false">IFERROR(S1792/Q1792,0)</f>
        <v>0.0982889344511097</v>
      </c>
      <c r="U1792" s="15" t="str">
        <f aca="false">TEXT(A1792,"yyyy-mm")</f>
        <v>2022-11</v>
      </c>
    </row>
    <row r="1793" customFormat="false" ht="15" hidden="false" customHeight="false" outlineLevel="0" collapsed="false">
      <c r="A1793" s="10" t="n">
        <v>44874</v>
      </c>
      <c r="B1793" s="11" t="s">
        <v>1925</v>
      </c>
      <c r="C1793" s="11" t="s">
        <v>66</v>
      </c>
      <c r="D1793" s="11" t="s">
        <v>67</v>
      </c>
      <c r="E1793" s="11" t="s">
        <v>68</v>
      </c>
      <c r="F1793" s="12" t="n">
        <v>3048952</v>
      </c>
      <c r="G1793" s="12" t="n">
        <v>2560000</v>
      </c>
      <c r="H1793" s="11" t="n">
        <v>7</v>
      </c>
      <c r="I1793" s="11" t="s">
        <v>69</v>
      </c>
      <c r="J1793" s="11" t="s">
        <v>112</v>
      </c>
      <c r="K1793" s="11" t="s">
        <v>113</v>
      </c>
      <c r="L1793" s="11" t="s">
        <v>82</v>
      </c>
      <c r="M1793" s="11" t="s">
        <v>157</v>
      </c>
      <c r="N1793" s="11" t="s">
        <v>173</v>
      </c>
      <c r="O1793" s="11" t="s">
        <v>174</v>
      </c>
      <c r="P1793" s="11" t="s">
        <v>95</v>
      </c>
      <c r="Q1793" s="13" t="n">
        <f aca="false">F1793*H1793</f>
        <v>21342664</v>
      </c>
      <c r="R1793" s="13" t="n">
        <f aca="false">G1793*H1793</f>
        <v>17920000</v>
      </c>
      <c r="S1793" s="13" t="n">
        <f aca="false">Q1793-R1793</f>
        <v>3422664</v>
      </c>
      <c r="T1793" s="14" t="n">
        <f aca="false">IFERROR(S1793/Q1793,0)</f>
        <v>0.160367234380863</v>
      </c>
      <c r="U1793" s="15" t="str">
        <f aca="false">TEXT(A1793,"yyyy-mm")</f>
        <v>2022-11</v>
      </c>
    </row>
    <row r="1794" customFormat="false" ht="15" hidden="false" customHeight="false" outlineLevel="0" collapsed="false">
      <c r="A1794" s="10" t="n">
        <v>44874</v>
      </c>
      <c r="B1794" s="11" t="s">
        <v>1926</v>
      </c>
      <c r="C1794" s="11" t="s">
        <v>78</v>
      </c>
      <c r="D1794" s="11" t="s">
        <v>67</v>
      </c>
      <c r="E1794" s="11" t="s">
        <v>79</v>
      </c>
      <c r="F1794" s="12" t="n">
        <v>1870000</v>
      </c>
      <c r="G1794" s="12" t="n">
        <v>1650000</v>
      </c>
      <c r="H1794" s="11" t="n">
        <v>5</v>
      </c>
      <c r="I1794" s="11" t="s">
        <v>69</v>
      </c>
      <c r="J1794" s="11" t="s">
        <v>112</v>
      </c>
      <c r="K1794" s="11" t="s">
        <v>113</v>
      </c>
      <c r="L1794" s="11" t="s">
        <v>82</v>
      </c>
      <c r="M1794" s="11" t="s">
        <v>157</v>
      </c>
      <c r="N1794" s="11" t="s">
        <v>133</v>
      </c>
      <c r="O1794" s="11" t="s">
        <v>60</v>
      </c>
      <c r="P1794" s="11" t="s">
        <v>76</v>
      </c>
      <c r="Q1794" s="13" t="n">
        <f aca="false">F1794*H1794</f>
        <v>9350000</v>
      </c>
      <c r="R1794" s="13" t="n">
        <f aca="false">G1794*H1794</f>
        <v>8250000</v>
      </c>
      <c r="S1794" s="13" t="n">
        <f aca="false">Q1794-R1794</f>
        <v>1100000</v>
      </c>
      <c r="T1794" s="14" t="n">
        <f aca="false">IFERROR(S1794/Q1794,0)</f>
        <v>0.117647058823529</v>
      </c>
      <c r="U1794" s="15" t="str">
        <f aca="false">TEXT(A1794,"yyyy-mm")</f>
        <v>2022-11</v>
      </c>
    </row>
    <row r="1795" customFormat="false" ht="15" hidden="false" customHeight="false" outlineLevel="0" collapsed="false">
      <c r="A1795" s="10" t="n">
        <v>44875</v>
      </c>
      <c r="B1795" s="11" t="s">
        <v>1927</v>
      </c>
      <c r="C1795" s="11" t="s">
        <v>84</v>
      </c>
      <c r="D1795" s="11" t="s">
        <v>67</v>
      </c>
      <c r="E1795" s="11" t="s">
        <v>85</v>
      </c>
      <c r="F1795" s="12" t="n">
        <v>2600000</v>
      </c>
      <c r="G1795" s="12" t="n">
        <v>2300000</v>
      </c>
      <c r="H1795" s="11" t="n">
        <v>17</v>
      </c>
      <c r="I1795" s="11" t="s">
        <v>69</v>
      </c>
      <c r="J1795" s="11" t="s">
        <v>70</v>
      </c>
      <c r="K1795" s="11" t="s">
        <v>71</v>
      </c>
      <c r="L1795" s="11" t="s">
        <v>72</v>
      </c>
      <c r="M1795" s="11" t="s">
        <v>73</v>
      </c>
      <c r="N1795" s="11" t="s">
        <v>133</v>
      </c>
      <c r="O1795" s="11" t="s">
        <v>60</v>
      </c>
      <c r="P1795" s="11" t="s">
        <v>76</v>
      </c>
      <c r="Q1795" s="13" t="n">
        <f aca="false">F1795*H1795</f>
        <v>44200000</v>
      </c>
      <c r="R1795" s="13" t="n">
        <f aca="false">G1795*H1795</f>
        <v>39100000</v>
      </c>
      <c r="S1795" s="13" t="n">
        <f aca="false">Q1795-R1795</f>
        <v>5100000</v>
      </c>
      <c r="T1795" s="14" t="n">
        <f aca="false">IFERROR(S1795/Q1795,0)</f>
        <v>0.115384615384615</v>
      </c>
      <c r="U1795" s="15" t="str">
        <f aca="false">TEXT(A1795,"yyyy-mm")</f>
        <v>2022-11</v>
      </c>
    </row>
    <row r="1796" customFormat="false" ht="15" hidden="false" customHeight="false" outlineLevel="0" collapsed="false">
      <c r="A1796" s="10" t="n">
        <v>44875</v>
      </c>
      <c r="B1796" s="11" t="s">
        <v>1928</v>
      </c>
      <c r="C1796" s="11" t="s">
        <v>92</v>
      </c>
      <c r="D1796" s="11" t="s">
        <v>67</v>
      </c>
      <c r="E1796" s="11" t="s">
        <v>79</v>
      </c>
      <c r="F1796" s="12" t="n">
        <v>3577480</v>
      </c>
      <c r="G1796" s="12" t="n">
        <v>3100000</v>
      </c>
      <c r="H1796" s="11" t="n">
        <v>13</v>
      </c>
      <c r="I1796" s="11" t="s">
        <v>86</v>
      </c>
      <c r="J1796" s="11" t="s">
        <v>87</v>
      </c>
      <c r="K1796" s="11" t="s">
        <v>88</v>
      </c>
      <c r="L1796" s="11" t="s">
        <v>89</v>
      </c>
      <c r="M1796" s="11" t="s">
        <v>90</v>
      </c>
      <c r="N1796" s="11" t="s">
        <v>133</v>
      </c>
      <c r="O1796" s="11" t="s">
        <v>60</v>
      </c>
      <c r="P1796" s="11" t="s">
        <v>76</v>
      </c>
      <c r="Q1796" s="13" t="n">
        <f aca="false">F1796*H1796</f>
        <v>46507240</v>
      </c>
      <c r="R1796" s="13" t="n">
        <f aca="false">G1796*H1796</f>
        <v>40300000</v>
      </c>
      <c r="S1796" s="13" t="n">
        <f aca="false">Q1796-R1796</f>
        <v>6207240</v>
      </c>
      <c r="T1796" s="14" t="n">
        <f aca="false">IFERROR(S1796/Q1796,0)</f>
        <v>0.133468251394837</v>
      </c>
      <c r="U1796" s="15" t="str">
        <f aca="false">TEXT(A1796,"yyyy-mm")</f>
        <v>2022-11</v>
      </c>
    </row>
    <row r="1797" customFormat="false" ht="15" hidden="false" customHeight="false" outlineLevel="0" collapsed="false">
      <c r="A1797" s="10" t="n">
        <v>44875</v>
      </c>
      <c r="B1797" s="11" t="s">
        <v>1929</v>
      </c>
      <c r="C1797" s="11" t="s">
        <v>97</v>
      </c>
      <c r="D1797" s="11" t="s">
        <v>67</v>
      </c>
      <c r="E1797" s="11" t="s">
        <v>98</v>
      </c>
      <c r="F1797" s="12" t="n">
        <v>4969724</v>
      </c>
      <c r="G1797" s="12" t="n">
        <v>4121560</v>
      </c>
      <c r="H1797" s="11" t="n">
        <v>15</v>
      </c>
      <c r="I1797" s="11" t="s">
        <v>69</v>
      </c>
      <c r="J1797" s="11" t="s">
        <v>80</v>
      </c>
      <c r="K1797" s="11" t="s">
        <v>81</v>
      </c>
      <c r="L1797" s="11" t="s">
        <v>82</v>
      </c>
      <c r="M1797" s="11" t="s">
        <v>73</v>
      </c>
      <c r="N1797" s="11" t="s">
        <v>93</v>
      </c>
      <c r="O1797" s="11" t="s">
        <v>94</v>
      </c>
      <c r="P1797" s="11" t="s">
        <v>95</v>
      </c>
      <c r="Q1797" s="13" t="n">
        <f aca="false">F1797*H1797</f>
        <v>74545860</v>
      </c>
      <c r="R1797" s="13" t="n">
        <f aca="false">G1797*H1797</f>
        <v>61823400</v>
      </c>
      <c r="S1797" s="13" t="n">
        <f aca="false">Q1797-R1797</f>
        <v>12722460</v>
      </c>
      <c r="T1797" s="14" t="n">
        <f aca="false">IFERROR(S1797/Q1797,0)</f>
        <v>0.170666218083741</v>
      </c>
      <c r="U1797" s="15" t="str">
        <f aca="false">TEXT(A1797,"yyyy-mm")</f>
        <v>2022-11</v>
      </c>
    </row>
    <row r="1798" customFormat="false" ht="15" hidden="false" customHeight="false" outlineLevel="0" collapsed="false">
      <c r="A1798" s="10" t="n">
        <v>44875</v>
      </c>
      <c r="B1798" s="11" t="s">
        <v>1930</v>
      </c>
      <c r="C1798" s="11" t="s">
        <v>103</v>
      </c>
      <c r="D1798" s="11" t="s">
        <v>67</v>
      </c>
      <c r="E1798" s="11" t="s">
        <v>68</v>
      </c>
      <c r="F1798" s="12" t="n">
        <v>3319925</v>
      </c>
      <c r="G1798" s="12" t="n">
        <v>2800000</v>
      </c>
      <c r="H1798" s="11" t="n">
        <v>14</v>
      </c>
      <c r="I1798" s="11" t="s">
        <v>69</v>
      </c>
      <c r="J1798" s="11" t="s">
        <v>80</v>
      </c>
      <c r="K1798" s="11" t="s">
        <v>81</v>
      </c>
      <c r="L1798" s="11" t="s">
        <v>82</v>
      </c>
      <c r="M1798" s="11" t="s">
        <v>73</v>
      </c>
      <c r="N1798" s="11" t="s">
        <v>173</v>
      </c>
      <c r="O1798" s="11" t="s">
        <v>174</v>
      </c>
      <c r="P1798" s="11" t="s">
        <v>95</v>
      </c>
      <c r="Q1798" s="13" t="n">
        <f aca="false">F1798*H1798</f>
        <v>46478950</v>
      </c>
      <c r="R1798" s="13" t="n">
        <f aca="false">G1798*H1798</f>
        <v>39200000</v>
      </c>
      <c r="S1798" s="13" t="n">
        <f aca="false">Q1798-R1798</f>
        <v>7278950</v>
      </c>
      <c r="T1798" s="14" t="n">
        <f aca="false">IFERROR(S1798/Q1798,0)</f>
        <v>0.15660745348163</v>
      </c>
      <c r="U1798" s="15" t="str">
        <f aca="false">TEXT(A1798,"yyyy-mm")</f>
        <v>2022-11</v>
      </c>
    </row>
    <row r="1799" customFormat="false" ht="15" hidden="false" customHeight="false" outlineLevel="0" collapsed="false">
      <c r="A1799" s="10" t="n">
        <v>44875</v>
      </c>
      <c r="B1799" s="11" t="s">
        <v>1931</v>
      </c>
      <c r="C1799" s="11" t="s">
        <v>108</v>
      </c>
      <c r="D1799" s="11" t="s">
        <v>67</v>
      </c>
      <c r="E1799" s="11" t="s">
        <v>68</v>
      </c>
      <c r="F1799" s="12" t="n">
        <v>4757880</v>
      </c>
      <c r="G1799" s="12" t="n">
        <v>3450000</v>
      </c>
      <c r="H1799" s="11" t="n">
        <v>12</v>
      </c>
      <c r="I1799" s="11" t="s">
        <v>69</v>
      </c>
      <c r="J1799" s="11" t="s">
        <v>70</v>
      </c>
      <c r="K1799" s="11" t="s">
        <v>71</v>
      </c>
      <c r="L1799" s="11" t="s">
        <v>72</v>
      </c>
      <c r="M1799" s="11" t="s">
        <v>73</v>
      </c>
      <c r="N1799" s="11" t="s">
        <v>104</v>
      </c>
      <c r="O1799" s="11" t="s">
        <v>105</v>
      </c>
      <c r="P1799" s="11" t="s">
        <v>106</v>
      </c>
      <c r="Q1799" s="13" t="n">
        <f aca="false">F1799*H1799</f>
        <v>57094560</v>
      </c>
      <c r="R1799" s="13" t="n">
        <f aca="false">G1799*H1799</f>
        <v>41400000</v>
      </c>
      <c r="S1799" s="13" t="n">
        <f aca="false">Q1799-R1799</f>
        <v>15694560</v>
      </c>
      <c r="T1799" s="14" t="n">
        <f aca="false">IFERROR(S1799/Q1799,0)</f>
        <v>0.274887134606169</v>
      </c>
      <c r="U1799" s="15" t="str">
        <f aca="false">TEXT(A1799,"yyyy-mm")</f>
        <v>2022-11</v>
      </c>
    </row>
    <row r="1800" customFormat="false" ht="15" hidden="false" customHeight="false" outlineLevel="0" collapsed="false">
      <c r="A1800" s="10" t="n">
        <v>44875</v>
      </c>
      <c r="B1800" s="11" t="s">
        <v>1932</v>
      </c>
      <c r="C1800" s="11" t="s">
        <v>111</v>
      </c>
      <c r="D1800" s="11" t="s">
        <v>67</v>
      </c>
      <c r="E1800" s="11" t="s">
        <v>79</v>
      </c>
      <c r="F1800" s="12" t="n">
        <v>3545808</v>
      </c>
      <c r="G1800" s="12" t="n">
        <v>3350000</v>
      </c>
      <c r="H1800" s="11" t="n">
        <v>8</v>
      </c>
      <c r="I1800" s="11" t="s">
        <v>69</v>
      </c>
      <c r="J1800" s="11" t="s">
        <v>112</v>
      </c>
      <c r="K1800" s="11" t="s">
        <v>113</v>
      </c>
      <c r="L1800" s="11" t="s">
        <v>82</v>
      </c>
      <c r="M1800" s="11" t="s">
        <v>157</v>
      </c>
      <c r="N1800" s="11" t="s">
        <v>133</v>
      </c>
      <c r="O1800" s="11" t="s">
        <v>60</v>
      </c>
      <c r="P1800" s="11" t="s">
        <v>76</v>
      </c>
      <c r="Q1800" s="13" t="n">
        <f aca="false">F1800*H1800</f>
        <v>28366464</v>
      </c>
      <c r="R1800" s="13" t="n">
        <f aca="false">G1800*H1800</f>
        <v>26800000</v>
      </c>
      <c r="S1800" s="13" t="n">
        <f aca="false">Q1800-R1800</f>
        <v>1566464</v>
      </c>
      <c r="T1800" s="14" t="n">
        <f aca="false">IFERROR(S1800/Q1800,0)</f>
        <v>0.0552223921881839</v>
      </c>
      <c r="U1800" s="15" t="str">
        <f aca="false">TEXT(A1800,"yyyy-mm")</f>
        <v>2022-11</v>
      </c>
    </row>
    <row r="1801" customFormat="false" ht="15" hidden="false" customHeight="false" outlineLevel="0" collapsed="false">
      <c r="A1801" s="10" t="n">
        <v>44875</v>
      </c>
      <c r="B1801" s="11" t="s">
        <v>1933</v>
      </c>
      <c r="C1801" s="11" t="s">
        <v>115</v>
      </c>
      <c r="D1801" s="11" t="s">
        <v>67</v>
      </c>
      <c r="E1801" s="11" t="s">
        <v>98</v>
      </c>
      <c r="F1801" s="12" t="n">
        <v>4200743</v>
      </c>
      <c r="G1801" s="12" t="n">
        <v>4101000</v>
      </c>
      <c r="H1801" s="11" t="n">
        <v>1</v>
      </c>
      <c r="I1801" s="11" t="s">
        <v>86</v>
      </c>
      <c r="J1801" s="11" t="s">
        <v>87</v>
      </c>
      <c r="K1801" s="11" t="s">
        <v>88</v>
      </c>
      <c r="L1801" s="11" t="s">
        <v>89</v>
      </c>
      <c r="M1801" s="11" t="s">
        <v>90</v>
      </c>
      <c r="N1801" s="11" t="s">
        <v>74</v>
      </c>
      <c r="O1801" s="11" t="s">
        <v>75</v>
      </c>
      <c r="P1801" s="11" t="s">
        <v>76</v>
      </c>
      <c r="Q1801" s="13" t="n">
        <f aca="false">F1801*H1801</f>
        <v>4200743</v>
      </c>
      <c r="R1801" s="13" t="n">
        <f aca="false">G1801*H1801</f>
        <v>4101000</v>
      </c>
      <c r="S1801" s="13" t="n">
        <f aca="false">Q1801-R1801</f>
        <v>99743</v>
      </c>
      <c r="T1801" s="14" t="n">
        <f aca="false">IFERROR(S1801/Q1801,0)</f>
        <v>0.023744132883159</v>
      </c>
      <c r="U1801" s="15" t="str">
        <f aca="false">TEXT(A1801,"yyyy-mm")</f>
        <v>2022-11</v>
      </c>
    </row>
    <row r="1802" customFormat="false" ht="15" hidden="false" customHeight="false" outlineLevel="0" collapsed="false">
      <c r="A1802" s="10" t="n">
        <v>44876</v>
      </c>
      <c r="B1802" s="11" t="s">
        <v>1934</v>
      </c>
      <c r="C1802" s="11" t="s">
        <v>117</v>
      </c>
      <c r="D1802" s="11" t="s">
        <v>118</v>
      </c>
      <c r="E1802" s="11" t="s">
        <v>119</v>
      </c>
      <c r="F1802" s="12" t="n">
        <v>8220549</v>
      </c>
      <c r="G1802" s="12" t="n">
        <v>6500000</v>
      </c>
      <c r="H1802" s="11" t="n">
        <v>23</v>
      </c>
      <c r="I1802" s="11" t="s">
        <v>69</v>
      </c>
      <c r="J1802" s="11" t="s">
        <v>80</v>
      </c>
      <c r="K1802" s="11" t="s">
        <v>81</v>
      </c>
      <c r="L1802" s="11" t="s">
        <v>82</v>
      </c>
      <c r="M1802" s="11" t="s">
        <v>73</v>
      </c>
      <c r="N1802" s="11" t="s">
        <v>74</v>
      </c>
      <c r="O1802" s="11" t="s">
        <v>75</v>
      </c>
      <c r="P1802" s="11" t="s">
        <v>76</v>
      </c>
      <c r="Q1802" s="13" t="n">
        <f aca="false">F1802*H1802</f>
        <v>189072627</v>
      </c>
      <c r="R1802" s="13" t="n">
        <f aca="false">G1802*H1802</f>
        <v>149500000</v>
      </c>
      <c r="S1802" s="13" t="n">
        <f aca="false">Q1802-R1802</f>
        <v>39572627</v>
      </c>
      <c r="T1802" s="14" t="n">
        <f aca="false">IFERROR(S1802/Q1802,0)</f>
        <v>0.209298551714733</v>
      </c>
      <c r="U1802" s="15" t="str">
        <f aca="false">TEXT(A1802,"yyyy-mm")</f>
        <v>2022-11</v>
      </c>
    </row>
    <row r="1803" customFormat="false" ht="15" hidden="false" customHeight="false" outlineLevel="0" collapsed="false">
      <c r="A1803" s="10" t="n">
        <v>44877</v>
      </c>
      <c r="B1803" s="11" t="s">
        <v>1935</v>
      </c>
      <c r="C1803" s="11" t="s">
        <v>121</v>
      </c>
      <c r="D1803" s="11" t="s">
        <v>118</v>
      </c>
      <c r="E1803" s="11" t="s">
        <v>122</v>
      </c>
      <c r="F1803" s="12" t="n">
        <v>7687274</v>
      </c>
      <c r="G1803" s="12" t="n">
        <v>6500000</v>
      </c>
      <c r="H1803" s="11" t="n">
        <v>16</v>
      </c>
      <c r="I1803" s="11" t="s">
        <v>86</v>
      </c>
      <c r="J1803" s="11" t="s">
        <v>87</v>
      </c>
      <c r="K1803" s="11" t="s">
        <v>88</v>
      </c>
      <c r="L1803" s="11" t="s">
        <v>89</v>
      </c>
      <c r="M1803" s="11" t="s">
        <v>90</v>
      </c>
      <c r="N1803" s="11" t="s">
        <v>109</v>
      </c>
      <c r="O1803" s="11" t="s">
        <v>75</v>
      </c>
      <c r="P1803" s="11" t="s">
        <v>95</v>
      </c>
      <c r="Q1803" s="13" t="n">
        <f aca="false">F1803*H1803</f>
        <v>122996384</v>
      </c>
      <c r="R1803" s="13" t="n">
        <f aca="false">G1803*H1803</f>
        <v>104000000</v>
      </c>
      <c r="S1803" s="13" t="n">
        <f aca="false">Q1803-R1803</f>
        <v>18996384</v>
      </c>
      <c r="T1803" s="14" t="n">
        <f aca="false">IFERROR(S1803/Q1803,0)</f>
        <v>0.154446686822923</v>
      </c>
      <c r="U1803" s="15" t="str">
        <f aca="false">TEXT(A1803,"yyyy-mm")</f>
        <v>2022-11</v>
      </c>
    </row>
    <row r="1804" customFormat="false" ht="15" hidden="false" customHeight="false" outlineLevel="0" collapsed="false">
      <c r="A1804" s="10" t="n">
        <v>44877</v>
      </c>
      <c r="B1804" s="11" t="s">
        <v>1936</v>
      </c>
      <c r="C1804" s="11" t="s">
        <v>125</v>
      </c>
      <c r="D1804" s="11" t="s">
        <v>118</v>
      </c>
      <c r="E1804" s="11" t="s">
        <v>126</v>
      </c>
      <c r="F1804" s="12" t="n">
        <v>5684211</v>
      </c>
      <c r="G1804" s="12" t="n">
        <v>4300000</v>
      </c>
      <c r="H1804" s="11" t="n">
        <v>15</v>
      </c>
      <c r="I1804" s="11" t="s">
        <v>69</v>
      </c>
      <c r="J1804" s="11" t="s">
        <v>80</v>
      </c>
      <c r="K1804" s="11" t="s">
        <v>81</v>
      </c>
      <c r="L1804" s="11" t="s">
        <v>82</v>
      </c>
      <c r="M1804" s="11" t="s">
        <v>73</v>
      </c>
      <c r="N1804" s="11" t="s">
        <v>104</v>
      </c>
      <c r="O1804" s="11" t="s">
        <v>105</v>
      </c>
      <c r="P1804" s="11" t="s">
        <v>106</v>
      </c>
      <c r="Q1804" s="13" t="n">
        <f aca="false">F1804*H1804</f>
        <v>85263165</v>
      </c>
      <c r="R1804" s="13" t="n">
        <f aca="false">G1804*H1804</f>
        <v>64500000</v>
      </c>
      <c r="S1804" s="13" t="n">
        <f aca="false">Q1804-R1804</f>
        <v>20763165</v>
      </c>
      <c r="T1804" s="14" t="n">
        <f aca="false">IFERROR(S1804/Q1804,0)</f>
        <v>0.243518581558637</v>
      </c>
      <c r="U1804" s="15" t="str">
        <f aca="false">TEXT(A1804,"yyyy-mm")</f>
        <v>2022-11</v>
      </c>
    </row>
    <row r="1805" customFormat="false" ht="15" hidden="false" customHeight="false" outlineLevel="0" collapsed="false">
      <c r="A1805" s="10" t="n">
        <v>44877</v>
      </c>
      <c r="B1805" s="11" t="s">
        <v>1937</v>
      </c>
      <c r="C1805" s="11" t="s">
        <v>128</v>
      </c>
      <c r="D1805" s="11" t="s">
        <v>118</v>
      </c>
      <c r="E1805" s="11" t="s">
        <v>119</v>
      </c>
      <c r="F1805" s="12" t="n">
        <v>3370302</v>
      </c>
      <c r="G1805" s="12" t="n">
        <v>2100000</v>
      </c>
      <c r="H1805" s="11" t="n">
        <v>10</v>
      </c>
      <c r="I1805" s="11" t="s">
        <v>69</v>
      </c>
      <c r="J1805" s="11" t="s">
        <v>80</v>
      </c>
      <c r="K1805" s="11" t="s">
        <v>81</v>
      </c>
      <c r="L1805" s="11" t="s">
        <v>82</v>
      </c>
      <c r="M1805" s="11" t="s">
        <v>73</v>
      </c>
      <c r="N1805" s="11" t="s">
        <v>109</v>
      </c>
      <c r="O1805" s="11" t="s">
        <v>75</v>
      </c>
      <c r="P1805" s="11" t="s">
        <v>95</v>
      </c>
      <c r="Q1805" s="13" t="n">
        <f aca="false">F1805*H1805</f>
        <v>33703020</v>
      </c>
      <c r="R1805" s="13" t="n">
        <f aca="false">G1805*H1805</f>
        <v>21000000</v>
      </c>
      <c r="S1805" s="13" t="n">
        <f aca="false">Q1805-R1805</f>
        <v>12703020</v>
      </c>
      <c r="T1805" s="14" t="n">
        <f aca="false">IFERROR(S1805/Q1805,0)</f>
        <v>0.37691043710623</v>
      </c>
      <c r="U1805" s="15" t="str">
        <f aca="false">TEXT(A1805,"yyyy-mm")</f>
        <v>2022-11</v>
      </c>
    </row>
    <row r="1806" customFormat="false" ht="15" hidden="false" customHeight="false" outlineLevel="0" collapsed="false">
      <c r="A1806" s="10" t="n">
        <v>44877</v>
      </c>
      <c r="B1806" s="11" t="s">
        <v>1938</v>
      </c>
      <c r="C1806" s="11" t="s">
        <v>130</v>
      </c>
      <c r="D1806" s="11" t="s">
        <v>118</v>
      </c>
      <c r="E1806" s="11" t="s">
        <v>68</v>
      </c>
      <c r="F1806" s="12" t="n">
        <v>2852897</v>
      </c>
      <c r="G1806" s="12" t="n">
        <v>2450000</v>
      </c>
      <c r="H1806" s="11" t="n">
        <v>14</v>
      </c>
      <c r="I1806" s="11" t="s">
        <v>69</v>
      </c>
      <c r="J1806" s="11" t="s">
        <v>80</v>
      </c>
      <c r="K1806" s="11" t="s">
        <v>81</v>
      </c>
      <c r="L1806" s="11" t="s">
        <v>82</v>
      </c>
      <c r="M1806" s="11" t="s">
        <v>73</v>
      </c>
      <c r="N1806" s="11" t="s">
        <v>123</v>
      </c>
      <c r="O1806" s="11" t="s">
        <v>60</v>
      </c>
      <c r="P1806" s="11" t="s">
        <v>106</v>
      </c>
      <c r="Q1806" s="13" t="n">
        <f aca="false">F1806*H1806</f>
        <v>39940558</v>
      </c>
      <c r="R1806" s="13" t="n">
        <f aca="false">G1806*H1806</f>
        <v>34300000</v>
      </c>
      <c r="S1806" s="13" t="n">
        <f aca="false">Q1806-R1806</f>
        <v>5640558</v>
      </c>
      <c r="T1806" s="14" t="n">
        <f aca="false">IFERROR(S1806/Q1806,0)</f>
        <v>0.141223815651249</v>
      </c>
      <c r="U1806" s="15" t="str">
        <f aca="false">TEXT(A1806,"yyyy-mm")</f>
        <v>2022-11</v>
      </c>
    </row>
    <row r="1807" customFormat="false" ht="15" hidden="false" customHeight="false" outlineLevel="0" collapsed="false">
      <c r="A1807" s="10" t="n">
        <v>44877</v>
      </c>
      <c r="B1807" s="11" t="s">
        <v>1939</v>
      </c>
      <c r="C1807" s="11" t="s">
        <v>132</v>
      </c>
      <c r="D1807" s="11" t="s">
        <v>118</v>
      </c>
      <c r="E1807" s="11" t="s">
        <v>68</v>
      </c>
      <c r="F1807" s="12" t="n">
        <v>4803603</v>
      </c>
      <c r="G1807" s="12" t="n">
        <v>4121000</v>
      </c>
      <c r="H1807" s="11" t="n">
        <v>6</v>
      </c>
      <c r="I1807" s="11" t="s">
        <v>69</v>
      </c>
      <c r="J1807" s="11" t="s">
        <v>80</v>
      </c>
      <c r="K1807" s="11" t="s">
        <v>81</v>
      </c>
      <c r="L1807" s="11" t="s">
        <v>82</v>
      </c>
      <c r="M1807" s="11" t="s">
        <v>73</v>
      </c>
      <c r="N1807" s="11" t="s">
        <v>149</v>
      </c>
      <c r="O1807" s="11" t="s">
        <v>150</v>
      </c>
      <c r="P1807" s="11" t="s">
        <v>151</v>
      </c>
      <c r="Q1807" s="13" t="n">
        <f aca="false">F1807*H1807</f>
        <v>28821618</v>
      </c>
      <c r="R1807" s="13" t="n">
        <f aca="false">G1807*H1807</f>
        <v>24726000</v>
      </c>
      <c r="S1807" s="13" t="n">
        <f aca="false">Q1807-R1807</f>
        <v>4095618</v>
      </c>
      <c r="T1807" s="14" t="n">
        <f aca="false">IFERROR(S1807/Q1807,0)</f>
        <v>0.142102292799801</v>
      </c>
      <c r="U1807" s="15" t="str">
        <f aca="false">TEXT(A1807,"yyyy-mm")</f>
        <v>2022-11</v>
      </c>
    </row>
    <row r="1808" customFormat="false" ht="15" hidden="false" customHeight="false" outlineLevel="0" collapsed="false">
      <c r="A1808" s="10" t="n">
        <v>44878</v>
      </c>
      <c r="B1808" s="11" t="s">
        <v>1940</v>
      </c>
      <c r="C1808" s="11" t="s">
        <v>135</v>
      </c>
      <c r="D1808" s="11" t="s">
        <v>118</v>
      </c>
      <c r="E1808" s="11" t="s">
        <v>68</v>
      </c>
      <c r="F1808" s="12" t="n">
        <v>5689947</v>
      </c>
      <c r="G1808" s="12" t="n">
        <v>5235000</v>
      </c>
      <c r="H1808" s="11" t="n">
        <v>26</v>
      </c>
      <c r="I1808" s="11" t="s">
        <v>69</v>
      </c>
      <c r="J1808" s="11" t="s">
        <v>80</v>
      </c>
      <c r="K1808" s="11" t="s">
        <v>81</v>
      </c>
      <c r="L1808" s="11" t="s">
        <v>82</v>
      </c>
      <c r="M1808" s="11" t="s">
        <v>73</v>
      </c>
      <c r="N1808" s="11" t="s">
        <v>133</v>
      </c>
      <c r="O1808" s="11" t="s">
        <v>60</v>
      </c>
      <c r="P1808" s="11" t="s">
        <v>76</v>
      </c>
      <c r="Q1808" s="13" t="n">
        <f aca="false">F1808*H1808</f>
        <v>147938622</v>
      </c>
      <c r="R1808" s="13" t="n">
        <f aca="false">G1808*H1808</f>
        <v>136110000</v>
      </c>
      <c r="S1808" s="13" t="n">
        <f aca="false">Q1808-R1808</f>
        <v>11828622</v>
      </c>
      <c r="T1808" s="14" t="n">
        <f aca="false">IFERROR(S1808/Q1808,0)</f>
        <v>0.0799562807878527</v>
      </c>
      <c r="U1808" s="15" t="str">
        <f aca="false">TEXT(A1808,"yyyy-mm")</f>
        <v>2022-11</v>
      </c>
    </row>
    <row r="1809" customFormat="false" ht="15" hidden="false" customHeight="false" outlineLevel="0" collapsed="false">
      <c r="A1809" s="10" t="n">
        <v>44878</v>
      </c>
      <c r="B1809" s="11" t="s">
        <v>1941</v>
      </c>
      <c r="C1809" s="11" t="s">
        <v>137</v>
      </c>
      <c r="D1809" s="11" t="s">
        <v>138</v>
      </c>
      <c r="E1809" s="11" t="s">
        <v>139</v>
      </c>
      <c r="F1809" s="12" t="n">
        <v>5171827</v>
      </c>
      <c r="G1809" s="12" t="n">
        <v>4890000</v>
      </c>
      <c r="H1809" s="11" t="n">
        <v>11</v>
      </c>
      <c r="I1809" s="11" t="s">
        <v>86</v>
      </c>
      <c r="J1809" s="11" t="s">
        <v>87</v>
      </c>
      <c r="K1809" s="11" t="s">
        <v>88</v>
      </c>
      <c r="L1809" s="11" t="s">
        <v>89</v>
      </c>
      <c r="M1809" s="11" t="s">
        <v>90</v>
      </c>
      <c r="N1809" s="11" t="s">
        <v>149</v>
      </c>
      <c r="O1809" s="11" t="s">
        <v>150</v>
      </c>
      <c r="P1809" s="11" t="s">
        <v>151</v>
      </c>
      <c r="Q1809" s="13" t="n">
        <f aca="false">F1809*H1809</f>
        <v>56890097</v>
      </c>
      <c r="R1809" s="13" t="n">
        <f aca="false">G1809*H1809</f>
        <v>53790000</v>
      </c>
      <c r="S1809" s="13" t="n">
        <f aca="false">Q1809-R1809</f>
        <v>3100097</v>
      </c>
      <c r="T1809" s="14" t="n">
        <f aca="false">IFERROR(S1809/Q1809,0)</f>
        <v>0.0544927353525166</v>
      </c>
      <c r="U1809" s="15" t="str">
        <f aca="false">TEXT(A1809,"yyyy-mm")</f>
        <v>2022-11</v>
      </c>
    </row>
    <row r="1810" customFormat="false" ht="15" hidden="false" customHeight="false" outlineLevel="0" collapsed="false">
      <c r="A1810" s="10" t="n">
        <v>44879</v>
      </c>
      <c r="B1810" s="11" t="s">
        <v>1942</v>
      </c>
      <c r="C1810" s="11" t="s">
        <v>141</v>
      </c>
      <c r="D1810" s="11" t="s">
        <v>138</v>
      </c>
      <c r="E1810" s="11" t="s">
        <v>142</v>
      </c>
      <c r="F1810" s="12" t="n">
        <v>2805124</v>
      </c>
      <c r="G1810" s="12" t="n">
        <v>2178000</v>
      </c>
      <c r="H1810" s="11" t="n">
        <v>18</v>
      </c>
      <c r="I1810" s="11" t="s">
        <v>69</v>
      </c>
      <c r="J1810" s="11" t="s">
        <v>80</v>
      </c>
      <c r="K1810" s="11" t="s">
        <v>81</v>
      </c>
      <c r="L1810" s="11" t="s">
        <v>82</v>
      </c>
      <c r="M1810" s="11" t="s">
        <v>73</v>
      </c>
      <c r="N1810" s="11" t="s">
        <v>173</v>
      </c>
      <c r="O1810" s="11" t="s">
        <v>174</v>
      </c>
      <c r="P1810" s="11" t="s">
        <v>95</v>
      </c>
      <c r="Q1810" s="13" t="n">
        <f aca="false">F1810*H1810</f>
        <v>50492232</v>
      </c>
      <c r="R1810" s="13" t="n">
        <f aca="false">G1810*H1810</f>
        <v>39204000</v>
      </c>
      <c r="S1810" s="13" t="n">
        <f aca="false">Q1810-R1810</f>
        <v>11288232</v>
      </c>
      <c r="T1810" s="14" t="n">
        <f aca="false">IFERROR(S1810/Q1810,0)</f>
        <v>0.22356373550688</v>
      </c>
      <c r="U1810" s="15" t="str">
        <f aca="false">TEXT(A1810,"yyyy-mm")</f>
        <v>2022-11</v>
      </c>
    </row>
    <row r="1811" customFormat="false" ht="15" hidden="false" customHeight="false" outlineLevel="0" collapsed="false">
      <c r="A1811" s="10" t="n">
        <v>44879</v>
      </c>
      <c r="B1811" s="11" t="s">
        <v>1943</v>
      </c>
      <c r="C1811" s="11" t="s">
        <v>146</v>
      </c>
      <c r="D1811" s="11" t="s">
        <v>138</v>
      </c>
      <c r="E1811" s="11" t="s">
        <v>139</v>
      </c>
      <c r="F1811" s="12" t="n">
        <v>2728100</v>
      </c>
      <c r="G1811" s="12" t="n">
        <v>2321000</v>
      </c>
      <c r="H1811" s="11" t="n">
        <v>28</v>
      </c>
      <c r="I1811" s="11" t="s">
        <v>69</v>
      </c>
      <c r="J1811" s="11" t="s">
        <v>70</v>
      </c>
      <c r="K1811" s="11" t="s">
        <v>71</v>
      </c>
      <c r="L1811" s="11" t="s">
        <v>72</v>
      </c>
      <c r="M1811" s="11" t="s">
        <v>73</v>
      </c>
      <c r="N1811" s="11" t="s">
        <v>173</v>
      </c>
      <c r="O1811" s="11" t="s">
        <v>174</v>
      </c>
      <c r="P1811" s="11" t="s">
        <v>95</v>
      </c>
      <c r="Q1811" s="13" t="n">
        <f aca="false">F1811*H1811</f>
        <v>76386800</v>
      </c>
      <c r="R1811" s="13" t="n">
        <f aca="false">G1811*H1811</f>
        <v>64988000</v>
      </c>
      <c r="S1811" s="13" t="n">
        <f aca="false">Q1811-R1811</f>
        <v>11398800</v>
      </c>
      <c r="T1811" s="14" t="n">
        <f aca="false">IFERROR(S1811/Q1811,0)</f>
        <v>0.149224735163667</v>
      </c>
      <c r="U1811" s="15" t="str">
        <f aca="false">TEXT(A1811,"yyyy-mm")</f>
        <v>2022-11</v>
      </c>
    </row>
    <row r="1812" customFormat="false" ht="15" hidden="false" customHeight="false" outlineLevel="0" collapsed="false">
      <c r="A1812" s="10" t="n">
        <v>44880</v>
      </c>
      <c r="B1812" s="11" t="s">
        <v>1944</v>
      </c>
      <c r="C1812" s="11" t="s">
        <v>148</v>
      </c>
      <c r="D1812" s="11" t="s">
        <v>138</v>
      </c>
      <c r="E1812" s="11" t="s">
        <v>122</v>
      </c>
      <c r="F1812" s="12" t="n">
        <v>4941716</v>
      </c>
      <c r="G1812" s="12" t="n">
        <v>4456000</v>
      </c>
      <c r="H1812" s="11" t="n">
        <v>9</v>
      </c>
      <c r="I1812" s="11" t="s">
        <v>69</v>
      </c>
      <c r="J1812" s="11" t="s">
        <v>70</v>
      </c>
      <c r="K1812" s="11" t="s">
        <v>71</v>
      </c>
      <c r="L1812" s="11" t="s">
        <v>72</v>
      </c>
      <c r="M1812" s="11" t="s">
        <v>73</v>
      </c>
      <c r="N1812" s="11" t="s">
        <v>109</v>
      </c>
      <c r="O1812" s="11" t="s">
        <v>75</v>
      </c>
      <c r="P1812" s="11" t="s">
        <v>95</v>
      </c>
      <c r="Q1812" s="13" t="n">
        <f aca="false">F1812*H1812</f>
        <v>44475444</v>
      </c>
      <c r="R1812" s="13" t="n">
        <f aca="false">G1812*H1812</f>
        <v>40104000</v>
      </c>
      <c r="S1812" s="13" t="n">
        <f aca="false">Q1812-R1812</f>
        <v>4371444</v>
      </c>
      <c r="T1812" s="14" t="n">
        <f aca="false">IFERROR(S1812/Q1812,0)</f>
        <v>0.0982889344511097</v>
      </c>
      <c r="U1812" s="15" t="str">
        <f aca="false">TEXT(A1812,"yyyy-mm")</f>
        <v>2022-11</v>
      </c>
    </row>
    <row r="1813" customFormat="false" ht="15" hidden="false" customHeight="false" outlineLevel="0" collapsed="false">
      <c r="A1813" s="10" t="n">
        <v>44881</v>
      </c>
      <c r="B1813" s="11" t="s">
        <v>1945</v>
      </c>
      <c r="C1813" s="11" t="s">
        <v>66</v>
      </c>
      <c r="D1813" s="11" t="s">
        <v>67</v>
      </c>
      <c r="E1813" s="11" t="s">
        <v>68</v>
      </c>
      <c r="F1813" s="12" t="n">
        <v>3048952</v>
      </c>
      <c r="G1813" s="12" t="n">
        <v>2560000</v>
      </c>
      <c r="H1813" s="11" t="n">
        <v>13</v>
      </c>
      <c r="I1813" s="11" t="s">
        <v>69</v>
      </c>
      <c r="J1813" s="11" t="s">
        <v>112</v>
      </c>
      <c r="K1813" s="11" t="s">
        <v>113</v>
      </c>
      <c r="L1813" s="11" t="s">
        <v>82</v>
      </c>
      <c r="M1813" s="11" t="s">
        <v>157</v>
      </c>
      <c r="N1813" s="11" t="s">
        <v>133</v>
      </c>
      <c r="O1813" s="11" t="s">
        <v>60</v>
      </c>
      <c r="P1813" s="11" t="s">
        <v>76</v>
      </c>
      <c r="Q1813" s="13" t="n">
        <f aca="false">F1813*H1813</f>
        <v>39636376</v>
      </c>
      <c r="R1813" s="13" t="n">
        <f aca="false">G1813*H1813</f>
        <v>33280000</v>
      </c>
      <c r="S1813" s="13" t="n">
        <f aca="false">Q1813-R1813</f>
        <v>6356376</v>
      </c>
      <c r="T1813" s="14" t="n">
        <f aca="false">IFERROR(S1813/Q1813,0)</f>
        <v>0.160367234380863</v>
      </c>
      <c r="U1813" s="15" t="str">
        <f aca="false">TEXT(A1813,"yyyy-mm")</f>
        <v>2022-11</v>
      </c>
    </row>
    <row r="1814" customFormat="false" ht="15" hidden="false" customHeight="false" outlineLevel="0" collapsed="false">
      <c r="A1814" s="10" t="n">
        <v>44881</v>
      </c>
      <c r="B1814" s="11" t="s">
        <v>1946</v>
      </c>
      <c r="C1814" s="11" t="s">
        <v>78</v>
      </c>
      <c r="D1814" s="11" t="s">
        <v>67</v>
      </c>
      <c r="E1814" s="11" t="s">
        <v>79</v>
      </c>
      <c r="F1814" s="12" t="n">
        <v>1870000</v>
      </c>
      <c r="G1814" s="12" t="n">
        <v>1650000</v>
      </c>
      <c r="H1814" s="11" t="n">
        <v>10</v>
      </c>
      <c r="I1814" s="11" t="s">
        <v>69</v>
      </c>
      <c r="J1814" s="11" t="s">
        <v>112</v>
      </c>
      <c r="K1814" s="11" t="s">
        <v>113</v>
      </c>
      <c r="L1814" s="11" t="s">
        <v>82</v>
      </c>
      <c r="M1814" s="11" t="s">
        <v>157</v>
      </c>
      <c r="N1814" s="11" t="s">
        <v>149</v>
      </c>
      <c r="O1814" s="11" t="s">
        <v>150</v>
      </c>
      <c r="P1814" s="11" t="s">
        <v>151</v>
      </c>
      <c r="Q1814" s="13" t="n">
        <f aca="false">F1814*H1814</f>
        <v>18700000</v>
      </c>
      <c r="R1814" s="13" t="n">
        <f aca="false">G1814*H1814</f>
        <v>16500000</v>
      </c>
      <c r="S1814" s="13" t="n">
        <f aca="false">Q1814-R1814</f>
        <v>2200000</v>
      </c>
      <c r="T1814" s="14" t="n">
        <f aca="false">IFERROR(S1814/Q1814,0)</f>
        <v>0.117647058823529</v>
      </c>
      <c r="U1814" s="15" t="str">
        <f aca="false">TEXT(A1814,"yyyy-mm")</f>
        <v>2022-11</v>
      </c>
    </row>
    <row r="1815" customFormat="false" ht="15" hidden="false" customHeight="false" outlineLevel="0" collapsed="false">
      <c r="A1815" s="10" t="n">
        <v>44881</v>
      </c>
      <c r="B1815" s="11" t="s">
        <v>1947</v>
      </c>
      <c r="C1815" s="11" t="s">
        <v>84</v>
      </c>
      <c r="D1815" s="11" t="s">
        <v>67</v>
      </c>
      <c r="E1815" s="11" t="s">
        <v>85</v>
      </c>
      <c r="F1815" s="12" t="n">
        <v>2600000</v>
      </c>
      <c r="G1815" s="12" t="n">
        <v>2300000</v>
      </c>
      <c r="H1815" s="11" t="n">
        <v>6</v>
      </c>
      <c r="I1815" s="11" t="s">
        <v>69</v>
      </c>
      <c r="J1815" s="11" t="s">
        <v>70</v>
      </c>
      <c r="K1815" s="11" t="s">
        <v>71</v>
      </c>
      <c r="L1815" s="11" t="s">
        <v>72</v>
      </c>
      <c r="M1815" s="11" t="s">
        <v>73</v>
      </c>
      <c r="N1815" s="11" t="s">
        <v>99</v>
      </c>
      <c r="O1815" s="11" t="s">
        <v>100</v>
      </c>
      <c r="P1815" s="11" t="s">
        <v>101</v>
      </c>
      <c r="Q1815" s="13" t="n">
        <f aca="false">F1815*H1815</f>
        <v>15600000</v>
      </c>
      <c r="R1815" s="13" t="n">
        <f aca="false">G1815*H1815</f>
        <v>13800000</v>
      </c>
      <c r="S1815" s="13" t="n">
        <f aca="false">Q1815-R1815</f>
        <v>1800000</v>
      </c>
      <c r="T1815" s="14" t="n">
        <f aca="false">IFERROR(S1815/Q1815,0)</f>
        <v>0.115384615384615</v>
      </c>
      <c r="U1815" s="15" t="str">
        <f aca="false">TEXT(A1815,"yyyy-mm")</f>
        <v>2022-11</v>
      </c>
    </row>
    <row r="1816" customFormat="false" ht="15" hidden="false" customHeight="false" outlineLevel="0" collapsed="false">
      <c r="A1816" s="10" t="n">
        <v>44881</v>
      </c>
      <c r="B1816" s="11" t="s">
        <v>1948</v>
      </c>
      <c r="C1816" s="11" t="s">
        <v>92</v>
      </c>
      <c r="D1816" s="11" t="s">
        <v>67</v>
      </c>
      <c r="E1816" s="11" t="s">
        <v>79</v>
      </c>
      <c r="F1816" s="12" t="n">
        <v>3577480</v>
      </c>
      <c r="G1816" s="12" t="n">
        <v>3100000</v>
      </c>
      <c r="H1816" s="11" t="n">
        <v>7</v>
      </c>
      <c r="I1816" s="11" t="s">
        <v>69</v>
      </c>
      <c r="J1816" s="11" t="s">
        <v>80</v>
      </c>
      <c r="K1816" s="11" t="s">
        <v>81</v>
      </c>
      <c r="L1816" s="11" t="s">
        <v>82</v>
      </c>
      <c r="M1816" s="11" t="s">
        <v>73</v>
      </c>
      <c r="N1816" s="11" t="s">
        <v>99</v>
      </c>
      <c r="O1816" s="11" t="s">
        <v>100</v>
      </c>
      <c r="P1816" s="11" t="s">
        <v>101</v>
      </c>
      <c r="Q1816" s="13" t="n">
        <f aca="false">F1816*H1816</f>
        <v>25042360</v>
      </c>
      <c r="R1816" s="13" t="n">
        <f aca="false">G1816*H1816</f>
        <v>21700000</v>
      </c>
      <c r="S1816" s="13" t="n">
        <f aca="false">Q1816-R1816</f>
        <v>3342360</v>
      </c>
      <c r="T1816" s="14" t="n">
        <f aca="false">IFERROR(S1816/Q1816,0)</f>
        <v>0.133468251394837</v>
      </c>
      <c r="U1816" s="15" t="str">
        <f aca="false">TEXT(A1816,"yyyy-mm")</f>
        <v>2022-11</v>
      </c>
    </row>
    <row r="1817" customFormat="false" ht="15" hidden="false" customHeight="false" outlineLevel="0" collapsed="false">
      <c r="A1817" s="10" t="n">
        <v>44881</v>
      </c>
      <c r="B1817" s="11" t="s">
        <v>1949</v>
      </c>
      <c r="C1817" s="11" t="s">
        <v>97</v>
      </c>
      <c r="D1817" s="11" t="s">
        <v>67</v>
      </c>
      <c r="E1817" s="11" t="s">
        <v>98</v>
      </c>
      <c r="F1817" s="12" t="n">
        <v>4969724</v>
      </c>
      <c r="G1817" s="12" t="n">
        <v>4121560</v>
      </c>
      <c r="H1817" s="11" t="n">
        <v>17</v>
      </c>
      <c r="I1817" s="11" t="s">
        <v>69</v>
      </c>
      <c r="J1817" s="11" t="s">
        <v>70</v>
      </c>
      <c r="K1817" s="11" t="s">
        <v>71</v>
      </c>
      <c r="L1817" s="11" t="s">
        <v>72</v>
      </c>
      <c r="M1817" s="11" t="s">
        <v>73</v>
      </c>
      <c r="N1817" s="11" t="s">
        <v>123</v>
      </c>
      <c r="O1817" s="11" t="s">
        <v>60</v>
      </c>
      <c r="P1817" s="11" t="s">
        <v>106</v>
      </c>
      <c r="Q1817" s="13" t="n">
        <f aca="false">F1817*H1817</f>
        <v>84485308</v>
      </c>
      <c r="R1817" s="13" t="n">
        <f aca="false">G1817*H1817</f>
        <v>70066520</v>
      </c>
      <c r="S1817" s="13" t="n">
        <f aca="false">Q1817-R1817</f>
        <v>14418788</v>
      </c>
      <c r="T1817" s="14" t="n">
        <f aca="false">IFERROR(S1817/Q1817,0)</f>
        <v>0.170666218083741</v>
      </c>
      <c r="U1817" s="15" t="str">
        <f aca="false">TEXT(A1817,"yyyy-mm")</f>
        <v>2022-11</v>
      </c>
    </row>
    <row r="1818" customFormat="false" ht="15" hidden="false" customHeight="false" outlineLevel="0" collapsed="false">
      <c r="A1818" s="10" t="n">
        <v>44881</v>
      </c>
      <c r="B1818" s="11" t="s">
        <v>1950</v>
      </c>
      <c r="C1818" s="11" t="s">
        <v>103</v>
      </c>
      <c r="D1818" s="11" t="s">
        <v>67</v>
      </c>
      <c r="E1818" s="11" t="s">
        <v>68</v>
      </c>
      <c r="F1818" s="12" t="n">
        <v>3319925</v>
      </c>
      <c r="G1818" s="12" t="n">
        <v>2800000</v>
      </c>
      <c r="H1818" s="11" t="n">
        <v>10</v>
      </c>
      <c r="I1818" s="11" t="s">
        <v>69</v>
      </c>
      <c r="J1818" s="11" t="s">
        <v>80</v>
      </c>
      <c r="K1818" s="11" t="s">
        <v>81</v>
      </c>
      <c r="L1818" s="11" t="s">
        <v>82</v>
      </c>
      <c r="M1818" s="11" t="s">
        <v>73</v>
      </c>
      <c r="N1818" s="11" t="s">
        <v>123</v>
      </c>
      <c r="O1818" s="11" t="s">
        <v>60</v>
      </c>
      <c r="P1818" s="11" t="s">
        <v>106</v>
      </c>
      <c r="Q1818" s="13" t="n">
        <f aca="false">F1818*H1818</f>
        <v>33199250</v>
      </c>
      <c r="R1818" s="13" t="n">
        <f aca="false">G1818*H1818</f>
        <v>28000000</v>
      </c>
      <c r="S1818" s="13" t="n">
        <f aca="false">Q1818-R1818</f>
        <v>5199250</v>
      </c>
      <c r="T1818" s="14" t="n">
        <f aca="false">IFERROR(S1818/Q1818,0)</f>
        <v>0.15660745348163</v>
      </c>
      <c r="U1818" s="15" t="str">
        <f aca="false">TEXT(A1818,"yyyy-mm")</f>
        <v>2022-11</v>
      </c>
    </row>
    <row r="1819" customFormat="false" ht="15" hidden="false" customHeight="false" outlineLevel="0" collapsed="false">
      <c r="A1819" s="10" t="n">
        <v>44882</v>
      </c>
      <c r="B1819" s="11" t="s">
        <v>1951</v>
      </c>
      <c r="C1819" s="11" t="s">
        <v>108</v>
      </c>
      <c r="D1819" s="11" t="s">
        <v>67</v>
      </c>
      <c r="E1819" s="11" t="s">
        <v>68</v>
      </c>
      <c r="F1819" s="12" t="n">
        <v>4757880</v>
      </c>
      <c r="G1819" s="12" t="n">
        <v>3450000</v>
      </c>
      <c r="H1819" s="11" t="n">
        <v>7</v>
      </c>
      <c r="I1819" s="11" t="s">
        <v>69</v>
      </c>
      <c r="J1819" s="11" t="s">
        <v>80</v>
      </c>
      <c r="K1819" s="11" t="s">
        <v>81</v>
      </c>
      <c r="L1819" s="11" t="s">
        <v>82</v>
      </c>
      <c r="M1819" s="11" t="s">
        <v>73</v>
      </c>
      <c r="N1819" s="11" t="s">
        <v>74</v>
      </c>
      <c r="O1819" s="11" t="s">
        <v>75</v>
      </c>
      <c r="P1819" s="11" t="s">
        <v>76</v>
      </c>
      <c r="Q1819" s="13" t="n">
        <f aca="false">F1819*H1819</f>
        <v>33305160</v>
      </c>
      <c r="R1819" s="13" t="n">
        <f aca="false">G1819*H1819</f>
        <v>24150000</v>
      </c>
      <c r="S1819" s="13" t="n">
        <f aca="false">Q1819-R1819</f>
        <v>9155160</v>
      </c>
      <c r="T1819" s="14" t="n">
        <f aca="false">IFERROR(S1819/Q1819,0)</f>
        <v>0.274887134606169</v>
      </c>
      <c r="U1819" s="15" t="str">
        <f aca="false">TEXT(A1819,"yyyy-mm")</f>
        <v>2022-11</v>
      </c>
    </row>
    <row r="1820" customFormat="false" ht="15" hidden="false" customHeight="false" outlineLevel="0" collapsed="false">
      <c r="A1820" s="10" t="n">
        <v>44882</v>
      </c>
      <c r="B1820" s="11" t="s">
        <v>1952</v>
      </c>
      <c r="C1820" s="11" t="s">
        <v>111</v>
      </c>
      <c r="D1820" s="11" t="s">
        <v>67</v>
      </c>
      <c r="E1820" s="11" t="s">
        <v>79</v>
      </c>
      <c r="F1820" s="12" t="n">
        <v>3545808</v>
      </c>
      <c r="G1820" s="12" t="n">
        <v>3350000</v>
      </c>
      <c r="H1820" s="11" t="n">
        <v>20</v>
      </c>
      <c r="I1820" s="11" t="s">
        <v>69</v>
      </c>
      <c r="J1820" s="11" t="s">
        <v>70</v>
      </c>
      <c r="K1820" s="11" t="s">
        <v>71</v>
      </c>
      <c r="L1820" s="11" t="s">
        <v>72</v>
      </c>
      <c r="M1820" s="11" t="s">
        <v>73</v>
      </c>
      <c r="N1820" s="11" t="s">
        <v>149</v>
      </c>
      <c r="O1820" s="11" t="s">
        <v>150</v>
      </c>
      <c r="P1820" s="11" t="s">
        <v>151</v>
      </c>
      <c r="Q1820" s="13" t="n">
        <f aca="false">F1820*H1820</f>
        <v>70916160</v>
      </c>
      <c r="R1820" s="13" t="n">
        <f aca="false">G1820*H1820</f>
        <v>67000000</v>
      </c>
      <c r="S1820" s="13" t="n">
        <f aca="false">Q1820-R1820</f>
        <v>3916160</v>
      </c>
      <c r="T1820" s="14" t="n">
        <f aca="false">IFERROR(S1820/Q1820,0)</f>
        <v>0.0552223921881839</v>
      </c>
      <c r="U1820" s="15" t="str">
        <f aca="false">TEXT(A1820,"yyyy-mm")</f>
        <v>2022-11</v>
      </c>
    </row>
    <row r="1821" customFormat="false" ht="15" hidden="false" customHeight="false" outlineLevel="0" collapsed="false">
      <c r="A1821" s="10" t="n">
        <v>44883</v>
      </c>
      <c r="B1821" s="11" t="s">
        <v>1953</v>
      </c>
      <c r="C1821" s="11" t="s">
        <v>115</v>
      </c>
      <c r="D1821" s="11" t="s">
        <v>67</v>
      </c>
      <c r="E1821" s="11" t="s">
        <v>98</v>
      </c>
      <c r="F1821" s="12" t="n">
        <v>4200743</v>
      </c>
      <c r="G1821" s="12" t="n">
        <v>4101000</v>
      </c>
      <c r="H1821" s="11" t="n">
        <v>6</v>
      </c>
      <c r="I1821" s="11" t="s">
        <v>86</v>
      </c>
      <c r="J1821" s="11" t="s">
        <v>87</v>
      </c>
      <c r="K1821" s="11" t="s">
        <v>88</v>
      </c>
      <c r="L1821" s="11" t="s">
        <v>89</v>
      </c>
      <c r="M1821" s="11" t="s">
        <v>90</v>
      </c>
      <c r="N1821" s="11" t="s">
        <v>99</v>
      </c>
      <c r="O1821" s="11" t="s">
        <v>100</v>
      </c>
      <c r="P1821" s="11" t="s">
        <v>101</v>
      </c>
      <c r="Q1821" s="13" t="n">
        <f aca="false">F1821*H1821</f>
        <v>25204458</v>
      </c>
      <c r="R1821" s="13" t="n">
        <f aca="false">G1821*H1821</f>
        <v>24606000</v>
      </c>
      <c r="S1821" s="13" t="n">
        <f aca="false">Q1821-R1821</f>
        <v>598458</v>
      </c>
      <c r="T1821" s="14" t="n">
        <f aca="false">IFERROR(S1821/Q1821,0)</f>
        <v>0.023744132883159</v>
      </c>
      <c r="U1821" s="15" t="str">
        <f aca="false">TEXT(A1821,"yyyy-mm")</f>
        <v>2022-11</v>
      </c>
    </row>
    <row r="1822" customFormat="false" ht="15" hidden="false" customHeight="false" outlineLevel="0" collapsed="false">
      <c r="A1822" s="10" t="n">
        <v>44883</v>
      </c>
      <c r="B1822" s="11" t="s">
        <v>1954</v>
      </c>
      <c r="C1822" s="11" t="s">
        <v>117</v>
      </c>
      <c r="D1822" s="11" t="s">
        <v>118</v>
      </c>
      <c r="E1822" s="11" t="s">
        <v>119</v>
      </c>
      <c r="F1822" s="12" t="n">
        <v>8220549</v>
      </c>
      <c r="G1822" s="12" t="n">
        <v>6500000</v>
      </c>
      <c r="H1822" s="11" t="n">
        <v>1</v>
      </c>
      <c r="I1822" s="11" t="s">
        <v>86</v>
      </c>
      <c r="J1822" s="11" t="s">
        <v>87</v>
      </c>
      <c r="K1822" s="11" t="s">
        <v>88</v>
      </c>
      <c r="L1822" s="11" t="s">
        <v>89</v>
      </c>
      <c r="M1822" s="11" t="s">
        <v>90</v>
      </c>
      <c r="N1822" s="11" t="s">
        <v>173</v>
      </c>
      <c r="O1822" s="11" t="s">
        <v>174</v>
      </c>
      <c r="P1822" s="11" t="s">
        <v>95</v>
      </c>
      <c r="Q1822" s="13" t="n">
        <f aca="false">F1822*H1822</f>
        <v>8220549</v>
      </c>
      <c r="R1822" s="13" t="n">
        <f aca="false">G1822*H1822</f>
        <v>6500000</v>
      </c>
      <c r="S1822" s="13" t="n">
        <f aca="false">Q1822-R1822</f>
        <v>1720549</v>
      </c>
      <c r="T1822" s="14" t="n">
        <f aca="false">IFERROR(S1822/Q1822,0)</f>
        <v>0.209298551714733</v>
      </c>
      <c r="U1822" s="15" t="str">
        <f aca="false">TEXT(A1822,"yyyy-mm")</f>
        <v>2022-11</v>
      </c>
    </row>
    <row r="1823" customFormat="false" ht="15" hidden="false" customHeight="false" outlineLevel="0" collapsed="false">
      <c r="A1823" s="10" t="n">
        <v>44883</v>
      </c>
      <c r="B1823" s="11" t="s">
        <v>1955</v>
      </c>
      <c r="C1823" s="11" t="s">
        <v>121</v>
      </c>
      <c r="D1823" s="11" t="s">
        <v>118</v>
      </c>
      <c r="E1823" s="11" t="s">
        <v>122</v>
      </c>
      <c r="F1823" s="12" t="n">
        <v>7687274</v>
      </c>
      <c r="G1823" s="12" t="n">
        <v>6500000</v>
      </c>
      <c r="H1823" s="11" t="n">
        <v>19</v>
      </c>
      <c r="I1823" s="11" t="s">
        <v>69</v>
      </c>
      <c r="J1823" s="11" t="s">
        <v>112</v>
      </c>
      <c r="K1823" s="11" t="s">
        <v>113</v>
      </c>
      <c r="L1823" s="11" t="s">
        <v>82</v>
      </c>
      <c r="M1823" s="11" t="s">
        <v>157</v>
      </c>
      <c r="N1823" s="11" t="s">
        <v>99</v>
      </c>
      <c r="O1823" s="11" t="s">
        <v>100</v>
      </c>
      <c r="P1823" s="11" t="s">
        <v>101</v>
      </c>
      <c r="Q1823" s="13" t="n">
        <f aca="false">F1823*H1823</f>
        <v>146058206</v>
      </c>
      <c r="R1823" s="13" t="n">
        <f aca="false">G1823*H1823</f>
        <v>123500000</v>
      </c>
      <c r="S1823" s="13" t="n">
        <f aca="false">Q1823-R1823</f>
        <v>22558206</v>
      </c>
      <c r="T1823" s="14" t="n">
        <f aca="false">IFERROR(S1823/Q1823,0)</f>
        <v>0.154446686822923</v>
      </c>
      <c r="U1823" s="15" t="str">
        <f aca="false">TEXT(A1823,"yyyy-mm")</f>
        <v>2022-11</v>
      </c>
    </row>
    <row r="1824" customFormat="false" ht="15" hidden="false" customHeight="false" outlineLevel="0" collapsed="false">
      <c r="A1824" s="10" t="n">
        <v>44883</v>
      </c>
      <c r="B1824" s="11" t="s">
        <v>1956</v>
      </c>
      <c r="C1824" s="11" t="s">
        <v>125</v>
      </c>
      <c r="D1824" s="11" t="s">
        <v>118</v>
      </c>
      <c r="E1824" s="11" t="s">
        <v>126</v>
      </c>
      <c r="F1824" s="12" t="n">
        <v>5684211</v>
      </c>
      <c r="G1824" s="12" t="n">
        <v>4300000</v>
      </c>
      <c r="H1824" s="11" t="n">
        <v>13</v>
      </c>
      <c r="I1824" s="11" t="s">
        <v>69</v>
      </c>
      <c r="J1824" s="11" t="s">
        <v>112</v>
      </c>
      <c r="K1824" s="11" t="s">
        <v>113</v>
      </c>
      <c r="L1824" s="11" t="s">
        <v>82</v>
      </c>
      <c r="M1824" s="11" t="s">
        <v>157</v>
      </c>
      <c r="N1824" s="11" t="s">
        <v>109</v>
      </c>
      <c r="O1824" s="11" t="s">
        <v>75</v>
      </c>
      <c r="P1824" s="11" t="s">
        <v>95</v>
      </c>
      <c r="Q1824" s="13" t="n">
        <f aca="false">F1824*H1824</f>
        <v>73894743</v>
      </c>
      <c r="R1824" s="13" t="n">
        <f aca="false">G1824*H1824</f>
        <v>55900000</v>
      </c>
      <c r="S1824" s="13" t="n">
        <f aca="false">Q1824-R1824</f>
        <v>17994743</v>
      </c>
      <c r="T1824" s="14" t="n">
        <f aca="false">IFERROR(S1824/Q1824,0)</f>
        <v>0.243518581558637</v>
      </c>
      <c r="U1824" s="15" t="str">
        <f aca="false">TEXT(A1824,"yyyy-mm")</f>
        <v>2022-11</v>
      </c>
    </row>
    <row r="1825" customFormat="false" ht="15" hidden="false" customHeight="false" outlineLevel="0" collapsed="false">
      <c r="A1825" s="10" t="n">
        <v>44883</v>
      </c>
      <c r="B1825" s="11" t="s">
        <v>1957</v>
      </c>
      <c r="C1825" s="11" t="s">
        <v>128</v>
      </c>
      <c r="D1825" s="11" t="s">
        <v>118</v>
      </c>
      <c r="E1825" s="11" t="s">
        <v>119</v>
      </c>
      <c r="F1825" s="12" t="n">
        <v>3370302</v>
      </c>
      <c r="G1825" s="12" t="n">
        <v>2100000</v>
      </c>
      <c r="H1825" s="11" t="n">
        <v>23</v>
      </c>
      <c r="I1825" s="11" t="s">
        <v>69</v>
      </c>
      <c r="J1825" s="11" t="s">
        <v>70</v>
      </c>
      <c r="K1825" s="11" t="s">
        <v>71</v>
      </c>
      <c r="L1825" s="11" t="s">
        <v>72</v>
      </c>
      <c r="M1825" s="11" t="s">
        <v>73</v>
      </c>
      <c r="N1825" s="11" t="s">
        <v>143</v>
      </c>
      <c r="O1825" s="11" t="s">
        <v>144</v>
      </c>
      <c r="P1825" s="11" t="s">
        <v>101</v>
      </c>
      <c r="Q1825" s="13" t="n">
        <f aca="false">F1825*H1825</f>
        <v>77516946</v>
      </c>
      <c r="R1825" s="13" t="n">
        <f aca="false">G1825*H1825</f>
        <v>48300000</v>
      </c>
      <c r="S1825" s="13" t="n">
        <f aca="false">Q1825-R1825</f>
        <v>29216946</v>
      </c>
      <c r="T1825" s="14" t="n">
        <f aca="false">IFERROR(S1825/Q1825,0)</f>
        <v>0.37691043710623</v>
      </c>
      <c r="U1825" s="15" t="str">
        <f aca="false">TEXT(A1825,"yyyy-mm")</f>
        <v>2022-11</v>
      </c>
    </row>
    <row r="1826" customFormat="false" ht="15" hidden="false" customHeight="false" outlineLevel="0" collapsed="false">
      <c r="A1826" s="10" t="n">
        <v>44883</v>
      </c>
      <c r="B1826" s="11" t="s">
        <v>1958</v>
      </c>
      <c r="C1826" s="11" t="s">
        <v>130</v>
      </c>
      <c r="D1826" s="11" t="s">
        <v>118</v>
      </c>
      <c r="E1826" s="11" t="s">
        <v>68</v>
      </c>
      <c r="F1826" s="12" t="n">
        <v>2852897</v>
      </c>
      <c r="G1826" s="12" t="n">
        <v>2450000</v>
      </c>
      <c r="H1826" s="11" t="n">
        <v>11</v>
      </c>
      <c r="I1826" s="11" t="s">
        <v>69</v>
      </c>
      <c r="J1826" s="11" t="s">
        <v>70</v>
      </c>
      <c r="K1826" s="11" t="s">
        <v>71</v>
      </c>
      <c r="L1826" s="11" t="s">
        <v>72</v>
      </c>
      <c r="M1826" s="11" t="s">
        <v>73</v>
      </c>
      <c r="N1826" s="11" t="s">
        <v>93</v>
      </c>
      <c r="O1826" s="11" t="s">
        <v>94</v>
      </c>
      <c r="P1826" s="11" t="s">
        <v>95</v>
      </c>
      <c r="Q1826" s="13" t="n">
        <f aca="false">F1826*H1826</f>
        <v>31381867</v>
      </c>
      <c r="R1826" s="13" t="n">
        <f aca="false">G1826*H1826</f>
        <v>26950000</v>
      </c>
      <c r="S1826" s="13" t="n">
        <f aca="false">Q1826-R1826</f>
        <v>4431867</v>
      </c>
      <c r="T1826" s="14" t="n">
        <f aca="false">IFERROR(S1826/Q1826,0)</f>
        <v>0.141223815651249</v>
      </c>
      <c r="U1826" s="15" t="str">
        <f aca="false">TEXT(A1826,"yyyy-mm")</f>
        <v>2022-11</v>
      </c>
    </row>
    <row r="1827" customFormat="false" ht="15" hidden="false" customHeight="false" outlineLevel="0" collapsed="false">
      <c r="A1827" s="10" t="n">
        <v>44883</v>
      </c>
      <c r="B1827" s="11" t="s">
        <v>1959</v>
      </c>
      <c r="C1827" s="11" t="s">
        <v>132</v>
      </c>
      <c r="D1827" s="11" t="s">
        <v>118</v>
      </c>
      <c r="E1827" s="11" t="s">
        <v>68</v>
      </c>
      <c r="F1827" s="12" t="n">
        <v>4803603</v>
      </c>
      <c r="G1827" s="12" t="n">
        <v>4121000</v>
      </c>
      <c r="H1827" s="11" t="n">
        <v>12</v>
      </c>
      <c r="I1827" s="11" t="s">
        <v>69</v>
      </c>
      <c r="J1827" s="11" t="s">
        <v>112</v>
      </c>
      <c r="K1827" s="11" t="s">
        <v>113</v>
      </c>
      <c r="L1827" s="11" t="s">
        <v>82</v>
      </c>
      <c r="M1827" s="11" t="s">
        <v>157</v>
      </c>
      <c r="N1827" s="11" t="s">
        <v>173</v>
      </c>
      <c r="O1827" s="11" t="s">
        <v>174</v>
      </c>
      <c r="P1827" s="11" t="s">
        <v>95</v>
      </c>
      <c r="Q1827" s="13" t="n">
        <f aca="false">F1827*H1827</f>
        <v>57643236</v>
      </c>
      <c r="R1827" s="13" t="n">
        <f aca="false">G1827*H1827</f>
        <v>49452000</v>
      </c>
      <c r="S1827" s="13" t="n">
        <f aca="false">Q1827-R1827</f>
        <v>8191236</v>
      </c>
      <c r="T1827" s="14" t="n">
        <f aca="false">IFERROR(S1827/Q1827,0)</f>
        <v>0.142102292799801</v>
      </c>
      <c r="U1827" s="15" t="str">
        <f aca="false">TEXT(A1827,"yyyy-mm")</f>
        <v>2022-11</v>
      </c>
    </row>
    <row r="1828" customFormat="false" ht="15" hidden="false" customHeight="false" outlineLevel="0" collapsed="false">
      <c r="A1828" s="10" t="n">
        <v>44883</v>
      </c>
      <c r="B1828" s="11" t="s">
        <v>1960</v>
      </c>
      <c r="C1828" s="11" t="s">
        <v>135</v>
      </c>
      <c r="D1828" s="11" t="s">
        <v>118</v>
      </c>
      <c r="E1828" s="11" t="s">
        <v>68</v>
      </c>
      <c r="F1828" s="12" t="n">
        <v>5689947</v>
      </c>
      <c r="G1828" s="12" t="n">
        <v>5235000</v>
      </c>
      <c r="H1828" s="11" t="n">
        <v>29</v>
      </c>
      <c r="I1828" s="11" t="s">
        <v>69</v>
      </c>
      <c r="J1828" s="11" t="s">
        <v>80</v>
      </c>
      <c r="K1828" s="11" t="s">
        <v>81</v>
      </c>
      <c r="L1828" s="11" t="s">
        <v>82</v>
      </c>
      <c r="M1828" s="11" t="s">
        <v>73</v>
      </c>
      <c r="N1828" s="11" t="s">
        <v>133</v>
      </c>
      <c r="O1828" s="11" t="s">
        <v>60</v>
      </c>
      <c r="P1828" s="11" t="s">
        <v>76</v>
      </c>
      <c r="Q1828" s="13" t="n">
        <f aca="false">F1828*H1828</f>
        <v>165008463</v>
      </c>
      <c r="R1828" s="13" t="n">
        <f aca="false">G1828*H1828</f>
        <v>151815000</v>
      </c>
      <c r="S1828" s="13" t="n">
        <f aca="false">Q1828-R1828</f>
        <v>13193463</v>
      </c>
      <c r="T1828" s="14" t="n">
        <f aca="false">IFERROR(S1828/Q1828,0)</f>
        <v>0.0799562807878527</v>
      </c>
      <c r="U1828" s="15" t="str">
        <f aca="false">TEXT(A1828,"yyyy-mm")</f>
        <v>2022-11</v>
      </c>
    </row>
    <row r="1829" customFormat="false" ht="15" hidden="false" customHeight="false" outlineLevel="0" collapsed="false">
      <c r="A1829" s="10" t="n">
        <v>44884</v>
      </c>
      <c r="B1829" s="11" t="s">
        <v>1961</v>
      </c>
      <c r="C1829" s="11" t="s">
        <v>137</v>
      </c>
      <c r="D1829" s="11" t="s">
        <v>138</v>
      </c>
      <c r="E1829" s="11" t="s">
        <v>139</v>
      </c>
      <c r="F1829" s="12" t="n">
        <v>5171827</v>
      </c>
      <c r="G1829" s="12" t="n">
        <v>4890000</v>
      </c>
      <c r="H1829" s="11" t="n">
        <v>10</v>
      </c>
      <c r="I1829" s="11" t="s">
        <v>69</v>
      </c>
      <c r="J1829" s="11" t="s">
        <v>112</v>
      </c>
      <c r="K1829" s="11" t="s">
        <v>113</v>
      </c>
      <c r="L1829" s="11" t="s">
        <v>82</v>
      </c>
      <c r="M1829" s="11" t="s">
        <v>157</v>
      </c>
      <c r="N1829" s="11" t="s">
        <v>104</v>
      </c>
      <c r="O1829" s="11" t="s">
        <v>105</v>
      </c>
      <c r="P1829" s="11" t="s">
        <v>106</v>
      </c>
      <c r="Q1829" s="13" t="n">
        <f aca="false">F1829*H1829</f>
        <v>51718270</v>
      </c>
      <c r="R1829" s="13" t="n">
        <f aca="false">G1829*H1829</f>
        <v>48900000</v>
      </c>
      <c r="S1829" s="13" t="n">
        <f aca="false">Q1829-R1829</f>
        <v>2818270</v>
      </c>
      <c r="T1829" s="14" t="n">
        <f aca="false">IFERROR(S1829/Q1829,0)</f>
        <v>0.0544927353525166</v>
      </c>
      <c r="U1829" s="15" t="str">
        <f aca="false">TEXT(A1829,"yyyy-mm")</f>
        <v>2022-11</v>
      </c>
    </row>
    <row r="1830" customFormat="false" ht="15" hidden="false" customHeight="false" outlineLevel="0" collapsed="false">
      <c r="A1830" s="10" t="n">
        <v>44885</v>
      </c>
      <c r="B1830" s="11" t="s">
        <v>1962</v>
      </c>
      <c r="C1830" s="11" t="s">
        <v>141</v>
      </c>
      <c r="D1830" s="11" t="s">
        <v>138</v>
      </c>
      <c r="E1830" s="11" t="s">
        <v>142</v>
      </c>
      <c r="F1830" s="12" t="n">
        <v>2805124</v>
      </c>
      <c r="G1830" s="12" t="n">
        <v>2178000</v>
      </c>
      <c r="H1830" s="11" t="n">
        <v>13</v>
      </c>
      <c r="I1830" s="11" t="s">
        <v>69</v>
      </c>
      <c r="J1830" s="11" t="s">
        <v>112</v>
      </c>
      <c r="K1830" s="11" t="s">
        <v>113</v>
      </c>
      <c r="L1830" s="11" t="s">
        <v>82</v>
      </c>
      <c r="M1830" s="11" t="s">
        <v>157</v>
      </c>
      <c r="N1830" s="11" t="s">
        <v>109</v>
      </c>
      <c r="O1830" s="11" t="s">
        <v>75</v>
      </c>
      <c r="P1830" s="11" t="s">
        <v>95</v>
      </c>
      <c r="Q1830" s="13" t="n">
        <f aca="false">F1830*H1830</f>
        <v>36466612</v>
      </c>
      <c r="R1830" s="13" t="n">
        <f aca="false">G1830*H1830</f>
        <v>28314000</v>
      </c>
      <c r="S1830" s="13" t="n">
        <f aca="false">Q1830-R1830</f>
        <v>8152612</v>
      </c>
      <c r="T1830" s="14" t="n">
        <f aca="false">IFERROR(S1830/Q1830,0)</f>
        <v>0.22356373550688</v>
      </c>
      <c r="U1830" s="15" t="str">
        <f aca="false">TEXT(A1830,"yyyy-mm")</f>
        <v>2022-11</v>
      </c>
    </row>
    <row r="1831" customFormat="false" ht="15" hidden="false" customHeight="false" outlineLevel="0" collapsed="false">
      <c r="A1831" s="10" t="n">
        <v>44885</v>
      </c>
      <c r="B1831" s="11" t="s">
        <v>1963</v>
      </c>
      <c r="C1831" s="11" t="s">
        <v>146</v>
      </c>
      <c r="D1831" s="11" t="s">
        <v>138</v>
      </c>
      <c r="E1831" s="11" t="s">
        <v>139</v>
      </c>
      <c r="F1831" s="12" t="n">
        <v>2728100</v>
      </c>
      <c r="G1831" s="12" t="n">
        <v>2321000</v>
      </c>
      <c r="H1831" s="11" t="n">
        <v>14</v>
      </c>
      <c r="I1831" s="11" t="s">
        <v>69</v>
      </c>
      <c r="J1831" s="11" t="s">
        <v>80</v>
      </c>
      <c r="K1831" s="11" t="s">
        <v>81</v>
      </c>
      <c r="L1831" s="11" t="s">
        <v>82</v>
      </c>
      <c r="M1831" s="11" t="s">
        <v>73</v>
      </c>
      <c r="N1831" s="11" t="s">
        <v>104</v>
      </c>
      <c r="O1831" s="11" t="s">
        <v>105</v>
      </c>
      <c r="P1831" s="11" t="s">
        <v>106</v>
      </c>
      <c r="Q1831" s="13" t="n">
        <f aca="false">F1831*H1831</f>
        <v>38193400</v>
      </c>
      <c r="R1831" s="13" t="n">
        <f aca="false">G1831*H1831</f>
        <v>32494000</v>
      </c>
      <c r="S1831" s="13" t="n">
        <f aca="false">Q1831-R1831</f>
        <v>5699400</v>
      </c>
      <c r="T1831" s="14" t="n">
        <f aca="false">IFERROR(S1831/Q1831,0)</f>
        <v>0.149224735163667</v>
      </c>
      <c r="U1831" s="15" t="str">
        <f aca="false">TEXT(A1831,"yyyy-mm")</f>
        <v>2022-11</v>
      </c>
    </row>
    <row r="1832" customFormat="false" ht="15" hidden="false" customHeight="false" outlineLevel="0" collapsed="false">
      <c r="A1832" s="10" t="n">
        <v>44886</v>
      </c>
      <c r="B1832" s="11" t="s">
        <v>1964</v>
      </c>
      <c r="C1832" s="11" t="s">
        <v>148</v>
      </c>
      <c r="D1832" s="11" t="s">
        <v>138</v>
      </c>
      <c r="E1832" s="11" t="s">
        <v>122</v>
      </c>
      <c r="F1832" s="12" t="n">
        <v>4941716</v>
      </c>
      <c r="G1832" s="12" t="n">
        <v>4456000</v>
      </c>
      <c r="H1832" s="11" t="n">
        <v>27</v>
      </c>
      <c r="I1832" s="11" t="s">
        <v>69</v>
      </c>
      <c r="J1832" s="11" t="s">
        <v>70</v>
      </c>
      <c r="K1832" s="11" t="s">
        <v>71</v>
      </c>
      <c r="L1832" s="11" t="s">
        <v>72</v>
      </c>
      <c r="M1832" s="11" t="s">
        <v>73</v>
      </c>
      <c r="N1832" s="11" t="s">
        <v>93</v>
      </c>
      <c r="O1832" s="11" t="s">
        <v>94</v>
      </c>
      <c r="P1832" s="11" t="s">
        <v>95</v>
      </c>
      <c r="Q1832" s="13" t="n">
        <f aca="false">F1832*H1832</f>
        <v>133426332</v>
      </c>
      <c r="R1832" s="13" t="n">
        <f aca="false">G1832*H1832</f>
        <v>120312000</v>
      </c>
      <c r="S1832" s="13" t="n">
        <f aca="false">Q1832-R1832</f>
        <v>13114332</v>
      </c>
      <c r="T1832" s="14" t="n">
        <f aca="false">IFERROR(S1832/Q1832,0)</f>
        <v>0.0982889344511097</v>
      </c>
      <c r="U1832" s="15" t="str">
        <f aca="false">TEXT(A1832,"yyyy-mm")</f>
        <v>2022-11</v>
      </c>
    </row>
    <row r="1833" customFormat="false" ht="15" hidden="false" customHeight="false" outlineLevel="0" collapsed="false">
      <c r="A1833" s="10" t="n">
        <v>44886</v>
      </c>
      <c r="B1833" s="11" t="s">
        <v>1965</v>
      </c>
      <c r="C1833" s="11" t="s">
        <v>66</v>
      </c>
      <c r="D1833" s="11" t="s">
        <v>67</v>
      </c>
      <c r="E1833" s="11" t="s">
        <v>68</v>
      </c>
      <c r="F1833" s="12" t="n">
        <v>3048952</v>
      </c>
      <c r="G1833" s="12" t="n">
        <v>2560000</v>
      </c>
      <c r="H1833" s="11" t="n">
        <v>2</v>
      </c>
      <c r="I1833" s="11" t="s">
        <v>69</v>
      </c>
      <c r="J1833" s="11" t="s">
        <v>112</v>
      </c>
      <c r="K1833" s="11" t="s">
        <v>113</v>
      </c>
      <c r="L1833" s="11" t="s">
        <v>82</v>
      </c>
      <c r="M1833" s="11" t="s">
        <v>157</v>
      </c>
      <c r="N1833" s="11" t="s">
        <v>143</v>
      </c>
      <c r="O1833" s="11" t="s">
        <v>144</v>
      </c>
      <c r="P1833" s="11" t="s">
        <v>101</v>
      </c>
      <c r="Q1833" s="13" t="n">
        <f aca="false">F1833*H1833</f>
        <v>6097904</v>
      </c>
      <c r="R1833" s="13" t="n">
        <f aca="false">G1833*H1833</f>
        <v>5120000</v>
      </c>
      <c r="S1833" s="13" t="n">
        <f aca="false">Q1833-R1833</f>
        <v>977904</v>
      </c>
      <c r="T1833" s="14" t="n">
        <f aca="false">IFERROR(S1833/Q1833,0)</f>
        <v>0.160367234380863</v>
      </c>
      <c r="U1833" s="15" t="str">
        <f aca="false">TEXT(A1833,"yyyy-mm")</f>
        <v>2022-11</v>
      </c>
    </row>
    <row r="1834" customFormat="false" ht="15" hidden="false" customHeight="false" outlineLevel="0" collapsed="false">
      <c r="A1834" s="10" t="n">
        <v>44887</v>
      </c>
      <c r="B1834" s="11" t="s">
        <v>1966</v>
      </c>
      <c r="C1834" s="11" t="s">
        <v>78</v>
      </c>
      <c r="D1834" s="11" t="s">
        <v>67</v>
      </c>
      <c r="E1834" s="11" t="s">
        <v>79</v>
      </c>
      <c r="F1834" s="12" t="n">
        <v>1870000</v>
      </c>
      <c r="G1834" s="12" t="n">
        <v>1650000</v>
      </c>
      <c r="H1834" s="11" t="n">
        <v>18</v>
      </c>
      <c r="I1834" s="11" t="s">
        <v>69</v>
      </c>
      <c r="J1834" s="11" t="s">
        <v>70</v>
      </c>
      <c r="K1834" s="11" t="s">
        <v>71</v>
      </c>
      <c r="L1834" s="11" t="s">
        <v>72</v>
      </c>
      <c r="M1834" s="11" t="s">
        <v>73</v>
      </c>
      <c r="N1834" s="11" t="s">
        <v>109</v>
      </c>
      <c r="O1834" s="11" t="s">
        <v>75</v>
      </c>
      <c r="P1834" s="11" t="s">
        <v>95</v>
      </c>
      <c r="Q1834" s="13" t="n">
        <f aca="false">F1834*H1834</f>
        <v>33660000</v>
      </c>
      <c r="R1834" s="13" t="n">
        <f aca="false">G1834*H1834</f>
        <v>29700000</v>
      </c>
      <c r="S1834" s="13" t="n">
        <f aca="false">Q1834-R1834</f>
        <v>3960000</v>
      </c>
      <c r="T1834" s="14" t="n">
        <f aca="false">IFERROR(S1834/Q1834,0)</f>
        <v>0.117647058823529</v>
      </c>
      <c r="U1834" s="15" t="str">
        <f aca="false">TEXT(A1834,"yyyy-mm")</f>
        <v>2022-11</v>
      </c>
    </row>
    <row r="1835" customFormat="false" ht="15" hidden="false" customHeight="false" outlineLevel="0" collapsed="false">
      <c r="A1835" s="10" t="n">
        <v>44887</v>
      </c>
      <c r="B1835" s="11" t="s">
        <v>1967</v>
      </c>
      <c r="C1835" s="11" t="s">
        <v>84</v>
      </c>
      <c r="D1835" s="11" t="s">
        <v>67</v>
      </c>
      <c r="E1835" s="11" t="s">
        <v>85</v>
      </c>
      <c r="F1835" s="12" t="n">
        <v>2600000</v>
      </c>
      <c r="G1835" s="12" t="n">
        <v>2300000</v>
      </c>
      <c r="H1835" s="11" t="n">
        <v>13</v>
      </c>
      <c r="I1835" s="11" t="s">
        <v>86</v>
      </c>
      <c r="J1835" s="11" t="s">
        <v>87</v>
      </c>
      <c r="K1835" s="11" t="s">
        <v>88</v>
      </c>
      <c r="L1835" s="11" t="s">
        <v>89</v>
      </c>
      <c r="M1835" s="11" t="s">
        <v>90</v>
      </c>
      <c r="N1835" s="11" t="s">
        <v>109</v>
      </c>
      <c r="O1835" s="11" t="s">
        <v>75</v>
      </c>
      <c r="P1835" s="11" t="s">
        <v>95</v>
      </c>
      <c r="Q1835" s="13" t="n">
        <f aca="false">F1835*H1835</f>
        <v>33800000</v>
      </c>
      <c r="R1835" s="13" t="n">
        <f aca="false">G1835*H1835</f>
        <v>29900000</v>
      </c>
      <c r="S1835" s="13" t="n">
        <f aca="false">Q1835-R1835</f>
        <v>3900000</v>
      </c>
      <c r="T1835" s="14" t="n">
        <f aca="false">IFERROR(S1835/Q1835,0)</f>
        <v>0.115384615384615</v>
      </c>
      <c r="U1835" s="15" t="str">
        <f aca="false">TEXT(A1835,"yyyy-mm")</f>
        <v>2022-11</v>
      </c>
    </row>
    <row r="1836" customFormat="false" ht="15" hidden="false" customHeight="false" outlineLevel="0" collapsed="false">
      <c r="A1836" s="10" t="n">
        <v>44887</v>
      </c>
      <c r="B1836" s="11" t="s">
        <v>1968</v>
      </c>
      <c r="C1836" s="11" t="s">
        <v>92</v>
      </c>
      <c r="D1836" s="11" t="s">
        <v>67</v>
      </c>
      <c r="E1836" s="11" t="s">
        <v>79</v>
      </c>
      <c r="F1836" s="12" t="n">
        <v>3577480</v>
      </c>
      <c r="G1836" s="12" t="n">
        <v>3100000</v>
      </c>
      <c r="H1836" s="11" t="n">
        <v>29</v>
      </c>
      <c r="I1836" s="11" t="s">
        <v>69</v>
      </c>
      <c r="J1836" s="11" t="s">
        <v>80</v>
      </c>
      <c r="K1836" s="11" t="s">
        <v>81</v>
      </c>
      <c r="L1836" s="11" t="s">
        <v>82</v>
      </c>
      <c r="M1836" s="11" t="s">
        <v>73</v>
      </c>
      <c r="N1836" s="11" t="s">
        <v>149</v>
      </c>
      <c r="O1836" s="11" t="s">
        <v>150</v>
      </c>
      <c r="P1836" s="11" t="s">
        <v>151</v>
      </c>
      <c r="Q1836" s="13" t="n">
        <f aca="false">F1836*H1836</f>
        <v>103746920</v>
      </c>
      <c r="R1836" s="13" t="n">
        <f aca="false">G1836*H1836</f>
        <v>89900000</v>
      </c>
      <c r="S1836" s="13" t="n">
        <f aca="false">Q1836-R1836</f>
        <v>13846920</v>
      </c>
      <c r="T1836" s="14" t="n">
        <f aca="false">IFERROR(S1836/Q1836,0)</f>
        <v>0.133468251394837</v>
      </c>
      <c r="U1836" s="15" t="str">
        <f aca="false">TEXT(A1836,"yyyy-mm")</f>
        <v>2022-11</v>
      </c>
    </row>
    <row r="1837" customFormat="false" ht="15" hidden="false" customHeight="false" outlineLevel="0" collapsed="false">
      <c r="A1837" s="10" t="n">
        <v>44887</v>
      </c>
      <c r="B1837" s="11" t="s">
        <v>1969</v>
      </c>
      <c r="C1837" s="11" t="s">
        <v>97</v>
      </c>
      <c r="D1837" s="11" t="s">
        <v>67</v>
      </c>
      <c r="E1837" s="11" t="s">
        <v>98</v>
      </c>
      <c r="F1837" s="12" t="n">
        <v>4969724</v>
      </c>
      <c r="G1837" s="12" t="n">
        <v>4121560</v>
      </c>
      <c r="H1837" s="11" t="n">
        <v>8</v>
      </c>
      <c r="I1837" s="11" t="s">
        <v>69</v>
      </c>
      <c r="J1837" s="11" t="s">
        <v>112</v>
      </c>
      <c r="K1837" s="11" t="s">
        <v>113</v>
      </c>
      <c r="L1837" s="11" t="s">
        <v>82</v>
      </c>
      <c r="M1837" s="11" t="s">
        <v>157</v>
      </c>
      <c r="N1837" s="11" t="s">
        <v>99</v>
      </c>
      <c r="O1837" s="11" t="s">
        <v>100</v>
      </c>
      <c r="P1837" s="11" t="s">
        <v>101</v>
      </c>
      <c r="Q1837" s="13" t="n">
        <f aca="false">F1837*H1837</f>
        <v>39757792</v>
      </c>
      <c r="R1837" s="13" t="n">
        <f aca="false">G1837*H1837</f>
        <v>32972480</v>
      </c>
      <c r="S1837" s="13" t="n">
        <f aca="false">Q1837-R1837</f>
        <v>6785312</v>
      </c>
      <c r="T1837" s="14" t="n">
        <f aca="false">IFERROR(S1837/Q1837,0)</f>
        <v>0.170666218083741</v>
      </c>
      <c r="U1837" s="15" t="str">
        <f aca="false">TEXT(A1837,"yyyy-mm")</f>
        <v>2022-11</v>
      </c>
    </row>
    <row r="1838" customFormat="false" ht="15" hidden="false" customHeight="false" outlineLevel="0" collapsed="false">
      <c r="A1838" s="10" t="n">
        <v>44887</v>
      </c>
      <c r="B1838" s="11" t="s">
        <v>1970</v>
      </c>
      <c r="C1838" s="11" t="s">
        <v>103</v>
      </c>
      <c r="D1838" s="11" t="s">
        <v>67</v>
      </c>
      <c r="E1838" s="11" t="s">
        <v>68</v>
      </c>
      <c r="F1838" s="12" t="n">
        <v>3319925</v>
      </c>
      <c r="G1838" s="12" t="n">
        <v>2800000</v>
      </c>
      <c r="H1838" s="11" t="n">
        <v>5</v>
      </c>
      <c r="I1838" s="11" t="s">
        <v>86</v>
      </c>
      <c r="J1838" s="11" t="s">
        <v>87</v>
      </c>
      <c r="K1838" s="11" t="s">
        <v>88</v>
      </c>
      <c r="L1838" s="11" t="s">
        <v>89</v>
      </c>
      <c r="M1838" s="11" t="s">
        <v>90</v>
      </c>
      <c r="N1838" s="11" t="s">
        <v>123</v>
      </c>
      <c r="O1838" s="11" t="s">
        <v>60</v>
      </c>
      <c r="P1838" s="11" t="s">
        <v>106</v>
      </c>
      <c r="Q1838" s="13" t="n">
        <f aca="false">F1838*H1838</f>
        <v>16599625</v>
      </c>
      <c r="R1838" s="13" t="n">
        <f aca="false">G1838*H1838</f>
        <v>14000000</v>
      </c>
      <c r="S1838" s="13" t="n">
        <f aca="false">Q1838-R1838</f>
        <v>2599625</v>
      </c>
      <c r="T1838" s="14" t="n">
        <f aca="false">IFERROR(S1838/Q1838,0)</f>
        <v>0.15660745348163</v>
      </c>
      <c r="U1838" s="15" t="str">
        <f aca="false">TEXT(A1838,"yyyy-mm")</f>
        <v>2022-11</v>
      </c>
    </row>
    <row r="1839" customFormat="false" ht="15" hidden="false" customHeight="false" outlineLevel="0" collapsed="false">
      <c r="A1839" s="10" t="n">
        <v>44888</v>
      </c>
      <c r="B1839" s="11" t="s">
        <v>1971</v>
      </c>
      <c r="C1839" s="11" t="s">
        <v>108</v>
      </c>
      <c r="D1839" s="11" t="s">
        <v>67</v>
      </c>
      <c r="E1839" s="11" t="s">
        <v>68</v>
      </c>
      <c r="F1839" s="12" t="n">
        <v>4757880</v>
      </c>
      <c r="G1839" s="12" t="n">
        <v>3450000</v>
      </c>
      <c r="H1839" s="11" t="n">
        <v>12</v>
      </c>
      <c r="I1839" s="11" t="s">
        <v>69</v>
      </c>
      <c r="J1839" s="11" t="s">
        <v>80</v>
      </c>
      <c r="K1839" s="11" t="s">
        <v>81</v>
      </c>
      <c r="L1839" s="11" t="s">
        <v>82</v>
      </c>
      <c r="M1839" s="11" t="s">
        <v>73</v>
      </c>
      <c r="N1839" s="11" t="s">
        <v>173</v>
      </c>
      <c r="O1839" s="11" t="s">
        <v>174</v>
      </c>
      <c r="P1839" s="11" t="s">
        <v>95</v>
      </c>
      <c r="Q1839" s="13" t="n">
        <f aca="false">F1839*H1839</f>
        <v>57094560</v>
      </c>
      <c r="R1839" s="13" t="n">
        <f aca="false">G1839*H1839</f>
        <v>41400000</v>
      </c>
      <c r="S1839" s="13" t="n">
        <f aca="false">Q1839-R1839</f>
        <v>15694560</v>
      </c>
      <c r="T1839" s="14" t="n">
        <f aca="false">IFERROR(S1839/Q1839,0)</f>
        <v>0.274887134606169</v>
      </c>
      <c r="U1839" s="15" t="str">
        <f aca="false">TEXT(A1839,"yyyy-mm")</f>
        <v>2022-11</v>
      </c>
    </row>
    <row r="1840" customFormat="false" ht="15" hidden="false" customHeight="false" outlineLevel="0" collapsed="false">
      <c r="A1840" s="10" t="n">
        <v>44888</v>
      </c>
      <c r="B1840" s="11" t="s">
        <v>1972</v>
      </c>
      <c r="C1840" s="11" t="s">
        <v>111</v>
      </c>
      <c r="D1840" s="11" t="s">
        <v>67</v>
      </c>
      <c r="E1840" s="11" t="s">
        <v>79</v>
      </c>
      <c r="F1840" s="12" t="n">
        <v>3545808</v>
      </c>
      <c r="G1840" s="12" t="n">
        <v>3350000</v>
      </c>
      <c r="H1840" s="11" t="n">
        <v>17</v>
      </c>
      <c r="I1840" s="11" t="s">
        <v>86</v>
      </c>
      <c r="J1840" s="11" t="s">
        <v>87</v>
      </c>
      <c r="K1840" s="11" t="s">
        <v>88</v>
      </c>
      <c r="L1840" s="11" t="s">
        <v>89</v>
      </c>
      <c r="M1840" s="11" t="s">
        <v>90</v>
      </c>
      <c r="N1840" s="11" t="s">
        <v>99</v>
      </c>
      <c r="O1840" s="11" t="s">
        <v>100</v>
      </c>
      <c r="P1840" s="11" t="s">
        <v>101</v>
      </c>
      <c r="Q1840" s="13" t="n">
        <f aca="false">F1840*H1840</f>
        <v>60278736</v>
      </c>
      <c r="R1840" s="13" t="n">
        <f aca="false">G1840*H1840</f>
        <v>56950000</v>
      </c>
      <c r="S1840" s="13" t="n">
        <f aca="false">Q1840-R1840</f>
        <v>3328736</v>
      </c>
      <c r="T1840" s="14" t="n">
        <f aca="false">IFERROR(S1840/Q1840,0)</f>
        <v>0.0552223921881839</v>
      </c>
      <c r="U1840" s="15" t="str">
        <f aca="false">TEXT(A1840,"yyyy-mm")</f>
        <v>2022-11</v>
      </c>
    </row>
    <row r="1841" customFormat="false" ht="15" hidden="false" customHeight="false" outlineLevel="0" collapsed="false">
      <c r="A1841" s="10" t="n">
        <v>44888</v>
      </c>
      <c r="B1841" s="11" t="s">
        <v>1973</v>
      </c>
      <c r="C1841" s="11" t="s">
        <v>115</v>
      </c>
      <c r="D1841" s="11" t="s">
        <v>67</v>
      </c>
      <c r="E1841" s="11" t="s">
        <v>98</v>
      </c>
      <c r="F1841" s="12" t="n">
        <v>4200743</v>
      </c>
      <c r="G1841" s="12" t="n">
        <v>4101000</v>
      </c>
      <c r="H1841" s="11" t="n">
        <v>3</v>
      </c>
      <c r="I1841" s="11" t="s">
        <v>86</v>
      </c>
      <c r="J1841" s="11" t="s">
        <v>87</v>
      </c>
      <c r="K1841" s="11" t="s">
        <v>88</v>
      </c>
      <c r="L1841" s="11" t="s">
        <v>89</v>
      </c>
      <c r="M1841" s="11" t="s">
        <v>90</v>
      </c>
      <c r="N1841" s="11" t="s">
        <v>149</v>
      </c>
      <c r="O1841" s="11" t="s">
        <v>150</v>
      </c>
      <c r="P1841" s="11" t="s">
        <v>151</v>
      </c>
      <c r="Q1841" s="13" t="n">
        <f aca="false">F1841*H1841</f>
        <v>12602229</v>
      </c>
      <c r="R1841" s="13" t="n">
        <f aca="false">G1841*H1841</f>
        <v>12303000</v>
      </c>
      <c r="S1841" s="13" t="n">
        <f aca="false">Q1841-R1841</f>
        <v>299229</v>
      </c>
      <c r="T1841" s="14" t="n">
        <f aca="false">IFERROR(S1841/Q1841,0)</f>
        <v>0.023744132883159</v>
      </c>
      <c r="U1841" s="15" t="str">
        <f aca="false">TEXT(A1841,"yyyy-mm")</f>
        <v>2022-11</v>
      </c>
    </row>
    <row r="1842" customFormat="false" ht="15" hidden="false" customHeight="false" outlineLevel="0" collapsed="false">
      <c r="A1842" s="10" t="n">
        <v>44888</v>
      </c>
      <c r="B1842" s="11" t="s">
        <v>1974</v>
      </c>
      <c r="C1842" s="11" t="s">
        <v>117</v>
      </c>
      <c r="D1842" s="11" t="s">
        <v>118</v>
      </c>
      <c r="E1842" s="11" t="s">
        <v>119</v>
      </c>
      <c r="F1842" s="12" t="n">
        <v>8220549</v>
      </c>
      <c r="G1842" s="12" t="n">
        <v>6500000</v>
      </c>
      <c r="H1842" s="11" t="n">
        <v>23</v>
      </c>
      <c r="I1842" s="11" t="s">
        <v>86</v>
      </c>
      <c r="J1842" s="11" t="s">
        <v>87</v>
      </c>
      <c r="K1842" s="11" t="s">
        <v>88</v>
      </c>
      <c r="L1842" s="11" t="s">
        <v>89</v>
      </c>
      <c r="M1842" s="11" t="s">
        <v>90</v>
      </c>
      <c r="N1842" s="11" t="s">
        <v>104</v>
      </c>
      <c r="O1842" s="11" t="s">
        <v>105</v>
      </c>
      <c r="P1842" s="11" t="s">
        <v>106</v>
      </c>
      <c r="Q1842" s="13" t="n">
        <f aca="false">F1842*H1842</f>
        <v>189072627</v>
      </c>
      <c r="R1842" s="13" t="n">
        <f aca="false">G1842*H1842</f>
        <v>149500000</v>
      </c>
      <c r="S1842" s="13" t="n">
        <f aca="false">Q1842-R1842</f>
        <v>39572627</v>
      </c>
      <c r="T1842" s="14" t="n">
        <f aca="false">IFERROR(S1842/Q1842,0)</f>
        <v>0.209298551714733</v>
      </c>
      <c r="U1842" s="15" t="str">
        <f aca="false">TEXT(A1842,"yyyy-mm")</f>
        <v>2022-11</v>
      </c>
    </row>
    <row r="1843" customFormat="false" ht="15" hidden="false" customHeight="false" outlineLevel="0" collapsed="false">
      <c r="A1843" s="10" t="n">
        <v>44888</v>
      </c>
      <c r="B1843" s="11" t="s">
        <v>1975</v>
      </c>
      <c r="C1843" s="11" t="s">
        <v>121</v>
      </c>
      <c r="D1843" s="11" t="s">
        <v>118</v>
      </c>
      <c r="E1843" s="11" t="s">
        <v>122</v>
      </c>
      <c r="F1843" s="12" t="n">
        <v>7687274</v>
      </c>
      <c r="G1843" s="12" t="n">
        <v>6500000</v>
      </c>
      <c r="H1843" s="11" t="n">
        <v>4</v>
      </c>
      <c r="I1843" s="11" t="s">
        <v>69</v>
      </c>
      <c r="J1843" s="11" t="s">
        <v>80</v>
      </c>
      <c r="K1843" s="11" t="s">
        <v>81</v>
      </c>
      <c r="L1843" s="11" t="s">
        <v>82</v>
      </c>
      <c r="M1843" s="11" t="s">
        <v>73</v>
      </c>
      <c r="N1843" s="11" t="s">
        <v>149</v>
      </c>
      <c r="O1843" s="11" t="s">
        <v>150</v>
      </c>
      <c r="P1843" s="11" t="s">
        <v>151</v>
      </c>
      <c r="Q1843" s="13" t="n">
        <f aca="false">F1843*H1843</f>
        <v>30749096</v>
      </c>
      <c r="R1843" s="13" t="n">
        <f aca="false">G1843*H1843</f>
        <v>26000000</v>
      </c>
      <c r="S1843" s="13" t="n">
        <f aca="false">Q1843-R1843</f>
        <v>4749096</v>
      </c>
      <c r="T1843" s="14" t="n">
        <f aca="false">IFERROR(S1843/Q1843,0)</f>
        <v>0.154446686822923</v>
      </c>
      <c r="U1843" s="15" t="str">
        <f aca="false">TEXT(A1843,"yyyy-mm")</f>
        <v>2022-11</v>
      </c>
    </row>
    <row r="1844" customFormat="false" ht="15" hidden="false" customHeight="false" outlineLevel="0" collapsed="false">
      <c r="A1844" s="10" t="n">
        <v>44889</v>
      </c>
      <c r="B1844" s="11" t="s">
        <v>1976</v>
      </c>
      <c r="C1844" s="11" t="s">
        <v>125</v>
      </c>
      <c r="D1844" s="11" t="s">
        <v>118</v>
      </c>
      <c r="E1844" s="11" t="s">
        <v>126</v>
      </c>
      <c r="F1844" s="12" t="n">
        <v>5684211</v>
      </c>
      <c r="G1844" s="12" t="n">
        <v>4300000</v>
      </c>
      <c r="H1844" s="11" t="n">
        <v>1</v>
      </c>
      <c r="I1844" s="11" t="s">
        <v>69</v>
      </c>
      <c r="J1844" s="11" t="s">
        <v>70</v>
      </c>
      <c r="K1844" s="11" t="s">
        <v>71</v>
      </c>
      <c r="L1844" s="11" t="s">
        <v>72</v>
      </c>
      <c r="M1844" s="11" t="s">
        <v>73</v>
      </c>
      <c r="N1844" s="11" t="s">
        <v>74</v>
      </c>
      <c r="O1844" s="11" t="s">
        <v>75</v>
      </c>
      <c r="P1844" s="11" t="s">
        <v>76</v>
      </c>
      <c r="Q1844" s="13" t="n">
        <f aca="false">F1844*H1844</f>
        <v>5684211</v>
      </c>
      <c r="R1844" s="13" t="n">
        <f aca="false">G1844*H1844</f>
        <v>4300000</v>
      </c>
      <c r="S1844" s="13" t="n">
        <f aca="false">Q1844-R1844</f>
        <v>1384211</v>
      </c>
      <c r="T1844" s="14" t="n">
        <f aca="false">IFERROR(S1844/Q1844,0)</f>
        <v>0.243518581558637</v>
      </c>
      <c r="U1844" s="15" t="str">
        <f aca="false">TEXT(A1844,"yyyy-mm")</f>
        <v>2022-11</v>
      </c>
    </row>
    <row r="1845" customFormat="false" ht="15" hidden="false" customHeight="false" outlineLevel="0" collapsed="false">
      <c r="A1845" s="10" t="n">
        <v>44889</v>
      </c>
      <c r="B1845" s="11" t="s">
        <v>1977</v>
      </c>
      <c r="C1845" s="11" t="s">
        <v>128</v>
      </c>
      <c r="D1845" s="11" t="s">
        <v>118</v>
      </c>
      <c r="E1845" s="11" t="s">
        <v>119</v>
      </c>
      <c r="F1845" s="12" t="n">
        <v>3370302</v>
      </c>
      <c r="G1845" s="12" t="n">
        <v>2100000</v>
      </c>
      <c r="H1845" s="11" t="n">
        <v>28</v>
      </c>
      <c r="I1845" s="11" t="s">
        <v>69</v>
      </c>
      <c r="J1845" s="11" t="s">
        <v>70</v>
      </c>
      <c r="K1845" s="11" t="s">
        <v>71</v>
      </c>
      <c r="L1845" s="11" t="s">
        <v>72</v>
      </c>
      <c r="M1845" s="11" t="s">
        <v>73</v>
      </c>
      <c r="N1845" s="11" t="s">
        <v>149</v>
      </c>
      <c r="O1845" s="11" t="s">
        <v>150</v>
      </c>
      <c r="P1845" s="11" t="s">
        <v>151</v>
      </c>
      <c r="Q1845" s="13" t="n">
        <f aca="false">F1845*H1845</f>
        <v>94368456</v>
      </c>
      <c r="R1845" s="13" t="n">
        <f aca="false">G1845*H1845</f>
        <v>58800000</v>
      </c>
      <c r="S1845" s="13" t="n">
        <f aca="false">Q1845-R1845</f>
        <v>35568456</v>
      </c>
      <c r="T1845" s="14" t="n">
        <f aca="false">IFERROR(S1845/Q1845,0)</f>
        <v>0.37691043710623</v>
      </c>
      <c r="U1845" s="15" t="str">
        <f aca="false">TEXT(A1845,"yyyy-mm")</f>
        <v>2022-11</v>
      </c>
    </row>
    <row r="1846" customFormat="false" ht="15" hidden="false" customHeight="false" outlineLevel="0" collapsed="false">
      <c r="A1846" s="10" t="n">
        <v>44889</v>
      </c>
      <c r="B1846" s="11" t="s">
        <v>1978</v>
      </c>
      <c r="C1846" s="11" t="s">
        <v>130</v>
      </c>
      <c r="D1846" s="11" t="s">
        <v>118</v>
      </c>
      <c r="E1846" s="11" t="s">
        <v>68</v>
      </c>
      <c r="F1846" s="12" t="n">
        <v>2852897</v>
      </c>
      <c r="G1846" s="12" t="n">
        <v>2450000</v>
      </c>
      <c r="H1846" s="11" t="n">
        <v>13</v>
      </c>
      <c r="I1846" s="11" t="s">
        <v>86</v>
      </c>
      <c r="J1846" s="11" t="s">
        <v>87</v>
      </c>
      <c r="K1846" s="11" t="s">
        <v>88</v>
      </c>
      <c r="L1846" s="11" t="s">
        <v>89</v>
      </c>
      <c r="M1846" s="11" t="s">
        <v>90</v>
      </c>
      <c r="N1846" s="11" t="s">
        <v>143</v>
      </c>
      <c r="O1846" s="11" t="s">
        <v>144</v>
      </c>
      <c r="P1846" s="11" t="s">
        <v>101</v>
      </c>
      <c r="Q1846" s="13" t="n">
        <f aca="false">F1846*H1846</f>
        <v>37087661</v>
      </c>
      <c r="R1846" s="13" t="n">
        <f aca="false">G1846*H1846</f>
        <v>31850000</v>
      </c>
      <c r="S1846" s="13" t="n">
        <f aca="false">Q1846-R1846</f>
        <v>5237661</v>
      </c>
      <c r="T1846" s="14" t="n">
        <f aca="false">IFERROR(S1846/Q1846,0)</f>
        <v>0.141223815651249</v>
      </c>
      <c r="U1846" s="15" t="str">
        <f aca="false">TEXT(A1846,"yyyy-mm")</f>
        <v>2022-11</v>
      </c>
    </row>
    <row r="1847" customFormat="false" ht="15" hidden="false" customHeight="false" outlineLevel="0" collapsed="false">
      <c r="A1847" s="10" t="n">
        <v>44889</v>
      </c>
      <c r="B1847" s="11" t="s">
        <v>1979</v>
      </c>
      <c r="C1847" s="11" t="s">
        <v>132</v>
      </c>
      <c r="D1847" s="11" t="s">
        <v>118</v>
      </c>
      <c r="E1847" s="11" t="s">
        <v>68</v>
      </c>
      <c r="F1847" s="12" t="n">
        <v>4803603</v>
      </c>
      <c r="G1847" s="12" t="n">
        <v>4121000</v>
      </c>
      <c r="H1847" s="11" t="n">
        <v>16</v>
      </c>
      <c r="I1847" s="11" t="s">
        <v>69</v>
      </c>
      <c r="J1847" s="11" t="s">
        <v>112</v>
      </c>
      <c r="K1847" s="11" t="s">
        <v>113</v>
      </c>
      <c r="L1847" s="11" t="s">
        <v>82</v>
      </c>
      <c r="M1847" s="11" t="s">
        <v>157</v>
      </c>
      <c r="N1847" s="11" t="s">
        <v>133</v>
      </c>
      <c r="O1847" s="11" t="s">
        <v>60</v>
      </c>
      <c r="P1847" s="11" t="s">
        <v>76</v>
      </c>
      <c r="Q1847" s="13" t="n">
        <f aca="false">F1847*H1847</f>
        <v>76857648</v>
      </c>
      <c r="R1847" s="13" t="n">
        <f aca="false">G1847*H1847</f>
        <v>65936000</v>
      </c>
      <c r="S1847" s="13" t="n">
        <f aca="false">Q1847-R1847</f>
        <v>10921648</v>
      </c>
      <c r="T1847" s="14" t="n">
        <f aca="false">IFERROR(S1847/Q1847,0)</f>
        <v>0.142102292799801</v>
      </c>
      <c r="U1847" s="15" t="str">
        <f aca="false">TEXT(A1847,"yyyy-mm")</f>
        <v>2022-11</v>
      </c>
    </row>
    <row r="1848" customFormat="false" ht="15" hidden="false" customHeight="false" outlineLevel="0" collapsed="false">
      <c r="A1848" s="10" t="n">
        <v>44889</v>
      </c>
      <c r="B1848" s="11" t="s">
        <v>1980</v>
      </c>
      <c r="C1848" s="11" t="s">
        <v>135</v>
      </c>
      <c r="D1848" s="11" t="s">
        <v>118</v>
      </c>
      <c r="E1848" s="11" t="s">
        <v>68</v>
      </c>
      <c r="F1848" s="12" t="n">
        <v>5689947</v>
      </c>
      <c r="G1848" s="12" t="n">
        <v>5235000</v>
      </c>
      <c r="H1848" s="11" t="n">
        <v>20</v>
      </c>
      <c r="I1848" s="11" t="s">
        <v>86</v>
      </c>
      <c r="J1848" s="11" t="s">
        <v>87</v>
      </c>
      <c r="K1848" s="11" t="s">
        <v>88</v>
      </c>
      <c r="L1848" s="11" t="s">
        <v>89</v>
      </c>
      <c r="M1848" s="11" t="s">
        <v>90</v>
      </c>
      <c r="N1848" s="11" t="s">
        <v>74</v>
      </c>
      <c r="O1848" s="11" t="s">
        <v>75</v>
      </c>
      <c r="P1848" s="11" t="s">
        <v>76</v>
      </c>
      <c r="Q1848" s="13" t="n">
        <f aca="false">F1848*H1848</f>
        <v>113798940</v>
      </c>
      <c r="R1848" s="13" t="n">
        <f aca="false">G1848*H1848</f>
        <v>104700000</v>
      </c>
      <c r="S1848" s="13" t="n">
        <f aca="false">Q1848-R1848</f>
        <v>9098940</v>
      </c>
      <c r="T1848" s="14" t="n">
        <f aca="false">IFERROR(S1848/Q1848,0)</f>
        <v>0.0799562807878527</v>
      </c>
      <c r="U1848" s="15" t="str">
        <f aca="false">TEXT(A1848,"yyyy-mm")</f>
        <v>2022-11</v>
      </c>
    </row>
    <row r="1849" customFormat="false" ht="15" hidden="false" customHeight="false" outlineLevel="0" collapsed="false">
      <c r="A1849" s="10" t="n">
        <v>44890</v>
      </c>
      <c r="B1849" s="11" t="s">
        <v>1981</v>
      </c>
      <c r="C1849" s="11" t="s">
        <v>137</v>
      </c>
      <c r="D1849" s="11" t="s">
        <v>138</v>
      </c>
      <c r="E1849" s="11" t="s">
        <v>139</v>
      </c>
      <c r="F1849" s="12" t="n">
        <v>5171827</v>
      </c>
      <c r="G1849" s="12" t="n">
        <v>4890000</v>
      </c>
      <c r="H1849" s="11" t="n">
        <v>17</v>
      </c>
      <c r="I1849" s="11" t="s">
        <v>69</v>
      </c>
      <c r="J1849" s="11" t="s">
        <v>80</v>
      </c>
      <c r="K1849" s="11" t="s">
        <v>81</v>
      </c>
      <c r="L1849" s="11" t="s">
        <v>82</v>
      </c>
      <c r="M1849" s="11" t="s">
        <v>73</v>
      </c>
      <c r="N1849" s="11" t="s">
        <v>93</v>
      </c>
      <c r="O1849" s="11" t="s">
        <v>94</v>
      </c>
      <c r="P1849" s="11" t="s">
        <v>95</v>
      </c>
      <c r="Q1849" s="13" t="n">
        <f aca="false">F1849*H1849</f>
        <v>87921059</v>
      </c>
      <c r="R1849" s="13" t="n">
        <f aca="false">G1849*H1849</f>
        <v>83130000</v>
      </c>
      <c r="S1849" s="13" t="n">
        <f aca="false">Q1849-R1849</f>
        <v>4791059</v>
      </c>
      <c r="T1849" s="14" t="n">
        <f aca="false">IFERROR(S1849/Q1849,0)</f>
        <v>0.0544927353525166</v>
      </c>
      <c r="U1849" s="15" t="str">
        <f aca="false">TEXT(A1849,"yyyy-mm")</f>
        <v>2022-11</v>
      </c>
    </row>
    <row r="1850" customFormat="false" ht="15" hidden="false" customHeight="false" outlineLevel="0" collapsed="false">
      <c r="A1850" s="10" t="n">
        <v>44890</v>
      </c>
      <c r="B1850" s="11" t="s">
        <v>1982</v>
      </c>
      <c r="C1850" s="11" t="s">
        <v>141</v>
      </c>
      <c r="D1850" s="11" t="s">
        <v>138</v>
      </c>
      <c r="E1850" s="11" t="s">
        <v>142</v>
      </c>
      <c r="F1850" s="12" t="n">
        <v>2805124</v>
      </c>
      <c r="G1850" s="12" t="n">
        <v>2178000</v>
      </c>
      <c r="H1850" s="11" t="n">
        <v>14</v>
      </c>
      <c r="I1850" s="11" t="s">
        <v>69</v>
      </c>
      <c r="J1850" s="11" t="s">
        <v>112</v>
      </c>
      <c r="K1850" s="11" t="s">
        <v>113</v>
      </c>
      <c r="L1850" s="11" t="s">
        <v>82</v>
      </c>
      <c r="M1850" s="11" t="s">
        <v>157</v>
      </c>
      <c r="N1850" s="11" t="s">
        <v>123</v>
      </c>
      <c r="O1850" s="11" t="s">
        <v>60</v>
      </c>
      <c r="P1850" s="11" t="s">
        <v>106</v>
      </c>
      <c r="Q1850" s="13" t="n">
        <f aca="false">F1850*H1850</f>
        <v>39271736</v>
      </c>
      <c r="R1850" s="13" t="n">
        <f aca="false">G1850*H1850</f>
        <v>30492000</v>
      </c>
      <c r="S1850" s="13" t="n">
        <f aca="false">Q1850-R1850</f>
        <v>8779736</v>
      </c>
      <c r="T1850" s="14" t="n">
        <f aca="false">IFERROR(S1850/Q1850,0)</f>
        <v>0.22356373550688</v>
      </c>
      <c r="U1850" s="15" t="str">
        <f aca="false">TEXT(A1850,"yyyy-mm")</f>
        <v>2022-11</v>
      </c>
    </row>
    <row r="1851" customFormat="false" ht="15" hidden="false" customHeight="false" outlineLevel="0" collapsed="false">
      <c r="A1851" s="10" t="n">
        <v>44890</v>
      </c>
      <c r="B1851" s="11" t="s">
        <v>1983</v>
      </c>
      <c r="C1851" s="11" t="s">
        <v>146</v>
      </c>
      <c r="D1851" s="11" t="s">
        <v>138</v>
      </c>
      <c r="E1851" s="11" t="s">
        <v>139</v>
      </c>
      <c r="F1851" s="12" t="n">
        <v>2728100</v>
      </c>
      <c r="G1851" s="12" t="n">
        <v>2321000</v>
      </c>
      <c r="H1851" s="11" t="n">
        <v>18</v>
      </c>
      <c r="I1851" s="11" t="s">
        <v>69</v>
      </c>
      <c r="J1851" s="11" t="s">
        <v>80</v>
      </c>
      <c r="K1851" s="11" t="s">
        <v>81</v>
      </c>
      <c r="L1851" s="11" t="s">
        <v>82</v>
      </c>
      <c r="M1851" s="11" t="s">
        <v>73</v>
      </c>
      <c r="N1851" s="11" t="s">
        <v>99</v>
      </c>
      <c r="O1851" s="11" t="s">
        <v>100</v>
      </c>
      <c r="P1851" s="11" t="s">
        <v>101</v>
      </c>
      <c r="Q1851" s="13" t="n">
        <f aca="false">F1851*H1851</f>
        <v>49105800</v>
      </c>
      <c r="R1851" s="13" t="n">
        <f aca="false">G1851*H1851</f>
        <v>41778000</v>
      </c>
      <c r="S1851" s="13" t="n">
        <f aca="false">Q1851-R1851</f>
        <v>7327800</v>
      </c>
      <c r="T1851" s="14" t="n">
        <f aca="false">IFERROR(S1851/Q1851,0)</f>
        <v>0.149224735163667</v>
      </c>
      <c r="U1851" s="15" t="str">
        <f aca="false">TEXT(A1851,"yyyy-mm")</f>
        <v>2022-11</v>
      </c>
    </row>
    <row r="1852" customFormat="false" ht="15" hidden="false" customHeight="false" outlineLevel="0" collapsed="false">
      <c r="A1852" s="10" t="n">
        <v>44890</v>
      </c>
      <c r="B1852" s="11" t="s">
        <v>1984</v>
      </c>
      <c r="C1852" s="11" t="s">
        <v>148</v>
      </c>
      <c r="D1852" s="11" t="s">
        <v>138</v>
      </c>
      <c r="E1852" s="11" t="s">
        <v>122</v>
      </c>
      <c r="F1852" s="12" t="n">
        <v>4941716</v>
      </c>
      <c r="G1852" s="12" t="n">
        <v>4456000</v>
      </c>
      <c r="H1852" s="11" t="n">
        <v>26</v>
      </c>
      <c r="I1852" s="11" t="s">
        <v>69</v>
      </c>
      <c r="J1852" s="11" t="s">
        <v>70</v>
      </c>
      <c r="K1852" s="11" t="s">
        <v>71</v>
      </c>
      <c r="L1852" s="11" t="s">
        <v>72</v>
      </c>
      <c r="M1852" s="11" t="s">
        <v>73</v>
      </c>
      <c r="N1852" s="11" t="s">
        <v>173</v>
      </c>
      <c r="O1852" s="11" t="s">
        <v>174</v>
      </c>
      <c r="P1852" s="11" t="s">
        <v>95</v>
      </c>
      <c r="Q1852" s="13" t="n">
        <f aca="false">F1852*H1852</f>
        <v>128484616</v>
      </c>
      <c r="R1852" s="13" t="n">
        <f aca="false">G1852*H1852</f>
        <v>115856000</v>
      </c>
      <c r="S1852" s="13" t="n">
        <f aca="false">Q1852-R1852</f>
        <v>12628616</v>
      </c>
      <c r="T1852" s="14" t="n">
        <f aca="false">IFERROR(S1852/Q1852,0)</f>
        <v>0.0982889344511097</v>
      </c>
      <c r="U1852" s="15" t="str">
        <f aca="false">TEXT(A1852,"yyyy-mm")</f>
        <v>2022-11</v>
      </c>
    </row>
    <row r="1853" customFormat="false" ht="15" hidden="false" customHeight="false" outlineLevel="0" collapsed="false">
      <c r="A1853" s="10" t="n">
        <v>44893</v>
      </c>
      <c r="B1853" s="11" t="s">
        <v>1985</v>
      </c>
      <c r="C1853" s="11" t="s">
        <v>66</v>
      </c>
      <c r="D1853" s="11" t="s">
        <v>67</v>
      </c>
      <c r="E1853" s="11" t="s">
        <v>68</v>
      </c>
      <c r="F1853" s="12" t="n">
        <v>3048952</v>
      </c>
      <c r="G1853" s="12" t="n">
        <v>2560000</v>
      </c>
      <c r="H1853" s="11" t="n">
        <v>6</v>
      </c>
      <c r="I1853" s="11" t="s">
        <v>69</v>
      </c>
      <c r="J1853" s="11" t="s">
        <v>80</v>
      </c>
      <c r="K1853" s="11" t="s">
        <v>81</v>
      </c>
      <c r="L1853" s="11" t="s">
        <v>82</v>
      </c>
      <c r="M1853" s="11" t="s">
        <v>73</v>
      </c>
      <c r="N1853" s="11" t="s">
        <v>104</v>
      </c>
      <c r="O1853" s="11" t="s">
        <v>105</v>
      </c>
      <c r="P1853" s="11" t="s">
        <v>106</v>
      </c>
      <c r="Q1853" s="13" t="n">
        <f aca="false">F1853*H1853</f>
        <v>18293712</v>
      </c>
      <c r="R1853" s="13" t="n">
        <f aca="false">G1853*H1853</f>
        <v>15360000</v>
      </c>
      <c r="S1853" s="13" t="n">
        <f aca="false">Q1853-R1853</f>
        <v>2933712</v>
      </c>
      <c r="T1853" s="14" t="n">
        <f aca="false">IFERROR(S1853/Q1853,0)</f>
        <v>0.160367234380863</v>
      </c>
      <c r="U1853" s="15" t="str">
        <f aca="false">TEXT(A1853,"yyyy-mm")</f>
        <v>2022-11</v>
      </c>
    </row>
    <row r="1854" customFormat="false" ht="15" hidden="false" customHeight="false" outlineLevel="0" collapsed="false">
      <c r="A1854" s="10" t="n">
        <v>44893</v>
      </c>
      <c r="B1854" s="11" t="s">
        <v>1986</v>
      </c>
      <c r="C1854" s="11" t="s">
        <v>78</v>
      </c>
      <c r="D1854" s="11" t="s">
        <v>67</v>
      </c>
      <c r="E1854" s="11" t="s">
        <v>79</v>
      </c>
      <c r="F1854" s="12" t="n">
        <v>1870000</v>
      </c>
      <c r="G1854" s="12" t="n">
        <v>1650000</v>
      </c>
      <c r="H1854" s="11" t="n">
        <v>6</v>
      </c>
      <c r="I1854" s="11" t="s">
        <v>69</v>
      </c>
      <c r="J1854" s="11" t="s">
        <v>80</v>
      </c>
      <c r="K1854" s="11" t="s">
        <v>81</v>
      </c>
      <c r="L1854" s="11" t="s">
        <v>82</v>
      </c>
      <c r="M1854" s="11" t="s">
        <v>73</v>
      </c>
      <c r="N1854" s="11" t="s">
        <v>109</v>
      </c>
      <c r="O1854" s="11" t="s">
        <v>75</v>
      </c>
      <c r="P1854" s="11" t="s">
        <v>95</v>
      </c>
      <c r="Q1854" s="13" t="n">
        <f aca="false">F1854*H1854</f>
        <v>11220000</v>
      </c>
      <c r="R1854" s="13" t="n">
        <f aca="false">G1854*H1854</f>
        <v>9900000</v>
      </c>
      <c r="S1854" s="13" t="n">
        <f aca="false">Q1854-R1854</f>
        <v>1320000</v>
      </c>
      <c r="T1854" s="14" t="n">
        <f aca="false">IFERROR(S1854/Q1854,0)</f>
        <v>0.117647058823529</v>
      </c>
      <c r="U1854" s="15" t="str">
        <f aca="false">TEXT(A1854,"yyyy-mm")</f>
        <v>2022-11</v>
      </c>
    </row>
    <row r="1855" customFormat="false" ht="15" hidden="false" customHeight="false" outlineLevel="0" collapsed="false">
      <c r="A1855" s="10" t="n">
        <v>44894</v>
      </c>
      <c r="B1855" s="11" t="s">
        <v>1987</v>
      </c>
      <c r="C1855" s="11" t="s">
        <v>84</v>
      </c>
      <c r="D1855" s="11" t="s">
        <v>67</v>
      </c>
      <c r="E1855" s="11" t="s">
        <v>85</v>
      </c>
      <c r="F1855" s="12" t="n">
        <v>2600000</v>
      </c>
      <c r="G1855" s="12" t="n">
        <v>2300000</v>
      </c>
      <c r="H1855" s="11" t="n">
        <v>18</v>
      </c>
      <c r="I1855" s="11" t="s">
        <v>69</v>
      </c>
      <c r="J1855" s="11" t="s">
        <v>70</v>
      </c>
      <c r="K1855" s="11" t="s">
        <v>71</v>
      </c>
      <c r="L1855" s="11" t="s">
        <v>72</v>
      </c>
      <c r="M1855" s="11" t="s">
        <v>73</v>
      </c>
      <c r="N1855" s="11" t="s">
        <v>93</v>
      </c>
      <c r="O1855" s="11" t="s">
        <v>94</v>
      </c>
      <c r="P1855" s="11" t="s">
        <v>95</v>
      </c>
      <c r="Q1855" s="13" t="n">
        <f aca="false">F1855*H1855</f>
        <v>46800000</v>
      </c>
      <c r="R1855" s="13" t="n">
        <f aca="false">G1855*H1855</f>
        <v>41400000</v>
      </c>
      <c r="S1855" s="13" t="n">
        <f aca="false">Q1855-R1855</f>
        <v>5400000</v>
      </c>
      <c r="T1855" s="14" t="n">
        <f aca="false">IFERROR(S1855/Q1855,0)</f>
        <v>0.115384615384615</v>
      </c>
      <c r="U1855" s="15" t="str">
        <f aca="false">TEXT(A1855,"yyyy-mm")</f>
        <v>2022-11</v>
      </c>
    </row>
    <row r="1856" customFormat="false" ht="15" hidden="false" customHeight="false" outlineLevel="0" collapsed="false">
      <c r="A1856" s="10" t="n">
        <v>44894</v>
      </c>
      <c r="B1856" s="11" t="s">
        <v>1988</v>
      </c>
      <c r="C1856" s="11" t="s">
        <v>92</v>
      </c>
      <c r="D1856" s="11" t="s">
        <v>67</v>
      </c>
      <c r="E1856" s="11" t="s">
        <v>79</v>
      </c>
      <c r="F1856" s="12" t="n">
        <v>3577480</v>
      </c>
      <c r="G1856" s="12" t="n">
        <v>3100000</v>
      </c>
      <c r="H1856" s="11" t="n">
        <v>25</v>
      </c>
      <c r="I1856" s="11" t="s">
        <v>69</v>
      </c>
      <c r="J1856" s="11" t="s">
        <v>70</v>
      </c>
      <c r="K1856" s="11" t="s">
        <v>71</v>
      </c>
      <c r="L1856" s="11" t="s">
        <v>72</v>
      </c>
      <c r="M1856" s="11" t="s">
        <v>73</v>
      </c>
      <c r="N1856" s="11" t="s">
        <v>123</v>
      </c>
      <c r="O1856" s="11" t="s">
        <v>60</v>
      </c>
      <c r="P1856" s="11" t="s">
        <v>106</v>
      </c>
      <c r="Q1856" s="13" t="n">
        <f aca="false">F1856*H1856</f>
        <v>89437000</v>
      </c>
      <c r="R1856" s="13" t="n">
        <f aca="false">G1856*H1856</f>
        <v>77500000</v>
      </c>
      <c r="S1856" s="13" t="n">
        <f aca="false">Q1856-R1856</f>
        <v>11937000</v>
      </c>
      <c r="T1856" s="14" t="n">
        <f aca="false">IFERROR(S1856/Q1856,0)</f>
        <v>0.133468251394837</v>
      </c>
      <c r="U1856" s="15" t="str">
        <f aca="false">TEXT(A1856,"yyyy-mm")</f>
        <v>2022-11</v>
      </c>
    </row>
    <row r="1857" customFormat="false" ht="15" hidden="false" customHeight="false" outlineLevel="0" collapsed="false">
      <c r="A1857" s="10" t="n">
        <v>44895</v>
      </c>
      <c r="B1857" s="11" t="s">
        <v>1989</v>
      </c>
      <c r="C1857" s="11" t="s">
        <v>97</v>
      </c>
      <c r="D1857" s="11" t="s">
        <v>67</v>
      </c>
      <c r="E1857" s="11" t="s">
        <v>98</v>
      </c>
      <c r="F1857" s="12" t="n">
        <v>4969724</v>
      </c>
      <c r="G1857" s="12" t="n">
        <v>4121560</v>
      </c>
      <c r="H1857" s="11" t="n">
        <v>16</v>
      </c>
      <c r="I1857" s="11" t="s">
        <v>69</v>
      </c>
      <c r="J1857" s="11" t="s">
        <v>80</v>
      </c>
      <c r="K1857" s="11" t="s">
        <v>81</v>
      </c>
      <c r="L1857" s="11" t="s">
        <v>82</v>
      </c>
      <c r="M1857" s="11" t="s">
        <v>73</v>
      </c>
      <c r="N1857" s="11" t="s">
        <v>133</v>
      </c>
      <c r="O1857" s="11" t="s">
        <v>60</v>
      </c>
      <c r="P1857" s="11" t="s">
        <v>76</v>
      </c>
      <c r="Q1857" s="13" t="n">
        <f aca="false">F1857*H1857</f>
        <v>79515584</v>
      </c>
      <c r="R1857" s="13" t="n">
        <f aca="false">G1857*H1857</f>
        <v>65944960</v>
      </c>
      <c r="S1857" s="13" t="n">
        <f aca="false">Q1857-R1857</f>
        <v>13570624</v>
      </c>
      <c r="T1857" s="14" t="n">
        <f aca="false">IFERROR(S1857/Q1857,0)</f>
        <v>0.170666218083741</v>
      </c>
      <c r="U1857" s="15" t="str">
        <f aca="false">TEXT(A1857,"yyyy-mm")</f>
        <v>2022-11</v>
      </c>
    </row>
    <row r="1858" customFormat="false" ht="15" hidden="false" customHeight="false" outlineLevel="0" collapsed="false">
      <c r="A1858" s="10" t="n">
        <v>44895</v>
      </c>
      <c r="B1858" s="11" t="s">
        <v>1990</v>
      </c>
      <c r="C1858" s="11" t="s">
        <v>103</v>
      </c>
      <c r="D1858" s="11" t="s">
        <v>67</v>
      </c>
      <c r="E1858" s="11" t="s">
        <v>68</v>
      </c>
      <c r="F1858" s="12" t="n">
        <v>3319925</v>
      </c>
      <c r="G1858" s="12" t="n">
        <v>2800000</v>
      </c>
      <c r="H1858" s="11" t="n">
        <v>3</v>
      </c>
      <c r="I1858" s="11" t="s">
        <v>69</v>
      </c>
      <c r="J1858" s="11" t="s">
        <v>112</v>
      </c>
      <c r="K1858" s="11" t="s">
        <v>113</v>
      </c>
      <c r="L1858" s="11" t="s">
        <v>82</v>
      </c>
      <c r="M1858" s="11" t="s">
        <v>157</v>
      </c>
      <c r="N1858" s="11" t="s">
        <v>149</v>
      </c>
      <c r="O1858" s="11" t="s">
        <v>150</v>
      </c>
      <c r="P1858" s="11" t="s">
        <v>151</v>
      </c>
      <c r="Q1858" s="13" t="n">
        <f aca="false">F1858*H1858</f>
        <v>9959775</v>
      </c>
      <c r="R1858" s="13" t="n">
        <f aca="false">G1858*H1858</f>
        <v>8400000</v>
      </c>
      <c r="S1858" s="13" t="n">
        <f aca="false">Q1858-R1858</f>
        <v>1559775</v>
      </c>
      <c r="T1858" s="14" t="n">
        <f aca="false">IFERROR(S1858/Q1858,0)</f>
        <v>0.15660745348163</v>
      </c>
      <c r="U1858" s="15" t="str">
        <f aca="false">TEXT(A1858,"yyyy-mm")</f>
        <v>2022-11</v>
      </c>
    </row>
    <row r="1859" customFormat="false" ht="15" hidden="false" customHeight="false" outlineLevel="0" collapsed="false">
      <c r="A1859" s="10" t="n">
        <v>44895</v>
      </c>
      <c r="B1859" s="11" t="s">
        <v>1991</v>
      </c>
      <c r="C1859" s="11" t="s">
        <v>108</v>
      </c>
      <c r="D1859" s="11" t="s">
        <v>67</v>
      </c>
      <c r="E1859" s="11" t="s">
        <v>68</v>
      </c>
      <c r="F1859" s="12" t="n">
        <v>4757880</v>
      </c>
      <c r="G1859" s="12" t="n">
        <v>3450000</v>
      </c>
      <c r="H1859" s="11" t="n">
        <v>2</v>
      </c>
      <c r="I1859" s="11" t="s">
        <v>69</v>
      </c>
      <c r="J1859" s="11" t="s">
        <v>80</v>
      </c>
      <c r="K1859" s="11" t="s">
        <v>81</v>
      </c>
      <c r="L1859" s="11" t="s">
        <v>82</v>
      </c>
      <c r="M1859" s="11" t="s">
        <v>73</v>
      </c>
      <c r="N1859" s="11" t="s">
        <v>104</v>
      </c>
      <c r="O1859" s="11" t="s">
        <v>105</v>
      </c>
      <c r="P1859" s="11" t="s">
        <v>106</v>
      </c>
      <c r="Q1859" s="13" t="n">
        <f aca="false">F1859*H1859</f>
        <v>9515760</v>
      </c>
      <c r="R1859" s="13" t="n">
        <f aca="false">G1859*H1859</f>
        <v>6900000</v>
      </c>
      <c r="S1859" s="13" t="n">
        <f aca="false">Q1859-R1859</f>
        <v>2615760</v>
      </c>
      <c r="T1859" s="14" t="n">
        <f aca="false">IFERROR(S1859/Q1859,0)</f>
        <v>0.274887134606169</v>
      </c>
      <c r="U1859" s="15" t="str">
        <f aca="false">TEXT(A1859,"yyyy-mm")</f>
        <v>2022-11</v>
      </c>
    </row>
    <row r="1860" customFormat="false" ht="15" hidden="false" customHeight="false" outlineLevel="0" collapsed="false">
      <c r="A1860" s="10" t="n">
        <v>44895</v>
      </c>
      <c r="B1860" s="11" t="s">
        <v>1992</v>
      </c>
      <c r="C1860" s="11" t="s">
        <v>111</v>
      </c>
      <c r="D1860" s="11" t="s">
        <v>67</v>
      </c>
      <c r="E1860" s="11" t="s">
        <v>79</v>
      </c>
      <c r="F1860" s="12" t="n">
        <v>3545808</v>
      </c>
      <c r="G1860" s="12" t="n">
        <v>3350000</v>
      </c>
      <c r="H1860" s="11" t="n">
        <v>15</v>
      </c>
      <c r="I1860" s="11" t="s">
        <v>69</v>
      </c>
      <c r="J1860" s="11" t="s">
        <v>80</v>
      </c>
      <c r="K1860" s="11" t="s">
        <v>81</v>
      </c>
      <c r="L1860" s="11" t="s">
        <v>82</v>
      </c>
      <c r="M1860" s="11" t="s">
        <v>73</v>
      </c>
      <c r="N1860" s="11" t="s">
        <v>143</v>
      </c>
      <c r="O1860" s="11" t="s">
        <v>144</v>
      </c>
      <c r="P1860" s="11" t="s">
        <v>101</v>
      </c>
      <c r="Q1860" s="13" t="n">
        <f aca="false">F1860*H1860</f>
        <v>53187120</v>
      </c>
      <c r="R1860" s="13" t="n">
        <f aca="false">G1860*H1860</f>
        <v>50250000</v>
      </c>
      <c r="S1860" s="13" t="n">
        <f aca="false">Q1860-R1860</f>
        <v>2937120</v>
      </c>
      <c r="T1860" s="14" t="n">
        <f aca="false">IFERROR(S1860/Q1860,0)</f>
        <v>0.0552223921881839</v>
      </c>
      <c r="U1860" s="15" t="str">
        <f aca="false">TEXT(A1860,"yyyy-mm")</f>
        <v>2022-11</v>
      </c>
    </row>
    <row r="1861" customFormat="false" ht="15" hidden="false" customHeight="false" outlineLevel="0" collapsed="false">
      <c r="A1861" s="10" t="n">
        <v>44895</v>
      </c>
      <c r="B1861" s="11" t="s">
        <v>1993</v>
      </c>
      <c r="C1861" s="11" t="s">
        <v>115</v>
      </c>
      <c r="D1861" s="11" t="s">
        <v>67</v>
      </c>
      <c r="E1861" s="11" t="s">
        <v>98</v>
      </c>
      <c r="F1861" s="12" t="n">
        <v>4200743</v>
      </c>
      <c r="G1861" s="12" t="n">
        <v>4101000</v>
      </c>
      <c r="H1861" s="11" t="n">
        <v>12</v>
      </c>
      <c r="I1861" s="11" t="s">
        <v>86</v>
      </c>
      <c r="J1861" s="11" t="s">
        <v>87</v>
      </c>
      <c r="K1861" s="11" t="s">
        <v>88</v>
      </c>
      <c r="L1861" s="11" t="s">
        <v>89</v>
      </c>
      <c r="M1861" s="11" t="s">
        <v>90</v>
      </c>
      <c r="N1861" s="11" t="s">
        <v>93</v>
      </c>
      <c r="O1861" s="11" t="s">
        <v>94</v>
      </c>
      <c r="P1861" s="11" t="s">
        <v>95</v>
      </c>
      <c r="Q1861" s="13" t="n">
        <f aca="false">F1861*H1861</f>
        <v>50408916</v>
      </c>
      <c r="R1861" s="13" t="n">
        <f aca="false">G1861*H1861</f>
        <v>49212000</v>
      </c>
      <c r="S1861" s="13" t="n">
        <f aca="false">Q1861-R1861</f>
        <v>1196916</v>
      </c>
      <c r="T1861" s="14" t="n">
        <f aca="false">IFERROR(S1861/Q1861,0)</f>
        <v>0.023744132883159</v>
      </c>
      <c r="U1861" s="15" t="str">
        <f aca="false">TEXT(A1861,"yyyy-mm")</f>
        <v>2022-11</v>
      </c>
    </row>
    <row r="1862" customFormat="false" ht="15" hidden="false" customHeight="false" outlineLevel="0" collapsed="false">
      <c r="A1862" s="10" t="n">
        <v>44895</v>
      </c>
      <c r="B1862" s="11" t="s">
        <v>1994</v>
      </c>
      <c r="C1862" s="11" t="s">
        <v>117</v>
      </c>
      <c r="D1862" s="11" t="s">
        <v>118</v>
      </c>
      <c r="E1862" s="11" t="s">
        <v>119</v>
      </c>
      <c r="F1862" s="12" t="n">
        <v>8220549</v>
      </c>
      <c r="G1862" s="12" t="n">
        <v>6500000</v>
      </c>
      <c r="H1862" s="11" t="n">
        <v>6</v>
      </c>
      <c r="I1862" s="11" t="s">
        <v>69</v>
      </c>
      <c r="J1862" s="11" t="s">
        <v>80</v>
      </c>
      <c r="K1862" s="11" t="s">
        <v>81</v>
      </c>
      <c r="L1862" s="11" t="s">
        <v>82</v>
      </c>
      <c r="M1862" s="11" t="s">
        <v>73</v>
      </c>
      <c r="N1862" s="11" t="s">
        <v>74</v>
      </c>
      <c r="O1862" s="11" t="s">
        <v>75</v>
      </c>
      <c r="P1862" s="11" t="s">
        <v>76</v>
      </c>
      <c r="Q1862" s="13" t="n">
        <f aca="false">F1862*H1862</f>
        <v>49323294</v>
      </c>
      <c r="R1862" s="13" t="n">
        <f aca="false">G1862*H1862</f>
        <v>39000000</v>
      </c>
      <c r="S1862" s="13" t="n">
        <f aca="false">Q1862-R1862</f>
        <v>10323294</v>
      </c>
      <c r="T1862" s="14" t="n">
        <f aca="false">IFERROR(S1862/Q1862,0)</f>
        <v>0.209298551714733</v>
      </c>
      <c r="U1862" s="15" t="str">
        <f aca="false">TEXT(A1862,"yyyy-mm")</f>
        <v>2022-11</v>
      </c>
    </row>
    <row r="1863" customFormat="false" ht="15" hidden="false" customHeight="false" outlineLevel="0" collapsed="false">
      <c r="A1863" s="10" t="n">
        <v>44896</v>
      </c>
      <c r="B1863" s="11" t="s">
        <v>1995</v>
      </c>
      <c r="C1863" s="11" t="s">
        <v>121</v>
      </c>
      <c r="D1863" s="11" t="s">
        <v>118</v>
      </c>
      <c r="E1863" s="11" t="s">
        <v>122</v>
      </c>
      <c r="F1863" s="12" t="n">
        <v>7687274</v>
      </c>
      <c r="G1863" s="12" t="n">
        <v>6500000</v>
      </c>
      <c r="H1863" s="11" t="n">
        <v>8</v>
      </c>
      <c r="I1863" s="11" t="s">
        <v>69</v>
      </c>
      <c r="J1863" s="11" t="s">
        <v>80</v>
      </c>
      <c r="K1863" s="11" t="s">
        <v>81</v>
      </c>
      <c r="L1863" s="11" t="s">
        <v>82</v>
      </c>
      <c r="M1863" s="11" t="s">
        <v>73</v>
      </c>
      <c r="N1863" s="11" t="s">
        <v>149</v>
      </c>
      <c r="O1863" s="11" t="s">
        <v>150</v>
      </c>
      <c r="P1863" s="11" t="s">
        <v>151</v>
      </c>
      <c r="Q1863" s="13" t="n">
        <f aca="false">F1863*H1863</f>
        <v>61498192</v>
      </c>
      <c r="R1863" s="13" t="n">
        <f aca="false">G1863*H1863</f>
        <v>52000000</v>
      </c>
      <c r="S1863" s="13" t="n">
        <f aca="false">Q1863-R1863</f>
        <v>9498192</v>
      </c>
      <c r="T1863" s="14" t="n">
        <f aca="false">IFERROR(S1863/Q1863,0)</f>
        <v>0.154446686822923</v>
      </c>
      <c r="U1863" s="15" t="str">
        <f aca="false">TEXT(A1863,"yyyy-mm")</f>
        <v>2022-12</v>
      </c>
    </row>
    <row r="1864" customFormat="false" ht="15" hidden="false" customHeight="false" outlineLevel="0" collapsed="false">
      <c r="A1864" s="10" t="n">
        <v>44896</v>
      </c>
      <c r="B1864" s="11" t="s">
        <v>1996</v>
      </c>
      <c r="C1864" s="11" t="s">
        <v>125</v>
      </c>
      <c r="D1864" s="11" t="s">
        <v>118</v>
      </c>
      <c r="E1864" s="11" t="s">
        <v>126</v>
      </c>
      <c r="F1864" s="12" t="n">
        <v>5684211</v>
      </c>
      <c r="G1864" s="12" t="n">
        <v>4300000</v>
      </c>
      <c r="H1864" s="11" t="n">
        <v>3</v>
      </c>
      <c r="I1864" s="11" t="s">
        <v>69</v>
      </c>
      <c r="J1864" s="11" t="s">
        <v>70</v>
      </c>
      <c r="K1864" s="11" t="s">
        <v>71</v>
      </c>
      <c r="L1864" s="11" t="s">
        <v>72</v>
      </c>
      <c r="M1864" s="11" t="s">
        <v>73</v>
      </c>
      <c r="N1864" s="11" t="s">
        <v>93</v>
      </c>
      <c r="O1864" s="11" t="s">
        <v>94</v>
      </c>
      <c r="P1864" s="11" t="s">
        <v>95</v>
      </c>
      <c r="Q1864" s="13" t="n">
        <f aca="false">F1864*H1864</f>
        <v>17052633</v>
      </c>
      <c r="R1864" s="13" t="n">
        <f aca="false">G1864*H1864</f>
        <v>12900000</v>
      </c>
      <c r="S1864" s="13" t="n">
        <f aca="false">Q1864-R1864</f>
        <v>4152633</v>
      </c>
      <c r="T1864" s="14" t="n">
        <f aca="false">IFERROR(S1864/Q1864,0)</f>
        <v>0.243518581558637</v>
      </c>
      <c r="U1864" s="15" t="str">
        <f aca="false">TEXT(A1864,"yyyy-mm")</f>
        <v>2022-12</v>
      </c>
    </row>
    <row r="1865" customFormat="false" ht="15" hidden="false" customHeight="false" outlineLevel="0" collapsed="false">
      <c r="A1865" s="10" t="n">
        <v>44896</v>
      </c>
      <c r="B1865" s="11" t="s">
        <v>1997</v>
      </c>
      <c r="C1865" s="11" t="s">
        <v>128</v>
      </c>
      <c r="D1865" s="11" t="s">
        <v>118</v>
      </c>
      <c r="E1865" s="11" t="s">
        <v>119</v>
      </c>
      <c r="F1865" s="12" t="n">
        <v>3370302</v>
      </c>
      <c r="G1865" s="12" t="n">
        <v>2100000</v>
      </c>
      <c r="H1865" s="11" t="n">
        <v>18</v>
      </c>
      <c r="I1865" s="11" t="s">
        <v>69</v>
      </c>
      <c r="J1865" s="11" t="s">
        <v>112</v>
      </c>
      <c r="K1865" s="11" t="s">
        <v>113</v>
      </c>
      <c r="L1865" s="11" t="s">
        <v>82</v>
      </c>
      <c r="M1865" s="11" t="s">
        <v>157</v>
      </c>
      <c r="N1865" s="11" t="s">
        <v>173</v>
      </c>
      <c r="O1865" s="11" t="s">
        <v>174</v>
      </c>
      <c r="P1865" s="11" t="s">
        <v>95</v>
      </c>
      <c r="Q1865" s="13" t="n">
        <f aca="false">F1865*H1865</f>
        <v>60665436</v>
      </c>
      <c r="R1865" s="13" t="n">
        <f aca="false">G1865*H1865</f>
        <v>37800000</v>
      </c>
      <c r="S1865" s="13" t="n">
        <f aca="false">Q1865-R1865</f>
        <v>22865436</v>
      </c>
      <c r="T1865" s="14" t="n">
        <f aca="false">IFERROR(S1865/Q1865,0)</f>
        <v>0.37691043710623</v>
      </c>
      <c r="U1865" s="15" t="str">
        <f aca="false">TEXT(A1865,"yyyy-mm")</f>
        <v>2022-12</v>
      </c>
    </row>
    <row r="1866" customFormat="false" ht="15" hidden="false" customHeight="false" outlineLevel="0" collapsed="false">
      <c r="A1866" s="10" t="n">
        <v>44896</v>
      </c>
      <c r="B1866" s="11" t="s">
        <v>1998</v>
      </c>
      <c r="C1866" s="11" t="s">
        <v>130</v>
      </c>
      <c r="D1866" s="11" t="s">
        <v>118</v>
      </c>
      <c r="E1866" s="11" t="s">
        <v>68</v>
      </c>
      <c r="F1866" s="12" t="n">
        <v>2852897</v>
      </c>
      <c r="G1866" s="12" t="n">
        <v>2450000</v>
      </c>
      <c r="H1866" s="11" t="n">
        <v>15</v>
      </c>
      <c r="I1866" s="11" t="s">
        <v>69</v>
      </c>
      <c r="J1866" s="11" t="s">
        <v>80</v>
      </c>
      <c r="K1866" s="11" t="s">
        <v>81</v>
      </c>
      <c r="L1866" s="11" t="s">
        <v>82</v>
      </c>
      <c r="M1866" s="11" t="s">
        <v>73</v>
      </c>
      <c r="N1866" s="11" t="s">
        <v>74</v>
      </c>
      <c r="O1866" s="11" t="s">
        <v>75</v>
      </c>
      <c r="P1866" s="11" t="s">
        <v>76</v>
      </c>
      <c r="Q1866" s="13" t="n">
        <f aca="false">F1866*H1866</f>
        <v>42793455</v>
      </c>
      <c r="R1866" s="13" t="n">
        <f aca="false">G1866*H1866</f>
        <v>36750000</v>
      </c>
      <c r="S1866" s="13" t="n">
        <f aca="false">Q1866-R1866</f>
        <v>6043455</v>
      </c>
      <c r="T1866" s="14" t="n">
        <f aca="false">IFERROR(S1866/Q1866,0)</f>
        <v>0.141223815651249</v>
      </c>
      <c r="U1866" s="15" t="str">
        <f aca="false">TEXT(A1866,"yyyy-mm")</f>
        <v>2022-12</v>
      </c>
    </row>
    <row r="1867" customFormat="false" ht="15" hidden="false" customHeight="false" outlineLevel="0" collapsed="false">
      <c r="A1867" s="10" t="n">
        <v>44897</v>
      </c>
      <c r="B1867" s="11" t="s">
        <v>1999</v>
      </c>
      <c r="C1867" s="11" t="s">
        <v>132</v>
      </c>
      <c r="D1867" s="11" t="s">
        <v>118</v>
      </c>
      <c r="E1867" s="11" t="s">
        <v>68</v>
      </c>
      <c r="F1867" s="12" t="n">
        <v>4803603</v>
      </c>
      <c r="G1867" s="12" t="n">
        <v>4121000</v>
      </c>
      <c r="H1867" s="11" t="n">
        <v>25</v>
      </c>
      <c r="I1867" s="11" t="s">
        <v>69</v>
      </c>
      <c r="J1867" s="11" t="s">
        <v>70</v>
      </c>
      <c r="K1867" s="11" t="s">
        <v>71</v>
      </c>
      <c r="L1867" s="11" t="s">
        <v>72</v>
      </c>
      <c r="M1867" s="11" t="s">
        <v>73</v>
      </c>
      <c r="N1867" s="11" t="s">
        <v>149</v>
      </c>
      <c r="O1867" s="11" t="s">
        <v>150</v>
      </c>
      <c r="P1867" s="11" t="s">
        <v>151</v>
      </c>
      <c r="Q1867" s="13" t="n">
        <f aca="false">F1867*H1867</f>
        <v>120090075</v>
      </c>
      <c r="R1867" s="13" t="n">
        <f aca="false">G1867*H1867</f>
        <v>103025000</v>
      </c>
      <c r="S1867" s="13" t="n">
        <f aca="false">Q1867-R1867</f>
        <v>17065075</v>
      </c>
      <c r="T1867" s="14" t="n">
        <f aca="false">IFERROR(S1867/Q1867,0)</f>
        <v>0.142102292799801</v>
      </c>
      <c r="U1867" s="15" t="str">
        <f aca="false">TEXT(A1867,"yyyy-mm")</f>
        <v>2022-12</v>
      </c>
    </row>
    <row r="1868" customFormat="false" ht="15" hidden="false" customHeight="false" outlineLevel="0" collapsed="false">
      <c r="A1868" s="10" t="n">
        <v>44897</v>
      </c>
      <c r="B1868" s="11" t="s">
        <v>2000</v>
      </c>
      <c r="C1868" s="11" t="s">
        <v>135</v>
      </c>
      <c r="D1868" s="11" t="s">
        <v>118</v>
      </c>
      <c r="E1868" s="11" t="s">
        <v>68</v>
      </c>
      <c r="F1868" s="12" t="n">
        <v>5689947</v>
      </c>
      <c r="G1868" s="12" t="n">
        <v>5235000</v>
      </c>
      <c r="H1868" s="11" t="n">
        <v>5</v>
      </c>
      <c r="I1868" s="11" t="s">
        <v>69</v>
      </c>
      <c r="J1868" s="11" t="s">
        <v>70</v>
      </c>
      <c r="K1868" s="11" t="s">
        <v>71</v>
      </c>
      <c r="L1868" s="11" t="s">
        <v>72</v>
      </c>
      <c r="M1868" s="11" t="s">
        <v>73</v>
      </c>
      <c r="N1868" s="11" t="s">
        <v>173</v>
      </c>
      <c r="O1868" s="11" t="s">
        <v>174</v>
      </c>
      <c r="P1868" s="11" t="s">
        <v>95</v>
      </c>
      <c r="Q1868" s="13" t="n">
        <f aca="false">F1868*H1868</f>
        <v>28449735</v>
      </c>
      <c r="R1868" s="13" t="n">
        <f aca="false">G1868*H1868</f>
        <v>26175000</v>
      </c>
      <c r="S1868" s="13" t="n">
        <f aca="false">Q1868-R1868</f>
        <v>2274735</v>
      </c>
      <c r="T1868" s="14" t="n">
        <f aca="false">IFERROR(S1868/Q1868,0)</f>
        <v>0.0799562807878527</v>
      </c>
      <c r="U1868" s="15" t="str">
        <f aca="false">TEXT(A1868,"yyyy-mm")</f>
        <v>2022-12</v>
      </c>
    </row>
    <row r="1869" customFormat="false" ht="15" hidden="false" customHeight="false" outlineLevel="0" collapsed="false">
      <c r="A1869" s="10" t="n">
        <v>44899</v>
      </c>
      <c r="B1869" s="11" t="s">
        <v>2001</v>
      </c>
      <c r="C1869" s="11" t="s">
        <v>137</v>
      </c>
      <c r="D1869" s="11" t="s">
        <v>138</v>
      </c>
      <c r="E1869" s="11" t="s">
        <v>139</v>
      </c>
      <c r="F1869" s="12" t="n">
        <v>5171827</v>
      </c>
      <c r="G1869" s="12" t="n">
        <v>4890000</v>
      </c>
      <c r="H1869" s="11" t="n">
        <v>4</v>
      </c>
      <c r="I1869" s="11" t="s">
        <v>86</v>
      </c>
      <c r="J1869" s="11" t="s">
        <v>87</v>
      </c>
      <c r="K1869" s="11" t="s">
        <v>88</v>
      </c>
      <c r="L1869" s="11" t="s">
        <v>89</v>
      </c>
      <c r="M1869" s="11" t="s">
        <v>90</v>
      </c>
      <c r="N1869" s="11" t="s">
        <v>93</v>
      </c>
      <c r="O1869" s="11" t="s">
        <v>94</v>
      </c>
      <c r="P1869" s="11" t="s">
        <v>95</v>
      </c>
      <c r="Q1869" s="13" t="n">
        <f aca="false">F1869*H1869</f>
        <v>20687308</v>
      </c>
      <c r="R1869" s="13" t="n">
        <f aca="false">G1869*H1869</f>
        <v>19560000</v>
      </c>
      <c r="S1869" s="13" t="n">
        <f aca="false">Q1869-R1869</f>
        <v>1127308</v>
      </c>
      <c r="T1869" s="14" t="n">
        <f aca="false">IFERROR(S1869/Q1869,0)</f>
        <v>0.0544927353525166</v>
      </c>
      <c r="U1869" s="15" t="str">
        <f aca="false">TEXT(A1869,"yyyy-mm")</f>
        <v>2022-12</v>
      </c>
    </row>
    <row r="1870" customFormat="false" ht="15" hidden="false" customHeight="false" outlineLevel="0" collapsed="false">
      <c r="A1870" s="10" t="n">
        <v>44899</v>
      </c>
      <c r="B1870" s="11" t="s">
        <v>2002</v>
      </c>
      <c r="C1870" s="11" t="s">
        <v>141</v>
      </c>
      <c r="D1870" s="11" t="s">
        <v>138</v>
      </c>
      <c r="E1870" s="11" t="s">
        <v>142</v>
      </c>
      <c r="F1870" s="12" t="n">
        <v>2805124</v>
      </c>
      <c r="G1870" s="12" t="n">
        <v>2178000</v>
      </c>
      <c r="H1870" s="11" t="n">
        <v>11</v>
      </c>
      <c r="I1870" s="11" t="s">
        <v>69</v>
      </c>
      <c r="J1870" s="11" t="s">
        <v>80</v>
      </c>
      <c r="K1870" s="11" t="s">
        <v>81</v>
      </c>
      <c r="L1870" s="11" t="s">
        <v>82</v>
      </c>
      <c r="M1870" s="11" t="s">
        <v>73</v>
      </c>
      <c r="N1870" s="11" t="s">
        <v>104</v>
      </c>
      <c r="O1870" s="11" t="s">
        <v>105</v>
      </c>
      <c r="P1870" s="11" t="s">
        <v>106</v>
      </c>
      <c r="Q1870" s="13" t="n">
        <f aca="false">F1870*H1870</f>
        <v>30856364</v>
      </c>
      <c r="R1870" s="13" t="n">
        <f aca="false">G1870*H1870</f>
        <v>23958000</v>
      </c>
      <c r="S1870" s="13" t="n">
        <f aca="false">Q1870-R1870</f>
        <v>6898364</v>
      </c>
      <c r="T1870" s="14" t="n">
        <f aca="false">IFERROR(S1870/Q1870,0)</f>
        <v>0.22356373550688</v>
      </c>
      <c r="U1870" s="15" t="str">
        <f aca="false">TEXT(A1870,"yyyy-mm")</f>
        <v>2022-12</v>
      </c>
    </row>
    <row r="1871" customFormat="false" ht="15" hidden="false" customHeight="false" outlineLevel="0" collapsed="false">
      <c r="A1871" s="10" t="n">
        <v>44899</v>
      </c>
      <c r="B1871" s="11" t="s">
        <v>2003</v>
      </c>
      <c r="C1871" s="11" t="s">
        <v>146</v>
      </c>
      <c r="D1871" s="11" t="s">
        <v>138</v>
      </c>
      <c r="E1871" s="11" t="s">
        <v>139</v>
      </c>
      <c r="F1871" s="12" t="n">
        <v>2728100</v>
      </c>
      <c r="G1871" s="12" t="n">
        <v>2321000</v>
      </c>
      <c r="H1871" s="11" t="n">
        <v>5</v>
      </c>
      <c r="I1871" s="11" t="s">
        <v>86</v>
      </c>
      <c r="J1871" s="11" t="s">
        <v>87</v>
      </c>
      <c r="K1871" s="11" t="s">
        <v>88</v>
      </c>
      <c r="L1871" s="11" t="s">
        <v>89</v>
      </c>
      <c r="M1871" s="11" t="s">
        <v>90</v>
      </c>
      <c r="N1871" s="11" t="s">
        <v>173</v>
      </c>
      <c r="O1871" s="11" t="s">
        <v>174</v>
      </c>
      <c r="P1871" s="11" t="s">
        <v>95</v>
      </c>
      <c r="Q1871" s="13" t="n">
        <f aca="false">F1871*H1871</f>
        <v>13640500</v>
      </c>
      <c r="R1871" s="13" t="n">
        <f aca="false">G1871*H1871</f>
        <v>11605000</v>
      </c>
      <c r="S1871" s="13" t="n">
        <f aca="false">Q1871-R1871</f>
        <v>2035500</v>
      </c>
      <c r="T1871" s="14" t="n">
        <f aca="false">IFERROR(S1871/Q1871,0)</f>
        <v>0.149224735163667</v>
      </c>
      <c r="U1871" s="15" t="str">
        <f aca="false">TEXT(A1871,"yyyy-mm")</f>
        <v>2022-12</v>
      </c>
    </row>
    <row r="1872" customFormat="false" ht="15" hidden="false" customHeight="false" outlineLevel="0" collapsed="false">
      <c r="A1872" s="10" t="n">
        <v>44899</v>
      </c>
      <c r="B1872" s="11" t="s">
        <v>2004</v>
      </c>
      <c r="C1872" s="11" t="s">
        <v>148</v>
      </c>
      <c r="D1872" s="11" t="s">
        <v>138</v>
      </c>
      <c r="E1872" s="11" t="s">
        <v>122</v>
      </c>
      <c r="F1872" s="12" t="n">
        <v>4941716</v>
      </c>
      <c r="G1872" s="12" t="n">
        <v>4456000</v>
      </c>
      <c r="H1872" s="11" t="n">
        <v>21</v>
      </c>
      <c r="I1872" s="11" t="s">
        <v>69</v>
      </c>
      <c r="J1872" s="11" t="s">
        <v>70</v>
      </c>
      <c r="K1872" s="11" t="s">
        <v>71</v>
      </c>
      <c r="L1872" s="11" t="s">
        <v>72</v>
      </c>
      <c r="M1872" s="11" t="s">
        <v>73</v>
      </c>
      <c r="N1872" s="11" t="s">
        <v>99</v>
      </c>
      <c r="O1872" s="11" t="s">
        <v>100</v>
      </c>
      <c r="P1872" s="11" t="s">
        <v>101</v>
      </c>
      <c r="Q1872" s="13" t="n">
        <f aca="false">F1872*H1872</f>
        <v>103776036</v>
      </c>
      <c r="R1872" s="13" t="n">
        <f aca="false">G1872*H1872</f>
        <v>93576000</v>
      </c>
      <c r="S1872" s="13" t="n">
        <f aca="false">Q1872-R1872</f>
        <v>10200036</v>
      </c>
      <c r="T1872" s="14" t="n">
        <f aca="false">IFERROR(S1872/Q1872,0)</f>
        <v>0.0982889344511097</v>
      </c>
      <c r="U1872" s="15" t="str">
        <f aca="false">TEXT(A1872,"yyyy-mm")</f>
        <v>2022-12</v>
      </c>
    </row>
    <row r="1873" customFormat="false" ht="15" hidden="false" customHeight="false" outlineLevel="0" collapsed="false">
      <c r="A1873" s="10" t="n">
        <v>44899</v>
      </c>
      <c r="B1873" s="11" t="s">
        <v>2005</v>
      </c>
      <c r="C1873" s="11" t="s">
        <v>66</v>
      </c>
      <c r="D1873" s="11" t="s">
        <v>67</v>
      </c>
      <c r="E1873" s="11" t="s">
        <v>68</v>
      </c>
      <c r="F1873" s="12" t="n">
        <v>3048952</v>
      </c>
      <c r="G1873" s="12" t="n">
        <v>2560000</v>
      </c>
      <c r="H1873" s="11" t="n">
        <v>19</v>
      </c>
      <c r="I1873" s="11" t="s">
        <v>69</v>
      </c>
      <c r="J1873" s="11" t="s">
        <v>70</v>
      </c>
      <c r="K1873" s="11" t="s">
        <v>71</v>
      </c>
      <c r="L1873" s="11" t="s">
        <v>72</v>
      </c>
      <c r="M1873" s="11" t="s">
        <v>73</v>
      </c>
      <c r="N1873" s="11" t="s">
        <v>109</v>
      </c>
      <c r="O1873" s="11" t="s">
        <v>75</v>
      </c>
      <c r="P1873" s="11" t="s">
        <v>95</v>
      </c>
      <c r="Q1873" s="13" t="n">
        <f aca="false">F1873*H1873</f>
        <v>57930088</v>
      </c>
      <c r="R1873" s="13" t="n">
        <f aca="false">G1873*H1873</f>
        <v>48640000</v>
      </c>
      <c r="S1873" s="13" t="n">
        <f aca="false">Q1873-R1873</f>
        <v>9290088</v>
      </c>
      <c r="T1873" s="14" t="n">
        <f aca="false">IFERROR(S1873/Q1873,0)</f>
        <v>0.160367234380863</v>
      </c>
      <c r="U1873" s="15" t="str">
        <f aca="false">TEXT(A1873,"yyyy-mm")</f>
        <v>2022-12</v>
      </c>
    </row>
    <row r="1874" customFormat="false" ht="15" hidden="false" customHeight="false" outlineLevel="0" collapsed="false">
      <c r="A1874" s="10" t="n">
        <v>44900</v>
      </c>
      <c r="B1874" s="11" t="s">
        <v>2006</v>
      </c>
      <c r="C1874" s="11" t="s">
        <v>78</v>
      </c>
      <c r="D1874" s="11" t="s">
        <v>67</v>
      </c>
      <c r="E1874" s="11" t="s">
        <v>79</v>
      </c>
      <c r="F1874" s="12" t="n">
        <v>1870000</v>
      </c>
      <c r="G1874" s="12" t="n">
        <v>1650000</v>
      </c>
      <c r="H1874" s="11" t="n">
        <v>7</v>
      </c>
      <c r="I1874" s="11" t="s">
        <v>69</v>
      </c>
      <c r="J1874" s="11" t="s">
        <v>80</v>
      </c>
      <c r="K1874" s="11" t="s">
        <v>81</v>
      </c>
      <c r="L1874" s="11" t="s">
        <v>82</v>
      </c>
      <c r="M1874" s="11" t="s">
        <v>73</v>
      </c>
      <c r="N1874" s="11" t="s">
        <v>143</v>
      </c>
      <c r="O1874" s="11" t="s">
        <v>144</v>
      </c>
      <c r="P1874" s="11" t="s">
        <v>101</v>
      </c>
      <c r="Q1874" s="13" t="n">
        <f aca="false">F1874*H1874</f>
        <v>13090000</v>
      </c>
      <c r="R1874" s="13" t="n">
        <f aca="false">G1874*H1874</f>
        <v>11550000</v>
      </c>
      <c r="S1874" s="13" t="n">
        <f aca="false">Q1874-R1874</f>
        <v>1540000</v>
      </c>
      <c r="T1874" s="14" t="n">
        <f aca="false">IFERROR(S1874/Q1874,0)</f>
        <v>0.117647058823529</v>
      </c>
      <c r="U1874" s="15" t="str">
        <f aca="false">TEXT(A1874,"yyyy-mm")</f>
        <v>2022-12</v>
      </c>
    </row>
    <row r="1875" customFormat="false" ht="15" hidden="false" customHeight="false" outlineLevel="0" collapsed="false">
      <c r="A1875" s="10" t="n">
        <v>44900</v>
      </c>
      <c r="B1875" s="11" t="s">
        <v>2007</v>
      </c>
      <c r="C1875" s="11" t="s">
        <v>84</v>
      </c>
      <c r="D1875" s="11" t="s">
        <v>67</v>
      </c>
      <c r="E1875" s="11" t="s">
        <v>85</v>
      </c>
      <c r="F1875" s="12" t="n">
        <v>2600000</v>
      </c>
      <c r="G1875" s="12" t="n">
        <v>2300000</v>
      </c>
      <c r="H1875" s="11" t="n">
        <v>9</v>
      </c>
      <c r="I1875" s="11" t="s">
        <v>69</v>
      </c>
      <c r="J1875" s="11" t="s">
        <v>70</v>
      </c>
      <c r="K1875" s="11" t="s">
        <v>71</v>
      </c>
      <c r="L1875" s="11" t="s">
        <v>72</v>
      </c>
      <c r="M1875" s="11" t="s">
        <v>73</v>
      </c>
      <c r="N1875" s="11" t="s">
        <v>143</v>
      </c>
      <c r="O1875" s="11" t="s">
        <v>144</v>
      </c>
      <c r="P1875" s="11" t="s">
        <v>101</v>
      </c>
      <c r="Q1875" s="13" t="n">
        <f aca="false">F1875*H1875</f>
        <v>23400000</v>
      </c>
      <c r="R1875" s="13" t="n">
        <f aca="false">G1875*H1875</f>
        <v>20700000</v>
      </c>
      <c r="S1875" s="13" t="n">
        <f aca="false">Q1875-R1875</f>
        <v>2700000</v>
      </c>
      <c r="T1875" s="14" t="n">
        <f aca="false">IFERROR(S1875/Q1875,0)</f>
        <v>0.115384615384615</v>
      </c>
      <c r="U1875" s="15" t="str">
        <f aca="false">TEXT(A1875,"yyyy-mm")</f>
        <v>2022-12</v>
      </c>
    </row>
    <row r="1876" customFormat="false" ht="15" hidden="false" customHeight="false" outlineLevel="0" collapsed="false">
      <c r="A1876" s="10" t="n">
        <v>44900</v>
      </c>
      <c r="B1876" s="11" t="s">
        <v>2008</v>
      </c>
      <c r="C1876" s="11" t="s">
        <v>92</v>
      </c>
      <c r="D1876" s="11" t="s">
        <v>67</v>
      </c>
      <c r="E1876" s="11" t="s">
        <v>79</v>
      </c>
      <c r="F1876" s="12" t="n">
        <v>3577480</v>
      </c>
      <c r="G1876" s="12" t="n">
        <v>3100000</v>
      </c>
      <c r="H1876" s="11" t="n">
        <v>11</v>
      </c>
      <c r="I1876" s="11" t="s">
        <v>86</v>
      </c>
      <c r="J1876" s="11" t="s">
        <v>87</v>
      </c>
      <c r="K1876" s="11" t="s">
        <v>88</v>
      </c>
      <c r="L1876" s="11" t="s">
        <v>89</v>
      </c>
      <c r="M1876" s="11" t="s">
        <v>90</v>
      </c>
      <c r="N1876" s="11" t="s">
        <v>143</v>
      </c>
      <c r="O1876" s="11" t="s">
        <v>144</v>
      </c>
      <c r="P1876" s="11" t="s">
        <v>101</v>
      </c>
      <c r="Q1876" s="13" t="n">
        <f aca="false">F1876*H1876</f>
        <v>39352280</v>
      </c>
      <c r="R1876" s="13" t="n">
        <f aca="false">G1876*H1876</f>
        <v>34100000</v>
      </c>
      <c r="S1876" s="13" t="n">
        <f aca="false">Q1876-R1876</f>
        <v>5252280</v>
      </c>
      <c r="T1876" s="14" t="n">
        <f aca="false">IFERROR(S1876/Q1876,0)</f>
        <v>0.133468251394837</v>
      </c>
      <c r="U1876" s="15" t="str">
        <f aca="false">TEXT(A1876,"yyyy-mm")</f>
        <v>2022-12</v>
      </c>
    </row>
    <row r="1877" customFormat="false" ht="15" hidden="false" customHeight="false" outlineLevel="0" collapsed="false">
      <c r="A1877" s="10" t="n">
        <v>44902</v>
      </c>
      <c r="B1877" s="11" t="s">
        <v>2009</v>
      </c>
      <c r="C1877" s="11" t="s">
        <v>97</v>
      </c>
      <c r="D1877" s="11" t="s">
        <v>67</v>
      </c>
      <c r="E1877" s="11" t="s">
        <v>98</v>
      </c>
      <c r="F1877" s="12" t="n">
        <v>4969724</v>
      </c>
      <c r="G1877" s="12" t="n">
        <v>4121560</v>
      </c>
      <c r="H1877" s="11" t="n">
        <v>11</v>
      </c>
      <c r="I1877" s="11" t="s">
        <v>69</v>
      </c>
      <c r="J1877" s="11" t="s">
        <v>80</v>
      </c>
      <c r="K1877" s="11" t="s">
        <v>81</v>
      </c>
      <c r="L1877" s="11" t="s">
        <v>82</v>
      </c>
      <c r="M1877" s="11" t="s">
        <v>73</v>
      </c>
      <c r="N1877" s="11" t="s">
        <v>104</v>
      </c>
      <c r="O1877" s="11" t="s">
        <v>105</v>
      </c>
      <c r="P1877" s="11" t="s">
        <v>106</v>
      </c>
      <c r="Q1877" s="13" t="n">
        <f aca="false">F1877*H1877</f>
        <v>54666964</v>
      </c>
      <c r="R1877" s="13" t="n">
        <f aca="false">G1877*H1877</f>
        <v>45337160</v>
      </c>
      <c r="S1877" s="13" t="n">
        <f aca="false">Q1877-R1877</f>
        <v>9329804</v>
      </c>
      <c r="T1877" s="14" t="n">
        <f aca="false">IFERROR(S1877/Q1877,0)</f>
        <v>0.170666218083741</v>
      </c>
      <c r="U1877" s="15" t="str">
        <f aca="false">TEXT(A1877,"yyyy-mm")</f>
        <v>2022-12</v>
      </c>
    </row>
    <row r="1878" customFormat="false" ht="15" hidden="false" customHeight="false" outlineLevel="0" collapsed="false">
      <c r="A1878" s="10" t="n">
        <v>44902</v>
      </c>
      <c r="B1878" s="11" t="s">
        <v>2010</v>
      </c>
      <c r="C1878" s="11" t="s">
        <v>103</v>
      </c>
      <c r="D1878" s="11" t="s">
        <v>67</v>
      </c>
      <c r="E1878" s="11" t="s">
        <v>68</v>
      </c>
      <c r="F1878" s="12" t="n">
        <v>3319925</v>
      </c>
      <c r="G1878" s="12" t="n">
        <v>2800000</v>
      </c>
      <c r="H1878" s="11" t="n">
        <v>13</v>
      </c>
      <c r="I1878" s="11" t="s">
        <v>69</v>
      </c>
      <c r="J1878" s="11" t="s">
        <v>80</v>
      </c>
      <c r="K1878" s="11" t="s">
        <v>81</v>
      </c>
      <c r="L1878" s="11" t="s">
        <v>82</v>
      </c>
      <c r="M1878" s="11" t="s">
        <v>73</v>
      </c>
      <c r="N1878" s="11" t="s">
        <v>109</v>
      </c>
      <c r="O1878" s="11" t="s">
        <v>75</v>
      </c>
      <c r="P1878" s="11" t="s">
        <v>95</v>
      </c>
      <c r="Q1878" s="13" t="n">
        <f aca="false">F1878*H1878</f>
        <v>43159025</v>
      </c>
      <c r="R1878" s="13" t="n">
        <f aca="false">G1878*H1878</f>
        <v>36400000</v>
      </c>
      <c r="S1878" s="13" t="n">
        <f aca="false">Q1878-R1878</f>
        <v>6759025</v>
      </c>
      <c r="T1878" s="14" t="n">
        <f aca="false">IFERROR(S1878/Q1878,0)</f>
        <v>0.15660745348163</v>
      </c>
      <c r="U1878" s="15" t="str">
        <f aca="false">TEXT(A1878,"yyyy-mm")</f>
        <v>2022-12</v>
      </c>
    </row>
    <row r="1879" customFormat="false" ht="15" hidden="false" customHeight="false" outlineLevel="0" collapsed="false">
      <c r="A1879" s="10" t="n">
        <v>44902</v>
      </c>
      <c r="B1879" s="11" t="s">
        <v>2011</v>
      </c>
      <c r="C1879" s="11" t="s">
        <v>108</v>
      </c>
      <c r="D1879" s="11" t="s">
        <v>67</v>
      </c>
      <c r="E1879" s="11" t="s">
        <v>68</v>
      </c>
      <c r="F1879" s="12" t="n">
        <v>4757880</v>
      </c>
      <c r="G1879" s="12" t="n">
        <v>3450000</v>
      </c>
      <c r="H1879" s="11" t="n">
        <v>2</v>
      </c>
      <c r="I1879" s="11" t="s">
        <v>69</v>
      </c>
      <c r="J1879" s="11" t="s">
        <v>80</v>
      </c>
      <c r="K1879" s="11" t="s">
        <v>81</v>
      </c>
      <c r="L1879" s="11" t="s">
        <v>82</v>
      </c>
      <c r="M1879" s="11" t="s">
        <v>73</v>
      </c>
      <c r="N1879" s="11" t="s">
        <v>173</v>
      </c>
      <c r="O1879" s="11" t="s">
        <v>174</v>
      </c>
      <c r="P1879" s="11" t="s">
        <v>95</v>
      </c>
      <c r="Q1879" s="13" t="n">
        <f aca="false">F1879*H1879</f>
        <v>9515760</v>
      </c>
      <c r="R1879" s="13" t="n">
        <f aca="false">G1879*H1879</f>
        <v>6900000</v>
      </c>
      <c r="S1879" s="13" t="n">
        <f aca="false">Q1879-R1879</f>
        <v>2615760</v>
      </c>
      <c r="T1879" s="14" t="n">
        <f aca="false">IFERROR(S1879/Q1879,0)</f>
        <v>0.274887134606169</v>
      </c>
      <c r="U1879" s="15" t="str">
        <f aca="false">TEXT(A1879,"yyyy-mm")</f>
        <v>2022-12</v>
      </c>
    </row>
    <row r="1880" customFormat="false" ht="15" hidden="false" customHeight="false" outlineLevel="0" collapsed="false">
      <c r="A1880" s="10" t="n">
        <v>44902</v>
      </c>
      <c r="B1880" s="11" t="s">
        <v>2012</v>
      </c>
      <c r="C1880" s="11" t="s">
        <v>111</v>
      </c>
      <c r="D1880" s="11" t="s">
        <v>67</v>
      </c>
      <c r="E1880" s="11" t="s">
        <v>79</v>
      </c>
      <c r="F1880" s="12" t="n">
        <v>3545808</v>
      </c>
      <c r="G1880" s="12" t="n">
        <v>3350000</v>
      </c>
      <c r="H1880" s="11" t="n">
        <v>12</v>
      </c>
      <c r="I1880" s="11" t="s">
        <v>69</v>
      </c>
      <c r="J1880" s="11" t="s">
        <v>70</v>
      </c>
      <c r="K1880" s="11" t="s">
        <v>71</v>
      </c>
      <c r="L1880" s="11" t="s">
        <v>72</v>
      </c>
      <c r="M1880" s="11" t="s">
        <v>73</v>
      </c>
      <c r="N1880" s="11" t="s">
        <v>173</v>
      </c>
      <c r="O1880" s="11" t="s">
        <v>174</v>
      </c>
      <c r="P1880" s="11" t="s">
        <v>95</v>
      </c>
      <c r="Q1880" s="13" t="n">
        <f aca="false">F1880*H1880</f>
        <v>42549696</v>
      </c>
      <c r="R1880" s="13" t="n">
        <f aca="false">G1880*H1880</f>
        <v>40200000</v>
      </c>
      <c r="S1880" s="13" t="n">
        <f aca="false">Q1880-R1880</f>
        <v>2349696</v>
      </c>
      <c r="T1880" s="14" t="n">
        <f aca="false">IFERROR(S1880/Q1880,0)</f>
        <v>0.0552223921881839</v>
      </c>
      <c r="U1880" s="15" t="str">
        <f aca="false">TEXT(A1880,"yyyy-mm")</f>
        <v>2022-12</v>
      </c>
    </row>
    <row r="1881" customFormat="false" ht="15" hidden="false" customHeight="false" outlineLevel="0" collapsed="false">
      <c r="A1881" s="10" t="n">
        <v>44904</v>
      </c>
      <c r="B1881" s="11" t="s">
        <v>2013</v>
      </c>
      <c r="C1881" s="11" t="s">
        <v>115</v>
      </c>
      <c r="D1881" s="11" t="s">
        <v>67</v>
      </c>
      <c r="E1881" s="11" t="s">
        <v>98</v>
      </c>
      <c r="F1881" s="12" t="n">
        <v>4200743</v>
      </c>
      <c r="G1881" s="12" t="n">
        <v>4101000</v>
      </c>
      <c r="H1881" s="11" t="n">
        <v>11</v>
      </c>
      <c r="I1881" s="11" t="s">
        <v>69</v>
      </c>
      <c r="J1881" s="11" t="s">
        <v>80</v>
      </c>
      <c r="K1881" s="11" t="s">
        <v>81</v>
      </c>
      <c r="L1881" s="11" t="s">
        <v>82</v>
      </c>
      <c r="M1881" s="11" t="s">
        <v>73</v>
      </c>
      <c r="N1881" s="11" t="s">
        <v>74</v>
      </c>
      <c r="O1881" s="11" t="s">
        <v>75</v>
      </c>
      <c r="P1881" s="11" t="s">
        <v>76</v>
      </c>
      <c r="Q1881" s="13" t="n">
        <f aca="false">F1881*H1881</f>
        <v>46208173</v>
      </c>
      <c r="R1881" s="13" t="n">
        <f aca="false">G1881*H1881</f>
        <v>45111000</v>
      </c>
      <c r="S1881" s="13" t="n">
        <f aca="false">Q1881-R1881</f>
        <v>1097173</v>
      </c>
      <c r="T1881" s="14" t="n">
        <f aca="false">IFERROR(S1881/Q1881,0)</f>
        <v>0.023744132883159</v>
      </c>
      <c r="U1881" s="15" t="str">
        <f aca="false">TEXT(A1881,"yyyy-mm")</f>
        <v>2022-12</v>
      </c>
    </row>
    <row r="1882" customFormat="false" ht="15" hidden="false" customHeight="false" outlineLevel="0" collapsed="false">
      <c r="A1882" s="10" t="n">
        <v>44904</v>
      </c>
      <c r="B1882" s="11" t="s">
        <v>2014</v>
      </c>
      <c r="C1882" s="11" t="s">
        <v>117</v>
      </c>
      <c r="D1882" s="11" t="s">
        <v>118</v>
      </c>
      <c r="E1882" s="11" t="s">
        <v>119</v>
      </c>
      <c r="F1882" s="12" t="n">
        <v>8220549</v>
      </c>
      <c r="G1882" s="12" t="n">
        <v>6500000</v>
      </c>
      <c r="H1882" s="11" t="n">
        <v>6</v>
      </c>
      <c r="I1882" s="11" t="s">
        <v>69</v>
      </c>
      <c r="J1882" s="11" t="s">
        <v>112</v>
      </c>
      <c r="K1882" s="11" t="s">
        <v>113</v>
      </c>
      <c r="L1882" s="11" t="s">
        <v>82</v>
      </c>
      <c r="M1882" s="11" t="s">
        <v>157</v>
      </c>
      <c r="N1882" s="11" t="s">
        <v>143</v>
      </c>
      <c r="O1882" s="11" t="s">
        <v>144</v>
      </c>
      <c r="P1882" s="11" t="s">
        <v>101</v>
      </c>
      <c r="Q1882" s="13" t="n">
        <f aca="false">F1882*H1882</f>
        <v>49323294</v>
      </c>
      <c r="R1882" s="13" t="n">
        <f aca="false">G1882*H1882</f>
        <v>39000000</v>
      </c>
      <c r="S1882" s="13" t="n">
        <f aca="false">Q1882-R1882</f>
        <v>10323294</v>
      </c>
      <c r="T1882" s="14" t="n">
        <f aca="false">IFERROR(S1882/Q1882,0)</f>
        <v>0.209298551714733</v>
      </c>
      <c r="U1882" s="15" t="str">
        <f aca="false">TEXT(A1882,"yyyy-mm")</f>
        <v>2022-12</v>
      </c>
    </row>
    <row r="1883" customFormat="false" ht="15" hidden="false" customHeight="false" outlineLevel="0" collapsed="false">
      <c r="A1883" s="10" t="n">
        <v>44904</v>
      </c>
      <c r="B1883" s="11" t="s">
        <v>2015</v>
      </c>
      <c r="C1883" s="11" t="s">
        <v>121</v>
      </c>
      <c r="D1883" s="11" t="s">
        <v>118</v>
      </c>
      <c r="E1883" s="11" t="s">
        <v>122</v>
      </c>
      <c r="F1883" s="12" t="n">
        <v>7687274</v>
      </c>
      <c r="G1883" s="12" t="n">
        <v>6500000</v>
      </c>
      <c r="H1883" s="11" t="n">
        <v>18</v>
      </c>
      <c r="I1883" s="11" t="s">
        <v>69</v>
      </c>
      <c r="J1883" s="11" t="s">
        <v>80</v>
      </c>
      <c r="K1883" s="11" t="s">
        <v>81</v>
      </c>
      <c r="L1883" s="11" t="s">
        <v>82</v>
      </c>
      <c r="M1883" s="11" t="s">
        <v>73</v>
      </c>
      <c r="N1883" s="11" t="s">
        <v>104</v>
      </c>
      <c r="O1883" s="11" t="s">
        <v>105</v>
      </c>
      <c r="P1883" s="11" t="s">
        <v>106</v>
      </c>
      <c r="Q1883" s="13" t="n">
        <f aca="false">F1883*H1883</f>
        <v>138370932</v>
      </c>
      <c r="R1883" s="13" t="n">
        <f aca="false">G1883*H1883</f>
        <v>117000000</v>
      </c>
      <c r="S1883" s="13" t="n">
        <f aca="false">Q1883-R1883</f>
        <v>21370932</v>
      </c>
      <c r="T1883" s="14" t="n">
        <f aca="false">IFERROR(S1883/Q1883,0)</f>
        <v>0.154446686822923</v>
      </c>
      <c r="U1883" s="15" t="str">
        <f aca="false">TEXT(A1883,"yyyy-mm")</f>
        <v>2022-12</v>
      </c>
    </row>
    <row r="1884" customFormat="false" ht="15" hidden="false" customHeight="false" outlineLevel="0" collapsed="false">
      <c r="A1884" s="10" t="n">
        <v>44904</v>
      </c>
      <c r="B1884" s="11" t="s">
        <v>2016</v>
      </c>
      <c r="C1884" s="11" t="s">
        <v>125</v>
      </c>
      <c r="D1884" s="11" t="s">
        <v>118</v>
      </c>
      <c r="E1884" s="11" t="s">
        <v>126</v>
      </c>
      <c r="F1884" s="12" t="n">
        <v>5684211</v>
      </c>
      <c r="G1884" s="12" t="n">
        <v>4300000</v>
      </c>
      <c r="H1884" s="11" t="n">
        <v>2</v>
      </c>
      <c r="I1884" s="11" t="s">
        <v>69</v>
      </c>
      <c r="J1884" s="11" t="s">
        <v>80</v>
      </c>
      <c r="K1884" s="11" t="s">
        <v>81</v>
      </c>
      <c r="L1884" s="11" t="s">
        <v>82</v>
      </c>
      <c r="M1884" s="11" t="s">
        <v>73</v>
      </c>
      <c r="N1884" s="11" t="s">
        <v>149</v>
      </c>
      <c r="O1884" s="11" t="s">
        <v>150</v>
      </c>
      <c r="P1884" s="11" t="s">
        <v>151</v>
      </c>
      <c r="Q1884" s="13" t="n">
        <f aca="false">F1884*H1884</f>
        <v>11368422</v>
      </c>
      <c r="R1884" s="13" t="n">
        <f aca="false">G1884*H1884</f>
        <v>8600000</v>
      </c>
      <c r="S1884" s="13" t="n">
        <f aca="false">Q1884-R1884</f>
        <v>2768422</v>
      </c>
      <c r="T1884" s="14" t="n">
        <f aca="false">IFERROR(S1884/Q1884,0)</f>
        <v>0.243518581558637</v>
      </c>
      <c r="U1884" s="15" t="str">
        <f aca="false">TEXT(A1884,"yyyy-mm")</f>
        <v>2022-12</v>
      </c>
    </row>
    <row r="1885" customFormat="false" ht="15" hidden="false" customHeight="false" outlineLevel="0" collapsed="false">
      <c r="A1885" s="10" t="n">
        <v>44905</v>
      </c>
      <c r="B1885" s="11" t="s">
        <v>2017</v>
      </c>
      <c r="C1885" s="11" t="s">
        <v>128</v>
      </c>
      <c r="D1885" s="11" t="s">
        <v>118</v>
      </c>
      <c r="E1885" s="11" t="s">
        <v>119</v>
      </c>
      <c r="F1885" s="12" t="n">
        <v>3370302</v>
      </c>
      <c r="G1885" s="12" t="n">
        <v>2100000</v>
      </c>
      <c r="H1885" s="11" t="n">
        <v>26</v>
      </c>
      <c r="I1885" s="11" t="s">
        <v>69</v>
      </c>
      <c r="J1885" s="11" t="s">
        <v>80</v>
      </c>
      <c r="K1885" s="11" t="s">
        <v>81</v>
      </c>
      <c r="L1885" s="11" t="s">
        <v>82</v>
      </c>
      <c r="M1885" s="11" t="s">
        <v>73</v>
      </c>
      <c r="N1885" s="11" t="s">
        <v>104</v>
      </c>
      <c r="O1885" s="11" t="s">
        <v>105</v>
      </c>
      <c r="P1885" s="11" t="s">
        <v>106</v>
      </c>
      <c r="Q1885" s="13" t="n">
        <f aca="false">F1885*H1885</f>
        <v>87627852</v>
      </c>
      <c r="R1885" s="13" t="n">
        <f aca="false">G1885*H1885</f>
        <v>54600000</v>
      </c>
      <c r="S1885" s="13" t="n">
        <f aca="false">Q1885-R1885</f>
        <v>33027852</v>
      </c>
      <c r="T1885" s="14" t="n">
        <f aca="false">IFERROR(S1885/Q1885,0)</f>
        <v>0.37691043710623</v>
      </c>
      <c r="U1885" s="15" t="str">
        <f aca="false">TEXT(A1885,"yyyy-mm")</f>
        <v>2022-12</v>
      </c>
    </row>
    <row r="1886" customFormat="false" ht="15" hidden="false" customHeight="false" outlineLevel="0" collapsed="false">
      <c r="A1886" s="10" t="n">
        <v>44905</v>
      </c>
      <c r="B1886" s="11" t="s">
        <v>2018</v>
      </c>
      <c r="C1886" s="11" t="s">
        <v>130</v>
      </c>
      <c r="D1886" s="11" t="s">
        <v>118</v>
      </c>
      <c r="E1886" s="11" t="s">
        <v>68</v>
      </c>
      <c r="F1886" s="12" t="n">
        <v>2852897</v>
      </c>
      <c r="G1886" s="12" t="n">
        <v>2450000</v>
      </c>
      <c r="H1886" s="11" t="n">
        <v>11</v>
      </c>
      <c r="I1886" s="11" t="s">
        <v>69</v>
      </c>
      <c r="J1886" s="11" t="s">
        <v>80</v>
      </c>
      <c r="K1886" s="11" t="s">
        <v>81</v>
      </c>
      <c r="L1886" s="11" t="s">
        <v>82</v>
      </c>
      <c r="M1886" s="11" t="s">
        <v>73</v>
      </c>
      <c r="N1886" s="11" t="s">
        <v>173</v>
      </c>
      <c r="O1886" s="11" t="s">
        <v>174</v>
      </c>
      <c r="P1886" s="11" t="s">
        <v>95</v>
      </c>
      <c r="Q1886" s="13" t="n">
        <f aca="false">F1886*H1886</f>
        <v>31381867</v>
      </c>
      <c r="R1886" s="13" t="n">
        <f aca="false">G1886*H1886</f>
        <v>26950000</v>
      </c>
      <c r="S1886" s="13" t="n">
        <f aca="false">Q1886-R1886</f>
        <v>4431867</v>
      </c>
      <c r="T1886" s="14" t="n">
        <f aca="false">IFERROR(S1886/Q1886,0)</f>
        <v>0.141223815651249</v>
      </c>
      <c r="U1886" s="15" t="str">
        <f aca="false">TEXT(A1886,"yyyy-mm")</f>
        <v>2022-12</v>
      </c>
    </row>
    <row r="1887" customFormat="false" ht="15" hidden="false" customHeight="false" outlineLevel="0" collapsed="false">
      <c r="A1887" s="10" t="n">
        <v>44905</v>
      </c>
      <c r="B1887" s="11" t="s">
        <v>2019</v>
      </c>
      <c r="C1887" s="11" t="s">
        <v>132</v>
      </c>
      <c r="D1887" s="11" t="s">
        <v>118</v>
      </c>
      <c r="E1887" s="11" t="s">
        <v>68</v>
      </c>
      <c r="F1887" s="12" t="n">
        <v>4803603</v>
      </c>
      <c r="G1887" s="12" t="n">
        <v>4121000</v>
      </c>
      <c r="H1887" s="11" t="n">
        <v>24</v>
      </c>
      <c r="I1887" s="11" t="s">
        <v>86</v>
      </c>
      <c r="J1887" s="11" t="s">
        <v>87</v>
      </c>
      <c r="K1887" s="11" t="s">
        <v>88</v>
      </c>
      <c r="L1887" s="11" t="s">
        <v>89</v>
      </c>
      <c r="M1887" s="11" t="s">
        <v>90</v>
      </c>
      <c r="N1887" s="11" t="s">
        <v>133</v>
      </c>
      <c r="O1887" s="11" t="s">
        <v>60</v>
      </c>
      <c r="P1887" s="11" t="s">
        <v>76</v>
      </c>
      <c r="Q1887" s="13" t="n">
        <f aca="false">F1887*H1887</f>
        <v>115286472</v>
      </c>
      <c r="R1887" s="13" t="n">
        <f aca="false">G1887*H1887</f>
        <v>98904000</v>
      </c>
      <c r="S1887" s="13" t="n">
        <f aca="false">Q1887-R1887</f>
        <v>16382472</v>
      </c>
      <c r="T1887" s="14" t="n">
        <f aca="false">IFERROR(S1887/Q1887,0)</f>
        <v>0.142102292799801</v>
      </c>
      <c r="U1887" s="15" t="str">
        <f aca="false">TEXT(A1887,"yyyy-mm")</f>
        <v>2022-12</v>
      </c>
    </row>
    <row r="1888" customFormat="false" ht="15" hidden="false" customHeight="false" outlineLevel="0" collapsed="false">
      <c r="A1888" s="10" t="n">
        <v>44905</v>
      </c>
      <c r="B1888" s="11" t="s">
        <v>2020</v>
      </c>
      <c r="C1888" s="11" t="s">
        <v>135</v>
      </c>
      <c r="D1888" s="11" t="s">
        <v>118</v>
      </c>
      <c r="E1888" s="11" t="s">
        <v>68</v>
      </c>
      <c r="F1888" s="12" t="n">
        <v>5689947</v>
      </c>
      <c r="G1888" s="12" t="n">
        <v>5235000</v>
      </c>
      <c r="H1888" s="11" t="n">
        <v>23</v>
      </c>
      <c r="I1888" s="11" t="s">
        <v>69</v>
      </c>
      <c r="J1888" s="11" t="s">
        <v>112</v>
      </c>
      <c r="K1888" s="11" t="s">
        <v>113</v>
      </c>
      <c r="L1888" s="11" t="s">
        <v>82</v>
      </c>
      <c r="M1888" s="11" t="s">
        <v>157</v>
      </c>
      <c r="N1888" s="11" t="s">
        <v>133</v>
      </c>
      <c r="O1888" s="11" t="s">
        <v>60</v>
      </c>
      <c r="P1888" s="11" t="s">
        <v>76</v>
      </c>
      <c r="Q1888" s="13" t="n">
        <f aca="false">F1888*H1888</f>
        <v>130868781</v>
      </c>
      <c r="R1888" s="13" t="n">
        <f aca="false">G1888*H1888</f>
        <v>120405000</v>
      </c>
      <c r="S1888" s="13" t="n">
        <f aca="false">Q1888-R1888</f>
        <v>10463781</v>
      </c>
      <c r="T1888" s="14" t="n">
        <f aca="false">IFERROR(S1888/Q1888,0)</f>
        <v>0.0799562807878527</v>
      </c>
      <c r="U1888" s="15" t="str">
        <f aca="false">TEXT(A1888,"yyyy-mm")</f>
        <v>2022-12</v>
      </c>
    </row>
    <row r="1889" customFormat="false" ht="15" hidden="false" customHeight="false" outlineLevel="0" collapsed="false">
      <c r="A1889" s="10" t="n">
        <v>44905</v>
      </c>
      <c r="B1889" s="11" t="s">
        <v>2021</v>
      </c>
      <c r="C1889" s="11" t="s">
        <v>137</v>
      </c>
      <c r="D1889" s="11" t="s">
        <v>138</v>
      </c>
      <c r="E1889" s="11" t="s">
        <v>139</v>
      </c>
      <c r="F1889" s="12" t="n">
        <v>5171827</v>
      </c>
      <c r="G1889" s="12" t="n">
        <v>4890000</v>
      </c>
      <c r="H1889" s="11" t="n">
        <v>4</v>
      </c>
      <c r="I1889" s="11" t="s">
        <v>69</v>
      </c>
      <c r="J1889" s="11" t="s">
        <v>70</v>
      </c>
      <c r="K1889" s="11" t="s">
        <v>71</v>
      </c>
      <c r="L1889" s="11" t="s">
        <v>72</v>
      </c>
      <c r="M1889" s="11" t="s">
        <v>73</v>
      </c>
      <c r="N1889" s="11" t="s">
        <v>74</v>
      </c>
      <c r="O1889" s="11" t="s">
        <v>75</v>
      </c>
      <c r="P1889" s="11" t="s">
        <v>76</v>
      </c>
      <c r="Q1889" s="13" t="n">
        <f aca="false">F1889*H1889</f>
        <v>20687308</v>
      </c>
      <c r="R1889" s="13" t="n">
        <f aca="false">G1889*H1889</f>
        <v>19560000</v>
      </c>
      <c r="S1889" s="13" t="n">
        <f aca="false">Q1889-R1889</f>
        <v>1127308</v>
      </c>
      <c r="T1889" s="14" t="n">
        <f aca="false">IFERROR(S1889/Q1889,0)</f>
        <v>0.0544927353525166</v>
      </c>
      <c r="U1889" s="15" t="str">
        <f aca="false">TEXT(A1889,"yyyy-mm")</f>
        <v>2022-12</v>
      </c>
    </row>
    <row r="1890" customFormat="false" ht="15" hidden="false" customHeight="false" outlineLevel="0" collapsed="false">
      <c r="A1890" s="10" t="n">
        <v>44906</v>
      </c>
      <c r="B1890" s="11" t="s">
        <v>2022</v>
      </c>
      <c r="C1890" s="11" t="s">
        <v>141</v>
      </c>
      <c r="D1890" s="11" t="s">
        <v>138</v>
      </c>
      <c r="E1890" s="11" t="s">
        <v>142</v>
      </c>
      <c r="F1890" s="12" t="n">
        <v>2805124</v>
      </c>
      <c r="G1890" s="12" t="n">
        <v>2178000</v>
      </c>
      <c r="H1890" s="11" t="n">
        <v>30</v>
      </c>
      <c r="I1890" s="11" t="s">
        <v>86</v>
      </c>
      <c r="J1890" s="11" t="s">
        <v>87</v>
      </c>
      <c r="K1890" s="11" t="s">
        <v>88</v>
      </c>
      <c r="L1890" s="11" t="s">
        <v>89</v>
      </c>
      <c r="M1890" s="11" t="s">
        <v>90</v>
      </c>
      <c r="N1890" s="11" t="s">
        <v>74</v>
      </c>
      <c r="O1890" s="11" t="s">
        <v>75</v>
      </c>
      <c r="P1890" s="11" t="s">
        <v>76</v>
      </c>
      <c r="Q1890" s="13" t="n">
        <f aca="false">F1890*H1890</f>
        <v>84153720</v>
      </c>
      <c r="R1890" s="13" t="n">
        <f aca="false">G1890*H1890</f>
        <v>65340000</v>
      </c>
      <c r="S1890" s="13" t="n">
        <f aca="false">Q1890-R1890</f>
        <v>18813720</v>
      </c>
      <c r="T1890" s="14" t="n">
        <f aca="false">IFERROR(S1890/Q1890,0)</f>
        <v>0.22356373550688</v>
      </c>
      <c r="U1890" s="15" t="str">
        <f aca="false">TEXT(A1890,"yyyy-mm")</f>
        <v>2022-12</v>
      </c>
    </row>
    <row r="1891" customFormat="false" ht="15" hidden="false" customHeight="false" outlineLevel="0" collapsed="false">
      <c r="A1891" s="10" t="n">
        <v>44906</v>
      </c>
      <c r="B1891" s="11" t="s">
        <v>2023</v>
      </c>
      <c r="C1891" s="11" t="s">
        <v>146</v>
      </c>
      <c r="D1891" s="11" t="s">
        <v>138</v>
      </c>
      <c r="E1891" s="11" t="s">
        <v>139</v>
      </c>
      <c r="F1891" s="12" t="n">
        <v>2728100</v>
      </c>
      <c r="G1891" s="12" t="n">
        <v>2321000</v>
      </c>
      <c r="H1891" s="11" t="n">
        <v>7</v>
      </c>
      <c r="I1891" s="11" t="s">
        <v>69</v>
      </c>
      <c r="J1891" s="11" t="s">
        <v>80</v>
      </c>
      <c r="K1891" s="11" t="s">
        <v>81</v>
      </c>
      <c r="L1891" s="11" t="s">
        <v>82</v>
      </c>
      <c r="M1891" s="11" t="s">
        <v>73</v>
      </c>
      <c r="N1891" s="11" t="s">
        <v>143</v>
      </c>
      <c r="O1891" s="11" t="s">
        <v>144</v>
      </c>
      <c r="P1891" s="11" t="s">
        <v>101</v>
      </c>
      <c r="Q1891" s="13" t="n">
        <f aca="false">F1891*H1891</f>
        <v>19096700</v>
      </c>
      <c r="R1891" s="13" t="n">
        <f aca="false">G1891*H1891</f>
        <v>16247000</v>
      </c>
      <c r="S1891" s="13" t="n">
        <f aca="false">Q1891-R1891</f>
        <v>2849700</v>
      </c>
      <c r="T1891" s="14" t="n">
        <f aca="false">IFERROR(S1891/Q1891,0)</f>
        <v>0.149224735163667</v>
      </c>
      <c r="U1891" s="15" t="str">
        <f aca="false">TEXT(A1891,"yyyy-mm")</f>
        <v>2022-12</v>
      </c>
    </row>
    <row r="1892" customFormat="false" ht="15" hidden="false" customHeight="false" outlineLevel="0" collapsed="false">
      <c r="A1892" s="10" t="n">
        <v>44906</v>
      </c>
      <c r="B1892" s="11" t="s">
        <v>2024</v>
      </c>
      <c r="C1892" s="11" t="s">
        <v>148</v>
      </c>
      <c r="D1892" s="11" t="s">
        <v>138</v>
      </c>
      <c r="E1892" s="11" t="s">
        <v>122</v>
      </c>
      <c r="F1892" s="12" t="n">
        <v>4941716</v>
      </c>
      <c r="G1892" s="12" t="n">
        <v>4456000</v>
      </c>
      <c r="H1892" s="11" t="n">
        <v>17</v>
      </c>
      <c r="I1892" s="11" t="s">
        <v>69</v>
      </c>
      <c r="J1892" s="11" t="s">
        <v>80</v>
      </c>
      <c r="K1892" s="11" t="s">
        <v>81</v>
      </c>
      <c r="L1892" s="11" t="s">
        <v>82</v>
      </c>
      <c r="M1892" s="11" t="s">
        <v>73</v>
      </c>
      <c r="N1892" s="11" t="s">
        <v>104</v>
      </c>
      <c r="O1892" s="11" t="s">
        <v>105</v>
      </c>
      <c r="P1892" s="11" t="s">
        <v>106</v>
      </c>
      <c r="Q1892" s="13" t="n">
        <f aca="false">F1892*H1892</f>
        <v>84009172</v>
      </c>
      <c r="R1892" s="13" t="n">
        <f aca="false">G1892*H1892</f>
        <v>75752000</v>
      </c>
      <c r="S1892" s="13" t="n">
        <f aca="false">Q1892-R1892</f>
        <v>8257172</v>
      </c>
      <c r="T1892" s="14" t="n">
        <f aca="false">IFERROR(S1892/Q1892,0)</f>
        <v>0.0982889344511097</v>
      </c>
      <c r="U1892" s="15" t="str">
        <f aca="false">TEXT(A1892,"yyyy-mm")</f>
        <v>2022-12</v>
      </c>
    </row>
    <row r="1893" customFormat="false" ht="15" hidden="false" customHeight="false" outlineLevel="0" collapsed="false">
      <c r="A1893" s="10" t="n">
        <v>44907</v>
      </c>
      <c r="B1893" s="11" t="s">
        <v>2025</v>
      </c>
      <c r="C1893" s="11" t="s">
        <v>66</v>
      </c>
      <c r="D1893" s="11" t="s">
        <v>67</v>
      </c>
      <c r="E1893" s="11" t="s">
        <v>68</v>
      </c>
      <c r="F1893" s="12" t="n">
        <v>3048952</v>
      </c>
      <c r="G1893" s="12" t="n">
        <v>2560000</v>
      </c>
      <c r="H1893" s="11" t="n">
        <v>14</v>
      </c>
      <c r="I1893" s="11" t="s">
        <v>69</v>
      </c>
      <c r="J1893" s="11" t="s">
        <v>112</v>
      </c>
      <c r="K1893" s="11" t="s">
        <v>113</v>
      </c>
      <c r="L1893" s="11" t="s">
        <v>82</v>
      </c>
      <c r="M1893" s="11" t="s">
        <v>157</v>
      </c>
      <c r="N1893" s="11" t="s">
        <v>109</v>
      </c>
      <c r="O1893" s="11" t="s">
        <v>75</v>
      </c>
      <c r="P1893" s="11" t="s">
        <v>95</v>
      </c>
      <c r="Q1893" s="13" t="n">
        <f aca="false">F1893*H1893</f>
        <v>42685328</v>
      </c>
      <c r="R1893" s="13" t="n">
        <f aca="false">G1893*H1893</f>
        <v>35840000</v>
      </c>
      <c r="S1893" s="13" t="n">
        <f aca="false">Q1893-R1893</f>
        <v>6845328</v>
      </c>
      <c r="T1893" s="14" t="n">
        <f aca="false">IFERROR(S1893/Q1893,0)</f>
        <v>0.160367234380863</v>
      </c>
      <c r="U1893" s="15" t="str">
        <f aca="false">TEXT(A1893,"yyyy-mm")</f>
        <v>2022-12</v>
      </c>
    </row>
    <row r="1894" customFormat="false" ht="15" hidden="false" customHeight="false" outlineLevel="0" collapsed="false">
      <c r="A1894" s="10" t="n">
        <v>44907</v>
      </c>
      <c r="B1894" s="11" t="s">
        <v>2026</v>
      </c>
      <c r="C1894" s="11" t="s">
        <v>78</v>
      </c>
      <c r="D1894" s="11" t="s">
        <v>67</v>
      </c>
      <c r="E1894" s="11" t="s">
        <v>79</v>
      </c>
      <c r="F1894" s="12" t="n">
        <v>1870000</v>
      </c>
      <c r="G1894" s="12" t="n">
        <v>1650000</v>
      </c>
      <c r="H1894" s="11" t="n">
        <v>20</v>
      </c>
      <c r="I1894" s="11" t="s">
        <v>69</v>
      </c>
      <c r="J1894" s="11" t="s">
        <v>112</v>
      </c>
      <c r="K1894" s="11" t="s">
        <v>113</v>
      </c>
      <c r="L1894" s="11" t="s">
        <v>82</v>
      </c>
      <c r="M1894" s="11" t="s">
        <v>157</v>
      </c>
      <c r="N1894" s="11" t="s">
        <v>149</v>
      </c>
      <c r="O1894" s="11" t="s">
        <v>150</v>
      </c>
      <c r="P1894" s="11" t="s">
        <v>151</v>
      </c>
      <c r="Q1894" s="13" t="n">
        <f aca="false">F1894*H1894</f>
        <v>37400000</v>
      </c>
      <c r="R1894" s="13" t="n">
        <f aca="false">G1894*H1894</f>
        <v>33000000</v>
      </c>
      <c r="S1894" s="13" t="n">
        <f aca="false">Q1894-R1894</f>
        <v>4400000</v>
      </c>
      <c r="T1894" s="14" t="n">
        <f aca="false">IFERROR(S1894/Q1894,0)</f>
        <v>0.117647058823529</v>
      </c>
      <c r="U1894" s="15" t="str">
        <f aca="false">TEXT(A1894,"yyyy-mm")</f>
        <v>2022-12</v>
      </c>
    </row>
    <row r="1895" customFormat="false" ht="15" hidden="false" customHeight="false" outlineLevel="0" collapsed="false">
      <c r="A1895" s="10" t="n">
        <v>44907</v>
      </c>
      <c r="B1895" s="11" t="s">
        <v>2027</v>
      </c>
      <c r="C1895" s="11" t="s">
        <v>84</v>
      </c>
      <c r="D1895" s="11" t="s">
        <v>67</v>
      </c>
      <c r="E1895" s="11" t="s">
        <v>85</v>
      </c>
      <c r="F1895" s="12" t="n">
        <v>2600000</v>
      </c>
      <c r="G1895" s="12" t="n">
        <v>2300000</v>
      </c>
      <c r="H1895" s="11" t="n">
        <v>19</v>
      </c>
      <c r="I1895" s="11" t="s">
        <v>69</v>
      </c>
      <c r="J1895" s="11" t="s">
        <v>70</v>
      </c>
      <c r="K1895" s="11" t="s">
        <v>71</v>
      </c>
      <c r="L1895" s="11" t="s">
        <v>72</v>
      </c>
      <c r="M1895" s="11" t="s">
        <v>73</v>
      </c>
      <c r="N1895" s="11" t="s">
        <v>74</v>
      </c>
      <c r="O1895" s="11" t="s">
        <v>75</v>
      </c>
      <c r="P1895" s="11" t="s">
        <v>76</v>
      </c>
      <c r="Q1895" s="13" t="n">
        <f aca="false">F1895*H1895</f>
        <v>49400000</v>
      </c>
      <c r="R1895" s="13" t="n">
        <f aca="false">G1895*H1895</f>
        <v>43700000</v>
      </c>
      <c r="S1895" s="13" t="n">
        <f aca="false">Q1895-R1895</f>
        <v>5700000</v>
      </c>
      <c r="T1895" s="14" t="n">
        <f aca="false">IFERROR(S1895/Q1895,0)</f>
        <v>0.115384615384615</v>
      </c>
      <c r="U1895" s="15" t="str">
        <f aca="false">TEXT(A1895,"yyyy-mm")</f>
        <v>2022-12</v>
      </c>
    </row>
    <row r="1896" customFormat="false" ht="15" hidden="false" customHeight="false" outlineLevel="0" collapsed="false">
      <c r="A1896" s="10" t="n">
        <v>44907</v>
      </c>
      <c r="B1896" s="11" t="s">
        <v>2028</v>
      </c>
      <c r="C1896" s="11" t="s">
        <v>92</v>
      </c>
      <c r="D1896" s="11" t="s">
        <v>67</v>
      </c>
      <c r="E1896" s="11" t="s">
        <v>79</v>
      </c>
      <c r="F1896" s="12" t="n">
        <v>3577480</v>
      </c>
      <c r="G1896" s="12" t="n">
        <v>3100000</v>
      </c>
      <c r="H1896" s="11" t="n">
        <v>23</v>
      </c>
      <c r="I1896" s="11" t="s">
        <v>69</v>
      </c>
      <c r="J1896" s="11" t="s">
        <v>112</v>
      </c>
      <c r="K1896" s="11" t="s">
        <v>113</v>
      </c>
      <c r="L1896" s="11" t="s">
        <v>82</v>
      </c>
      <c r="M1896" s="11" t="s">
        <v>157</v>
      </c>
      <c r="N1896" s="11" t="s">
        <v>143</v>
      </c>
      <c r="O1896" s="11" t="s">
        <v>144</v>
      </c>
      <c r="P1896" s="11" t="s">
        <v>101</v>
      </c>
      <c r="Q1896" s="13" t="n">
        <f aca="false">F1896*H1896</f>
        <v>82282040</v>
      </c>
      <c r="R1896" s="13" t="n">
        <f aca="false">G1896*H1896</f>
        <v>71300000</v>
      </c>
      <c r="S1896" s="13" t="n">
        <f aca="false">Q1896-R1896</f>
        <v>10982040</v>
      </c>
      <c r="T1896" s="14" t="n">
        <f aca="false">IFERROR(S1896/Q1896,0)</f>
        <v>0.133468251394837</v>
      </c>
      <c r="U1896" s="15" t="str">
        <f aca="false">TEXT(A1896,"yyyy-mm")</f>
        <v>2022-12</v>
      </c>
    </row>
    <row r="1897" customFormat="false" ht="15" hidden="false" customHeight="false" outlineLevel="0" collapsed="false">
      <c r="A1897" s="10" t="n">
        <v>44907</v>
      </c>
      <c r="B1897" s="11" t="s">
        <v>2029</v>
      </c>
      <c r="C1897" s="11" t="s">
        <v>97</v>
      </c>
      <c r="D1897" s="11" t="s">
        <v>67</v>
      </c>
      <c r="E1897" s="11" t="s">
        <v>98</v>
      </c>
      <c r="F1897" s="12" t="n">
        <v>4969724</v>
      </c>
      <c r="G1897" s="12" t="n">
        <v>4121560</v>
      </c>
      <c r="H1897" s="11" t="n">
        <v>3</v>
      </c>
      <c r="I1897" s="11" t="s">
        <v>86</v>
      </c>
      <c r="J1897" s="11" t="s">
        <v>87</v>
      </c>
      <c r="K1897" s="11" t="s">
        <v>88</v>
      </c>
      <c r="L1897" s="11" t="s">
        <v>89</v>
      </c>
      <c r="M1897" s="11" t="s">
        <v>90</v>
      </c>
      <c r="N1897" s="11" t="s">
        <v>74</v>
      </c>
      <c r="O1897" s="11" t="s">
        <v>75</v>
      </c>
      <c r="P1897" s="11" t="s">
        <v>76</v>
      </c>
      <c r="Q1897" s="13" t="n">
        <f aca="false">F1897*H1897</f>
        <v>14909172</v>
      </c>
      <c r="R1897" s="13" t="n">
        <f aca="false">G1897*H1897</f>
        <v>12364680</v>
      </c>
      <c r="S1897" s="13" t="n">
        <f aca="false">Q1897-R1897</f>
        <v>2544492</v>
      </c>
      <c r="T1897" s="14" t="n">
        <f aca="false">IFERROR(S1897/Q1897,0)</f>
        <v>0.170666218083741</v>
      </c>
      <c r="U1897" s="15" t="str">
        <f aca="false">TEXT(A1897,"yyyy-mm")</f>
        <v>2022-12</v>
      </c>
    </row>
    <row r="1898" customFormat="false" ht="15" hidden="false" customHeight="false" outlineLevel="0" collapsed="false">
      <c r="A1898" s="10" t="n">
        <v>44908</v>
      </c>
      <c r="B1898" s="11" t="s">
        <v>2030</v>
      </c>
      <c r="C1898" s="11" t="s">
        <v>103</v>
      </c>
      <c r="D1898" s="11" t="s">
        <v>67</v>
      </c>
      <c r="E1898" s="11" t="s">
        <v>68</v>
      </c>
      <c r="F1898" s="12" t="n">
        <v>3319925</v>
      </c>
      <c r="G1898" s="12" t="n">
        <v>2800000</v>
      </c>
      <c r="H1898" s="11" t="n">
        <v>20</v>
      </c>
      <c r="I1898" s="11" t="s">
        <v>86</v>
      </c>
      <c r="J1898" s="11" t="s">
        <v>87</v>
      </c>
      <c r="K1898" s="11" t="s">
        <v>88</v>
      </c>
      <c r="L1898" s="11" t="s">
        <v>89</v>
      </c>
      <c r="M1898" s="11" t="s">
        <v>90</v>
      </c>
      <c r="N1898" s="11" t="s">
        <v>104</v>
      </c>
      <c r="O1898" s="11" t="s">
        <v>105</v>
      </c>
      <c r="P1898" s="11" t="s">
        <v>106</v>
      </c>
      <c r="Q1898" s="13" t="n">
        <f aca="false">F1898*H1898</f>
        <v>66398500</v>
      </c>
      <c r="R1898" s="13" t="n">
        <f aca="false">G1898*H1898</f>
        <v>56000000</v>
      </c>
      <c r="S1898" s="13" t="n">
        <f aca="false">Q1898-R1898</f>
        <v>10398500</v>
      </c>
      <c r="T1898" s="14" t="n">
        <f aca="false">IFERROR(S1898/Q1898,0)</f>
        <v>0.15660745348163</v>
      </c>
      <c r="U1898" s="15" t="str">
        <f aca="false">TEXT(A1898,"yyyy-mm")</f>
        <v>2022-12</v>
      </c>
    </row>
    <row r="1899" customFormat="false" ht="15" hidden="false" customHeight="false" outlineLevel="0" collapsed="false">
      <c r="A1899" s="10" t="n">
        <v>44908</v>
      </c>
      <c r="B1899" s="11" t="s">
        <v>2031</v>
      </c>
      <c r="C1899" s="11" t="s">
        <v>108</v>
      </c>
      <c r="D1899" s="11" t="s">
        <v>67</v>
      </c>
      <c r="E1899" s="11" t="s">
        <v>68</v>
      </c>
      <c r="F1899" s="12" t="n">
        <v>4757880</v>
      </c>
      <c r="G1899" s="12" t="n">
        <v>3450000</v>
      </c>
      <c r="H1899" s="11" t="n">
        <v>1</v>
      </c>
      <c r="I1899" s="11" t="s">
        <v>69</v>
      </c>
      <c r="J1899" s="11" t="s">
        <v>80</v>
      </c>
      <c r="K1899" s="11" t="s">
        <v>81</v>
      </c>
      <c r="L1899" s="11" t="s">
        <v>82</v>
      </c>
      <c r="M1899" s="11" t="s">
        <v>73</v>
      </c>
      <c r="N1899" s="11" t="s">
        <v>149</v>
      </c>
      <c r="O1899" s="11" t="s">
        <v>150</v>
      </c>
      <c r="P1899" s="11" t="s">
        <v>151</v>
      </c>
      <c r="Q1899" s="13" t="n">
        <f aca="false">F1899*H1899</f>
        <v>4757880</v>
      </c>
      <c r="R1899" s="13" t="n">
        <f aca="false">G1899*H1899</f>
        <v>3450000</v>
      </c>
      <c r="S1899" s="13" t="n">
        <f aca="false">Q1899-R1899</f>
        <v>1307880</v>
      </c>
      <c r="T1899" s="14" t="n">
        <f aca="false">IFERROR(S1899/Q1899,0)</f>
        <v>0.274887134606169</v>
      </c>
      <c r="U1899" s="15" t="str">
        <f aca="false">TEXT(A1899,"yyyy-mm")</f>
        <v>2022-12</v>
      </c>
    </row>
    <row r="1900" customFormat="false" ht="15" hidden="false" customHeight="false" outlineLevel="0" collapsed="false">
      <c r="A1900" s="10" t="n">
        <v>44908</v>
      </c>
      <c r="B1900" s="11" t="s">
        <v>2032</v>
      </c>
      <c r="C1900" s="11" t="s">
        <v>111</v>
      </c>
      <c r="D1900" s="11" t="s">
        <v>67</v>
      </c>
      <c r="E1900" s="11" t="s">
        <v>79</v>
      </c>
      <c r="F1900" s="12" t="n">
        <v>3545808</v>
      </c>
      <c r="G1900" s="12" t="n">
        <v>3350000</v>
      </c>
      <c r="H1900" s="11" t="n">
        <v>8</v>
      </c>
      <c r="I1900" s="11" t="s">
        <v>86</v>
      </c>
      <c r="J1900" s="11" t="s">
        <v>87</v>
      </c>
      <c r="K1900" s="11" t="s">
        <v>88</v>
      </c>
      <c r="L1900" s="11" t="s">
        <v>89</v>
      </c>
      <c r="M1900" s="11" t="s">
        <v>90</v>
      </c>
      <c r="N1900" s="11" t="s">
        <v>99</v>
      </c>
      <c r="O1900" s="11" t="s">
        <v>100</v>
      </c>
      <c r="P1900" s="11" t="s">
        <v>101</v>
      </c>
      <c r="Q1900" s="13" t="n">
        <f aca="false">F1900*H1900</f>
        <v>28366464</v>
      </c>
      <c r="R1900" s="13" t="n">
        <f aca="false">G1900*H1900</f>
        <v>26800000</v>
      </c>
      <c r="S1900" s="13" t="n">
        <f aca="false">Q1900-R1900</f>
        <v>1566464</v>
      </c>
      <c r="T1900" s="14" t="n">
        <f aca="false">IFERROR(S1900/Q1900,0)</f>
        <v>0.0552223921881839</v>
      </c>
      <c r="U1900" s="15" t="str">
        <f aca="false">TEXT(A1900,"yyyy-mm")</f>
        <v>2022-12</v>
      </c>
    </row>
    <row r="1901" customFormat="false" ht="15" hidden="false" customHeight="false" outlineLevel="0" collapsed="false">
      <c r="A1901" s="10" t="n">
        <v>44908</v>
      </c>
      <c r="B1901" s="11" t="s">
        <v>2033</v>
      </c>
      <c r="C1901" s="11" t="s">
        <v>115</v>
      </c>
      <c r="D1901" s="11" t="s">
        <v>67</v>
      </c>
      <c r="E1901" s="11" t="s">
        <v>98</v>
      </c>
      <c r="F1901" s="12" t="n">
        <v>4200743</v>
      </c>
      <c r="G1901" s="12" t="n">
        <v>4101000</v>
      </c>
      <c r="H1901" s="11" t="n">
        <v>15</v>
      </c>
      <c r="I1901" s="11" t="s">
        <v>69</v>
      </c>
      <c r="J1901" s="11" t="s">
        <v>80</v>
      </c>
      <c r="K1901" s="11" t="s">
        <v>81</v>
      </c>
      <c r="L1901" s="11" t="s">
        <v>82</v>
      </c>
      <c r="M1901" s="11" t="s">
        <v>73</v>
      </c>
      <c r="N1901" s="11" t="s">
        <v>133</v>
      </c>
      <c r="O1901" s="11" t="s">
        <v>60</v>
      </c>
      <c r="P1901" s="11" t="s">
        <v>76</v>
      </c>
      <c r="Q1901" s="13" t="n">
        <f aca="false">F1901*H1901</f>
        <v>63011145</v>
      </c>
      <c r="R1901" s="13" t="n">
        <f aca="false">G1901*H1901</f>
        <v>61515000</v>
      </c>
      <c r="S1901" s="13" t="n">
        <f aca="false">Q1901-R1901</f>
        <v>1496145</v>
      </c>
      <c r="T1901" s="14" t="n">
        <f aca="false">IFERROR(S1901/Q1901,0)</f>
        <v>0.023744132883159</v>
      </c>
      <c r="U1901" s="15" t="str">
        <f aca="false">TEXT(A1901,"yyyy-mm")</f>
        <v>2022-12</v>
      </c>
    </row>
    <row r="1902" customFormat="false" ht="15" hidden="false" customHeight="false" outlineLevel="0" collapsed="false">
      <c r="A1902" s="10" t="n">
        <v>44909</v>
      </c>
      <c r="B1902" s="11" t="s">
        <v>2034</v>
      </c>
      <c r="C1902" s="11" t="s">
        <v>117</v>
      </c>
      <c r="D1902" s="11" t="s">
        <v>118</v>
      </c>
      <c r="E1902" s="11" t="s">
        <v>119</v>
      </c>
      <c r="F1902" s="12" t="n">
        <v>8220549</v>
      </c>
      <c r="G1902" s="12" t="n">
        <v>6500000</v>
      </c>
      <c r="H1902" s="11" t="n">
        <v>21</v>
      </c>
      <c r="I1902" s="11" t="s">
        <v>86</v>
      </c>
      <c r="J1902" s="11" t="s">
        <v>87</v>
      </c>
      <c r="K1902" s="11" t="s">
        <v>88</v>
      </c>
      <c r="L1902" s="11" t="s">
        <v>89</v>
      </c>
      <c r="M1902" s="11" t="s">
        <v>90</v>
      </c>
      <c r="N1902" s="11" t="s">
        <v>93</v>
      </c>
      <c r="O1902" s="11" t="s">
        <v>94</v>
      </c>
      <c r="P1902" s="11" t="s">
        <v>95</v>
      </c>
      <c r="Q1902" s="13" t="n">
        <f aca="false">F1902*H1902</f>
        <v>172631529</v>
      </c>
      <c r="R1902" s="13" t="n">
        <f aca="false">G1902*H1902</f>
        <v>136500000</v>
      </c>
      <c r="S1902" s="13" t="n">
        <f aca="false">Q1902-R1902</f>
        <v>36131529</v>
      </c>
      <c r="T1902" s="14" t="n">
        <f aca="false">IFERROR(S1902/Q1902,0)</f>
        <v>0.209298551714733</v>
      </c>
      <c r="U1902" s="15" t="str">
        <f aca="false">TEXT(A1902,"yyyy-mm")</f>
        <v>2022-12</v>
      </c>
    </row>
    <row r="1903" customFormat="false" ht="15" hidden="false" customHeight="false" outlineLevel="0" collapsed="false">
      <c r="A1903" s="10" t="n">
        <v>44909</v>
      </c>
      <c r="B1903" s="11" t="s">
        <v>2034</v>
      </c>
      <c r="C1903" s="11" t="s">
        <v>2035</v>
      </c>
      <c r="D1903" s="11" t="s">
        <v>118</v>
      </c>
      <c r="E1903" s="11" t="s">
        <v>119</v>
      </c>
      <c r="F1903" s="12" t="n">
        <v>8220549</v>
      </c>
      <c r="G1903" s="12" t="n">
        <v>6500000</v>
      </c>
      <c r="H1903" s="11" t="n">
        <v>21</v>
      </c>
      <c r="I1903" s="11" t="s">
        <v>86</v>
      </c>
      <c r="J1903" s="11" t="s">
        <v>87</v>
      </c>
      <c r="K1903" s="11" t="s">
        <v>88</v>
      </c>
      <c r="L1903" s="11" t="s">
        <v>89</v>
      </c>
      <c r="M1903" s="11" t="s">
        <v>90</v>
      </c>
      <c r="N1903" s="11" t="s">
        <v>93</v>
      </c>
      <c r="O1903" s="11" t="s">
        <v>94</v>
      </c>
      <c r="P1903" s="11" t="s">
        <v>95</v>
      </c>
      <c r="Q1903" s="13" t="n">
        <f aca="false">F1903*H1903</f>
        <v>172631529</v>
      </c>
      <c r="R1903" s="13" t="n">
        <f aca="false">G1903*H1903</f>
        <v>136500000</v>
      </c>
      <c r="S1903" s="13" t="n">
        <f aca="false">Q1903-R1903</f>
        <v>36131529</v>
      </c>
      <c r="T1903" s="14" t="n">
        <f aca="false">IFERROR(S1903/Q1903,0)</f>
        <v>0.209298551714733</v>
      </c>
      <c r="U1903" s="15" t="str">
        <f aca="false">TEXT(A1903,"yyyy-mm")</f>
        <v>2022-12</v>
      </c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6"/>
  </cols>
  <sheetData>
    <row r="1" customFormat="false" ht="21.75" hidden="false" customHeight="true" outlineLevel="0" collapsed="false">
      <c r="A1" s="9" t="s">
        <v>2036</v>
      </c>
      <c r="B1" s="9"/>
      <c r="C1" s="9"/>
      <c r="D1" s="9"/>
      <c r="E1" s="9"/>
      <c r="F1" s="9"/>
      <c r="G1" s="9"/>
      <c r="H1" s="9"/>
    </row>
    <row r="2" customFormat="false" ht="15.75" hidden="false" customHeight="true" outlineLevel="0" collapsed="false">
      <c r="A2" s="2" t="s">
        <v>2037</v>
      </c>
      <c r="B2" s="2"/>
      <c r="C2" s="2"/>
      <c r="D2" s="2"/>
      <c r="E2" s="2"/>
      <c r="F2" s="2"/>
      <c r="G2" s="2"/>
      <c r="H2" s="2"/>
    </row>
    <row r="3" customFormat="false" ht="23.85" hidden="false" customHeight="false" outlineLevel="0" collapsed="false">
      <c r="A3" s="3" t="s">
        <v>64</v>
      </c>
      <c r="B3" s="3" t="s">
        <v>60</v>
      </c>
      <c r="C3" s="3" t="s">
        <v>62</v>
      </c>
      <c r="D3" s="3" t="s">
        <v>63</v>
      </c>
      <c r="E3" s="3" t="s">
        <v>2038</v>
      </c>
      <c r="F3" s="3" t="s">
        <v>2039</v>
      </c>
      <c r="G3" s="3" t="s">
        <v>2040</v>
      </c>
      <c r="H3" s="3" t="s">
        <v>2041</v>
      </c>
    </row>
    <row r="4" customFormat="false" ht="15" hidden="false" customHeight="false" outlineLevel="0" collapsed="false">
      <c r="A4" s="11" t="s">
        <v>2042</v>
      </c>
      <c r="B4" s="13" t="n">
        <f aca="false">SUMIFS(Datos!$Q$3:$Q$1903,Datos!$U$3:$U$1903,$A4)</f>
        <v>9738965526</v>
      </c>
      <c r="C4" s="13" t="n">
        <f aca="false">SUMIFS(Datos!$S$3:$S$1903,Datos!$U$3:$U$1903,$A4)</f>
        <v>1548066166</v>
      </c>
      <c r="D4" s="14" t="n">
        <f aca="false">IFERROR(C4/B4,0)</f>
        <v>0.15895591393841</v>
      </c>
      <c r="E4" s="15" t="n">
        <f aca="false">COUNTIFS(Datos!$U$3:$U$1903,$A4)</f>
        <v>180</v>
      </c>
      <c r="F4" s="15" t="n">
        <f aca="false">SUMIFS(Datos!$H$3:$H$1903,Datos!$U$3:$U$1903,$A4)</f>
        <v>2302</v>
      </c>
      <c r="G4" s="13" t="n">
        <f aca="false">IF($A4="2022-12",B4*30/14,B4)</f>
        <v>9738965526</v>
      </c>
      <c r="H4" s="13" t="n">
        <f aca="false">FORECAST($I4,$G$4:$G$15,$I$4:$I$15)</f>
        <v>9498753855.12454</v>
      </c>
      <c r="I4" s="16" t="n">
        <v>1</v>
      </c>
    </row>
    <row r="5" customFormat="false" ht="15" hidden="false" customHeight="false" outlineLevel="0" collapsed="false">
      <c r="A5" s="11" t="s">
        <v>2043</v>
      </c>
      <c r="B5" s="13" t="n">
        <f aca="false">SUMIFS(Datos!$Q$3:$Q$1903,Datos!$U$3:$U$1903,$A5)</f>
        <v>7667494170</v>
      </c>
      <c r="C5" s="13" t="n">
        <f aca="false">SUMIFS(Datos!$S$3:$S$1903,Datos!$U$3:$U$1903,$A5)</f>
        <v>1210083850</v>
      </c>
      <c r="D5" s="14" t="n">
        <f aca="false">IFERROR(C5/B5,0)</f>
        <v>0.15781998957816</v>
      </c>
      <c r="E5" s="15" t="n">
        <f aca="false">COUNTIFS(Datos!$U$3:$U$1903,$A5)</f>
        <v>154</v>
      </c>
      <c r="F5" s="15" t="n">
        <f aca="false">SUMIFS(Datos!$H$3:$H$1903,Datos!$U$3:$U$1903,$A5)</f>
        <v>1846</v>
      </c>
      <c r="G5" s="13" t="n">
        <f aca="false">IF($A5="2022-12",B5*30/14,B5)</f>
        <v>7667494170</v>
      </c>
      <c r="H5" s="13" t="n">
        <f aca="false">FORECAST($I5,$G$4:$G$15,$I$4:$I$15)</f>
        <v>9422429095.62354</v>
      </c>
      <c r="I5" s="16" t="n">
        <v>2</v>
      </c>
    </row>
    <row r="6" customFormat="false" ht="15" hidden="false" customHeight="false" outlineLevel="0" collapsed="false">
      <c r="A6" s="11" t="s">
        <v>2044</v>
      </c>
      <c r="B6" s="13" t="n">
        <f aca="false">SUMIFS(Datos!$Q$3:$Q$1903,Datos!$U$3:$U$1903,$A6)</f>
        <v>9139607974</v>
      </c>
      <c r="C6" s="13" t="n">
        <f aca="false">SUMIFS(Datos!$S$3:$S$1903,Datos!$U$3:$U$1903,$A6)</f>
        <v>1313201894</v>
      </c>
      <c r="D6" s="14" t="n">
        <f aca="false">IFERROR(C6/B6,0)</f>
        <v>0.143682518739944</v>
      </c>
      <c r="E6" s="15" t="n">
        <f aca="false">COUNTIFS(Datos!$U$3:$U$1903,$A6)</f>
        <v>162</v>
      </c>
      <c r="F6" s="15" t="n">
        <f aca="false">SUMIFS(Datos!$H$3:$H$1903,Datos!$U$3:$U$1903,$A6)</f>
        <v>2182</v>
      </c>
      <c r="G6" s="13" t="n">
        <f aca="false">IF($A6="2022-12",B6*30/14,B6)</f>
        <v>9139607974</v>
      </c>
      <c r="H6" s="13" t="n">
        <f aca="false">FORECAST($I6,$G$4:$G$15,$I$4:$I$15)</f>
        <v>9346104336.12254</v>
      </c>
      <c r="I6" s="16" t="n">
        <v>3</v>
      </c>
    </row>
    <row r="7" customFormat="false" ht="15" hidden="false" customHeight="false" outlineLevel="0" collapsed="false">
      <c r="A7" s="11" t="s">
        <v>2045</v>
      </c>
      <c r="B7" s="13" t="n">
        <f aca="false">SUMIFS(Datos!$Q$3:$Q$1903,Datos!$U$3:$U$1903,$A7)</f>
        <v>11045631654</v>
      </c>
      <c r="C7" s="13" t="n">
        <f aca="false">SUMIFS(Datos!$S$3:$S$1903,Datos!$U$3:$U$1903,$A7)</f>
        <v>1813784534</v>
      </c>
      <c r="D7" s="14" t="n">
        <f aca="false">IFERROR(C7/B7,0)</f>
        <v>0.164208312463793</v>
      </c>
      <c r="E7" s="15" t="n">
        <f aca="false">COUNTIFS(Datos!$U$3:$U$1903,$A7)</f>
        <v>178</v>
      </c>
      <c r="F7" s="15" t="n">
        <f aca="false">SUMIFS(Datos!$H$3:$H$1903,Datos!$U$3:$U$1903,$A7)</f>
        <v>2480</v>
      </c>
      <c r="G7" s="13" t="n">
        <f aca="false">IF($A7="2022-12",B7*30/14,B7)</f>
        <v>11045631654</v>
      </c>
      <c r="H7" s="13" t="n">
        <f aca="false">FORECAST($I7,$G$4:$G$15,$I$4:$I$15)</f>
        <v>9269779576.62154</v>
      </c>
      <c r="I7" s="16" t="n">
        <v>4</v>
      </c>
    </row>
    <row r="8" customFormat="false" ht="15" hidden="false" customHeight="false" outlineLevel="0" collapsed="false">
      <c r="A8" s="11" t="s">
        <v>2046</v>
      </c>
      <c r="B8" s="13" t="n">
        <f aca="false">SUMIFS(Datos!$Q$3:$Q$1903,Datos!$U$3:$U$1903,$A8)</f>
        <v>13800339040</v>
      </c>
      <c r="C8" s="13" t="n">
        <f aca="false">SUMIFS(Datos!$S$3:$S$1903,Datos!$U$3:$U$1903,$A8)</f>
        <v>2252783120</v>
      </c>
      <c r="D8" s="14" t="n">
        <f aca="false">IFERROR(C8/B8,0)</f>
        <v>0.163241143095858</v>
      </c>
      <c r="E8" s="15" t="n">
        <f aca="false">COUNTIFS(Datos!$U$3:$U$1903,$A8)</f>
        <v>236</v>
      </c>
      <c r="F8" s="15" t="n">
        <f aca="false">SUMIFS(Datos!$H$3:$H$1903,Datos!$U$3:$U$1903,$A8)</f>
        <v>3194</v>
      </c>
      <c r="G8" s="13" t="n">
        <f aca="false">IF($A8="2022-12",B8*30/14,B8)</f>
        <v>13800339040</v>
      </c>
      <c r="H8" s="13" t="n">
        <f aca="false">FORECAST($I8,$G$4:$G$15,$I$4:$I$15)</f>
        <v>9193454817.12055</v>
      </c>
      <c r="I8" s="16" t="n">
        <v>5</v>
      </c>
    </row>
    <row r="9" customFormat="false" ht="15" hidden="false" customHeight="false" outlineLevel="0" collapsed="false">
      <c r="A9" s="11" t="s">
        <v>2047</v>
      </c>
      <c r="B9" s="13" t="n">
        <f aca="false">SUMIFS(Datos!$Q$3:$Q$1903,Datos!$U$3:$U$1903,$A9)</f>
        <v>8076808966</v>
      </c>
      <c r="C9" s="13" t="n">
        <f aca="false">SUMIFS(Datos!$S$3:$S$1903,Datos!$U$3:$U$1903,$A9)</f>
        <v>1205619366</v>
      </c>
      <c r="D9" s="14" t="n">
        <f aca="false">IFERROR(C9/B9,0)</f>
        <v>0.149269268479068</v>
      </c>
      <c r="E9" s="15" t="n">
        <f aca="false">COUNTIFS(Datos!$U$3:$U$1903,$A9)</f>
        <v>164</v>
      </c>
      <c r="F9" s="15" t="n">
        <f aca="false">SUMIFS(Datos!$H$3:$H$1903,Datos!$U$3:$U$1903,$A9)</f>
        <v>2016</v>
      </c>
      <c r="G9" s="13" t="n">
        <f aca="false">IF($A9="2022-12",B9*30/14,B9)</f>
        <v>8076808966</v>
      </c>
      <c r="H9" s="13" t="n">
        <f aca="false">FORECAST($I9,$G$4:$G$15,$I$4:$I$15)</f>
        <v>9117130057.61955</v>
      </c>
      <c r="I9" s="16" t="n">
        <v>6</v>
      </c>
    </row>
    <row r="10" customFormat="false" ht="15" hidden="false" customHeight="false" outlineLevel="0" collapsed="false">
      <c r="A10" s="11" t="s">
        <v>2048</v>
      </c>
      <c r="B10" s="13" t="n">
        <f aca="false">SUMIFS(Datos!$Q$3:$Q$1903,Datos!$U$3:$U$1903,$A10)</f>
        <v>5985626746</v>
      </c>
      <c r="C10" s="13" t="n">
        <f aca="false">SUMIFS(Datos!$S$3:$S$1903,Datos!$U$3:$U$1903,$A10)</f>
        <v>943434346</v>
      </c>
      <c r="D10" s="14" t="n">
        <f aca="false">IFERROR(C10/B10,0)</f>
        <v>0.157616634988218</v>
      </c>
      <c r="E10" s="15" t="n">
        <f aca="false">COUNTIFS(Datos!$U$3:$U$1903,$A10)</f>
        <v>114</v>
      </c>
      <c r="F10" s="15" t="n">
        <f aca="false">SUMIFS(Datos!$H$3:$H$1903,Datos!$U$3:$U$1903,$A10)</f>
        <v>1466</v>
      </c>
      <c r="G10" s="13" t="n">
        <f aca="false">IF($A10="2022-12",B10*30/14,B10)</f>
        <v>5985626746</v>
      </c>
      <c r="H10" s="13" t="n">
        <f aca="false">FORECAST($I10,$G$4:$G$15,$I$4:$I$15)</f>
        <v>9040805298.11855</v>
      </c>
      <c r="I10" s="16" t="n">
        <v>7</v>
      </c>
    </row>
    <row r="11" customFormat="false" ht="15" hidden="false" customHeight="false" outlineLevel="0" collapsed="false">
      <c r="A11" s="11" t="s">
        <v>2049</v>
      </c>
      <c r="B11" s="13" t="n">
        <f aca="false">SUMIFS(Datos!$Q$3:$Q$1903,Datos!$U$3:$U$1903,$A11)</f>
        <v>7802299454</v>
      </c>
      <c r="C11" s="13" t="n">
        <f aca="false">SUMIFS(Datos!$S$3:$S$1903,Datos!$U$3:$U$1903,$A11)</f>
        <v>1159634974</v>
      </c>
      <c r="D11" s="14" t="n">
        <f aca="false">IFERROR(C11/B11,0)</f>
        <v>0.148627334907723</v>
      </c>
      <c r="E11" s="15" t="n">
        <f aca="false">COUNTIFS(Datos!$U$3:$U$1903,$A11)</f>
        <v>150</v>
      </c>
      <c r="F11" s="15" t="n">
        <f aca="false">SUMIFS(Datos!$H$3:$H$1903,Datos!$U$3:$U$1903,$A11)</f>
        <v>1894</v>
      </c>
      <c r="G11" s="13" t="n">
        <f aca="false">IF($A11="2022-12",B11*30/14,B11)</f>
        <v>7802299454</v>
      </c>
      <c r="H11" s="13" t="n">
        <f aca="false">FORECAST($I11,$G$4:$G$15,$I$4:$I$15)</f>
        <v>8964480538.61755</v>
      </c>
      <c r="I11" s="16" t="n">
        <v>8</v>
      </c>
    </row>
    <row r="12" customFormat="false" ht="15" hidden="false" customHeight="false" outlineLevel="0" collapsed="false">
      <c r="A12" s="11" t="s">
        <v>2050</v>
      </c>
      <c r="B12" s="13" t="n">
        <f aca="false">SUMIFS(Datos!$Q$3:$Q$1903,Datos!$U$3:$U$1903,$A12)</f>
        <v>7381244630</v>
      </c>
      <c r="C12" s="13" t="n">
        <f aca="false">SUMIFS(Datos!$S$3:$S$1903,Datos!$U$3:$U$1903,$A12)</f>
        <v>1198338710</v>
      </c>
      <c r="D12" s="14" t="n">
        <f aca="false">IFERROR(C12/B12,0)</f>
        <v>0.162349138941897</v>
      </c>
      <c r="E12" s="15" t="n">
        <f aca="false">COUNTIFS(Datos!$U$3:$U$1903,$A12)</f>
        <v>152</v>
      </c>
      <c r="F12" s="15" t="n">
        <f aca="false">SUMIFS(Datos!$H$3:$H$1903,Datos!$U$3:$U$1903,$A12)</f>
        <v>1764</v>
      </c>
      <c r="G12" s="13" t="n">
        <f aca="false">IF($A12="2022-12",B12*30/14,B12)</f>
        <v>7381244630</v>
      </c>
      <c r="H12" s="13" t="n">
        <f aca="false">FORECAST($I12,$G$4:$G$15,$I$4:$I$15)</f>
        <v>8888155779.11655</v>
      </c>
      <c r="I12" s="16" t="n">
        <v>9</v>
      </c>
    </row>
    <row r="13" customFormat="false" ht="15" hidden="false" customHeight="false" outlineLevel="0" collapsed="false">
      <c r="A13" s="11" t="s">
        <v>2051</v>
      </c>
      <c r="B13" s="13" t="n">
        <f aca="false">SUMIFS(Datos!$Q$3:$Q$1903,Datos!$U$3:$U$1903,$A13)</f>
        <v>8688965074</v>
      </c>
      <c r="C13" s="13" t="n">
        <f aca="false">SUMIFS(Datos!$S$3:$S$1903,Datos!$U$3:$U$1903,$A13)</f>
        <v>1386024914</v>
      </c>
      <c r="D13" s="14" t="n">
        <f aca="false">IFERROR(C13/B13,0)</f>
        <v>0.15951553518697</v>
      </c>
      <c r="E13" s="15" t="n">
        <f aca="false">COUNTIFS(Datos!$U$3:$U$1903,$A13)</f>
        <v>162</v>
      </c>
      <c r="F13" s="15" t="n">
        <f aca="false">SUMIFS(Datos!$H$3:$H$1903,Datos!$U$3:$U$1903,$A13)</f>
        <v>2044</v>
      </c>
      <c r="G13" s="13" t="n">
        <f aca="false">IF($A13="2022-12",B13*30/14,B13)</f>
        <v>8688965074</v>
      </c>
      <c r="H13" s="13" t="n">
        <f aca="false">FORECAST($I13,$G$4:$G$15,$I$4:$I$15)</f>
        <v>8811831019.61555</v>
      </c>
      <c r="I13" s="16" t="n">
        <v>10</v>
      </c>
    </row>
    <row r="14" customFormat="false" ht="15" hidden="false" customHeight="false" outlineLevel="0" collapsed="false">
      <c r="A14" s="11" t="s">
        <v>2052</v>
      </c>
      <c r="B14" s="13" t="n">
        <f aca="false">SUMIFS(Datos!$Q$3:$Q$1903,Datos!$U$3:$U$1903,$A14)</f>
        <v>9978997204</v>
      </c>
      <c r="C14" s="13" t="n">
        <f aca="false">SUMIFS(Datos!$S$3:$S$1903,Datos!$U$3:$U$1903,$A14)</f>
        <v>1524078484</v>
      </c>
      <c r="D14" s="14" t="n">
        <f aca="false">IFERROR(C14/B14,0)</f>
        <v>0.152728621207458</v>
      </c>
      <c r="E14" s="15" t="n">
        <f aca="false">COUNTIFS(Datos!$U$3:$U$1903,$A14)</f>
        <v>168</v>
      </c>
      <c r="F14" s="15" t="n">
        <f aca="false">SUMIFS(Datos!$H$3:$H$1903,Datos!$U$3:$U$1903,$A14)</f>
        <v>2288</v>
      </c>
      <c r="G14" s="13" t="n">
        <f aca="false">IF($A14="2022-12",B14*30/14,B14)</f>
        <v>9978997204</v>
      </c>
      <c r="H14" s="13" t="n">
        <f aca="false">FORECAST($I14,$G$4:$G$15,$I$4:$I$15)</f>
        <v>8735506260.11455</v>
      </c>
      <c r="I14" s="16" t="n">
        <v>11</v>
      </c>
    </row>
    <row r="15" customFormat="false" ht="15" hidden="false" customHeight="false" outlineLevel="0" collapsed="false">
      <c r="A15" s="11" t="s">
        <v>2053</v>
      </c>
      <c r="B15" s="13" t="n">
        <f aca="false">SUMIFS(Datos!$Q$3:$Q$1903,Datos!$U$3:$U$1903,$A15)</f>
        <v>4499428125</v>
      </c>
      <c r="C15" s="13" t="n">
        <f aca="false">SUMIFS(Datos!$S$3:$S$1903,Datos!$U$3:$U$1903,$A15)</f>
        <v>704698445</v>
      </c>
      <c r="D15" s="14" t="n">
        <f aca="false">IFERROR(C15/B15,0)</f>
        <v>0.156619558179963</v>
      </c>
      <c r="E15" s="15" t="n">
        <f aca="false">COUNTIFS(Datos!$U$3:$U$1903,$A15)</f>
        <v>81</v>
      </c>
      <c r="F15" s="15" t="n">
        <f aca="false">SUMIFS(Datos!$H$3:$H$1903,Datos!$U$3:$U$1903,$A15)</f>
        <v>1065</v>
      </c>
      <c r="G15" s="13" t="n">
        <f aca="false">IF($A15="2022-12",B15*30/14,B15)</f>
        <v>9641631696.42857</v>
      </c>
      <c r="H15" s="13" t="n">
        <f aca="false">FORECAST($I15,$G$4:$G$15,$I$4:$I$15)</f>
        <v>8659181500.61355</v>
      </c>
      <c r="I15" s="16" t="n">
        <v>12</v>
      </c>
    </row>
    <row r="16" customFormat="false" ht="15" hidden="false" customHeight="false" outlineLevel="0" collapsed="false">
      <c r="A16" s="11" t="s">
        <v>2054</v>
      </c>
      <c r="B16" s="4"/>
      <c r="C16" s="4"/>
      <c r="D16" s="4"/>
      <c r="E16" s="4"/>
      <c r="F16" s="4"/>
      <c r="G16" s="4"/>
      <c r="H16" s="13" t="n">
        <f aca="false">FORECAST($I16,$G$4:$G$15,$I$4:$I$15)</f>
        <v>8582856741.11255</v>
      </c>
      <c r="I16" s="16" t="n">
        <v>13</v>
      </c>
    </row>
    <row r="17" customFormat="false" ht="15" hidden="false" customHeight="false" outlineLevel="0" collapsed="false">
      <c r="A17" s="11" t="s">
        <v>2055</v>
      </c>
      <c r="B17" s="4"/>
      <c r="C17" s="4"/>
      <c r="D17" s="4"/>
      <c r="E17" s="4"/>
      <c r="F17" s="4"/>
      <c r="G17" s="4"/>
      <c r="H17" s="13" t="n">
        <f aca="false">FORECAST($I17,$G$4:$G$15,$I$4:$I$15)</f>
        <v>8506531981.61156</v>
      </c>
      <c r="I17" s="16" t="n">
        <v>14</v>
      </c>
    </row>
    <row r="18" customFormat="false" ht="15" hidden="false" customHeight="false" outlineLevel="0" collapsed="false">
      <c r="A18" s="11" t="s">
        <v>2056</v>
      </c>
      <c r="B18" s="4"/>
      <c r="C18" s="4"/>
      <c r="D18" s="4"/>
      <c r="E18" s="4"/>
      <c r="F18" s="4"/>
      <c r="G18" s="4"/>
      <c r="H18" s="13" t="n">
        <f aca="false">FORECAST($I18,$G$4:$G$15,$I$4:$I$15)</f>
        <v>8430207222.11056</v>
      </c>
      <c r="I18" s="16" t="n">
        <v>15</v>
      </c>
    </row>
    <row r="20" customFormat="false" ht="15" hidden="false" customHeight="false" outlineLevel="0" collapsed="false">
      <c r="A20" s="17" t="s">
        <v>2057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5"/>
  </cols>
  <sheetData>
    <row r="1" customFormat="false" ht="21.75" hidden="false" customHeight="true" outlineLevel="0" collapsed="false">
      <c r="A1" s="9" t="s">
        <v>2058</v>
      </c>
      <c r="B1" s="9"/>
      <c r="C1" s="9"/>
      <c r="D1" s="9"/>
      <c r="E1" s="9"/>
      <c r="F1" s="9"/>
    </row>
    <row r="2" customFormat="false" ht="15" hidden="false" customHeight="false" outlineLevel="0" collapsed="false">
      <c r="A2" s="2" t="s">
        <v>2059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46</v>
      </c>
      <c r="B3" s="3" t="s">
        <v>60</v>
      </c>
      <c r="C3" s="3" t="s">
        <v>62</v>
      </c>
      <c r="D3" s="3" t="s">
        <v>63</v>
      </c>
      <c r="E3" s="3" t="s">
        <v>2039</v>
      </c>
      <c r="F3" s="3" t="s">
        <v>2060</v>
      </c>
    </row>
    <row r="4" customFormat="false" ht="15" hidden="false" customHeight="false" outlineLevel="0" collapsed="false">
      <c r="A4" s="11" t="s">
        <v>117</v>
      </c>
      <c r="B4" s="13" t="n">
        <f aca="false">SUMIFS(Datos!$Q$3:$Q$1903,Datos!$C$3:$C$1903,$A4)</f>
        <v>9897540996</v>
      </c>
      <c r="C4" s="13" t="n">
        <f aca="false">SUMIFS(Datos!$S$3:$S$1903,Datos!$C$3:$C$1903,$A4)</f>
        <v>2071540996</v>
      </c>
      <c r="D4" s="14" t="n">
        <f aca="false">IFERROR(C4/B4,0)</f>
        <v>0.209298551714733</v>
      </c>
      <c r="E4" s="15" t="n">
        <f aca="false">SUMIFS(Datos!$H$3:$H$1903,Datos!$C$3:$C$1903,$A4)</f>
        <v>1204</v>
      </c>
      <c r="F4" s="13" t="n">
        <f aca="false">IFERROR(B4/E4,0)</f>
        <v>8220549</v>
      </c>
    </row>
    <row r="5" customFormat="false" ht="15" hidden="false" customHeight="false" outlineLevel="0" collapsed="false">
      <c r="A5" s="11" t="s">
        <v>135</v>
      </c>
      <c r="B5" s="13" t="n">
        <f aca="false">SUMIFS(Datos!$Q$3:$Q$1903,Datos!$C$3:$C$1903,$A5)</f>
        <v>9468071808</v>
      </c>
      <c r="C5" s="13" t="n">
        <f aca="false">SUMIFS(Datos!$S$3:$S$1903,Datos!$C$3:$C$1903,$A5)</f>
        <v>757031808</v>
      </c>
      <c r="D5" s="14" t="n">
        <f aca="false">IFERROR(C5/B5,0)</f>
        <v>0.0799562807878527</v>
      </c>
      <c r="E5" s="15" t="n">
        <f aca="false">SUMIFS(Datos!$H$3:$H$1903,Datos!$C$3:$C$1903,$A5)</f>
        <v>1664</v>
      </c>
      <c r="F5" s="13" t="n">
        <f aca="false">IFERROR(B5/E5,0)</f>
        <v>5689947</v>
      </c>
    </row>
    <row r="6" customFormat="false" ht="15" hidden="false" customHeight="false" outlineLevel="0" collapsed="false">
      <c r="A6" s="11" t="s">
        <v>148</v>
      </c>
      <c r="B6" s="13" t="n">
        <f aca="false">SUMIFS(Datos!$Q$3:$Q$1903,Datos!$C$3:$C$1903,$A6)</f>
        <v>8806137912</v>
      </c>
      <c r="C6" s="13" t="n">
        <f aca="false">SUMIFS(Datos!$S$3:$S$1903,Datos!$C$3:$C$1903,$A6)</f>
        <v>865545912</v>
      </c>
      <c r="D6" s="14" t="n">
        <f aca="false">IFERROR(C6/B6,0)</f>
        <v>0.0982889344511097</v>
      </c>
      <c r="E6" s="15" t="n">
        <f aca="false">SUMIFS(Datos!$H$3:$H$1903,Datos!$C$3:$C$1903,$A6)</f>
        <v>1782</v>
      </c>
      <c r="F6" s="13" t="n">
        <f aca="false">IFERROR(B6/E6,0)</f>
        <v>4941716</v>
      </c>
    </row>
    <row r="7" customFormat="false" ht="15" hidden="false" customHeight="false" outlineLevel="0" collapsed="false">
      <c r="A7" s="11" t="s">
        <v>121</v>
      </c>
      <c r="B7" s="13" t="n">
        <f aca="false">SUMIFS(Datos!$Q$3:$Q$1903,Datos!$C$3:$C$1903,$A7)</f>
        <v>8517499592</v>
      </c>
      <c r="C7" s="13" t="n">
        <f aca="false">SUMIFS(Datos!$S$3:$S$1903,Datos!$C$3:$C$1903,$A7)</f>
        <v>1315499592</v>
      </c>
      <c r="D7" s="14" t="n">
        <f aca="false">IFERROR(C7/B7,0)</f>
        <v>0.154446686822923</v>
      </c>
      <c r="E7" s="15" t="n">
        <f aca="false">SUMIFS(Datos!$H$3:$H$1903,Datos!$C$3:$C$1903,$A7)</f>
        <v>1108</v>
      </c>
      <c r="F7" s="13" t="n">
        <f aca="false">IFERROR(B7/E7,0)</f>
        <v>7687274</v>
      </c>
    </row>
    <row r="8" customFormat="false" ht="15" hidden="false" customHeight="false" outlineLevel="0" collapsed="false">
      <c r="A8" s="11" t="s">
        <v>128</v>
      </c>
      <c r="B8" s="13" t="n">
        <f aca="false">SUMIFS(Datos!$Q$3:$Q$1903,Datos!$C$3:$C$1903,$A8)</f>
        <v>6585570108</v>
      </c>
      <c r="C8" s="13" t="n">
        <f aca="false">SUMIFS(Datos!$S$3:$S$1903,Datos!$C$3:$C$1903,$A8)</f>
        <v>2482170108</v>
      </c>
      <c r="D8" s="14" t="n">
        <f aca="false">IFERROR(C8/B8,0)</f>
        <v>0.37691043710623</v>
      </c>
      <c r="E8" s="15" t="n">
        <f aca="false">SUMIFS(Datos!$H$3:$H$1903,Datos!$C$3:$C$1903,$A8)</f>
        <v>1954</v>
      </c>
      <c r="F8" s="13" t="n">
        <f aca="false">IFERROR(B8/E8,0)</f>
        <v>3370302</v>
      </c>
    </row>
    <row r="9" customFormat="false" ht="15" hidden="false" customHeight="false" outlineLevel="0" collapsed="false">
      <c r="A9" s="11" t="s">
        <v>92</v>
      </c>
      <c r="B9" s="13" t="n">
        <f aca="false">SUMIFS(Datos!$Q$3:$Q$1903,Datos!$C$3:$C$1903,$A9)</f>
        <v>6367914400</v>
      </c>
      <c r="C9" s="13" t="n">
        <f aca="false">SUMIFS(Datos!$S$3:$S$1903,Datos!$C$3:$C$1903,$A9)</f>
        <v>849914400</v>
      </c>
      <c r="D9" s="14" t="n">
        <f aca="false">IFERROR(C9/B9,0)</f>
        <v>0.133468251394837</v>
      </c>
      <c r="E9" s="15" t="n">
        <f aca="false">SUMIFS(Datos!$H$3:$H$1903,Datos!$C$3:$C$1903,$A9)</f>
        <v>1780</v>
      </c>
      <c r="F9" s="13" t="n">
        <f aca="false">IFERROR(B9/E9,0)</f>
        <v>3577480</v>
      </c>
    </row>
    <row r="10" customFormat="false" ht="15" hidden="false" customHeight="false" outlineLevel="0" collapsed="false">
      <c r="A10" s="11" t="s">
        <v>132</v>
      </c>
      <c r="B10" s="13" t="n">
        <f aca="false">SUMIFS(Datos!$Q$3:$Q$1903,Datos!$C$3:$C$1903,$A10)</f>
        <v>6033325368</v>
      </c>
      <c r="C10" s="13" t="n">
        <f aca="false">SUMIFS(Datos!$S$3:$S$1903,Datos!$C$3:$C$1903,$A10)</f>
        <v>857349368</v>
      </c>
      <c r="D10" s="14" t="n">
        <f aca="false">IFERROR(C10/B10,0)</f>
        <v>0.142102292799801</v>
      </c>
      <c r="E10" s="15" t="n">
        <f aca="false">SUMIFS(Datos!$H$3:$H$1903,Datos!$C$3:$C$1903,$A10)</f>
        <v>1256</v>
      </c>
      <c r="F10" s="13" t="n">
        <f aca="false">IFERROR(B10/E10,0)</f>
        <v>4803603</v>
      </c>
    </row>
    <row r="11" customFormat="false" ht="15" hidden="false" customHeight="false" outlineLevel="0" collapsed="false">
      <c r="A11" s="11" t="s">
        <v>137</v>
      </c>
      <c r="B11" s="13" t="n">
        <f aca="false">SUMIFS(Datos!$Q$3:$Q$1903,Datos!$C$3:$C$1903,$A11)</f>
        <v>5161483346</v>
      </c>
      <c r="C11" s="13" t="n">
        <f aca="false">SUMIFS(Datos!$S$3:$S$1903,Datos!$C$3:$C$1903,$A11)</f>
        <v>281263346</v>
      </c>
      <c r="D11" s="14" t="n">
        <f aca="false">IFERROR(C11/B11,0)</f>
        <v>0.0544927353525166</v>
      </c>
      <c r="E11" s="15" t="n">
        <f aca="false">SUMIFS(Datos!$H$3:$H$1903,Datos!$C$3:$C$1903,$A11)</f>
        <v>998</v>
      </c>
      <c r="F11" s="13" t="n">
        <f aca="false">IFERROR(B11/E11,0)</f>
        <v>5171827</v>
      </c>
    </row>
    <row r="12" customFormat="false" ht="15" hidden="false" customHeight="false" outlineLevel="0" collapsed="false">
      <c r="A12" s="11" t="s">
        <v>97</v>
      </c>
      <c r="B12" s="13" t="n">
        <f aca="false">SUMIFS(Datos!$Q$3:$Q$1903,Datos!$C$3:$C$1903,$A12)</f>
        <v>4949845104</v>
      </c>
      <c r="C12" s="13" t="n">
        <f aca="false">SUMIFS(Datos!$S$3:$S$1903,Datos!$C$3:$C$1903,$A12)</f>
        <v>844771344</v>
      </c>
      <c r="D12" s="14" t="n">
        <f aca="false">IFERROR(C12/B12,0)</f>
        <v>0.170666218083741</v>
      </c>
      <c r="E12" s="15" t="n">
        <f aca="false">SUMIFS(Datos!$H$3:$H$1903,Datos!$C$3:$C$1903,$A12)</f>
        <v>996</v>
      </c>
      <c r="F12" s="13" t="n">
        <f aca="false">IFERROR(B12/E12,0)</f>
        <v>4969724</v>
      </c>
    </row>
    <row r="13" customFormat="false" ht="15" hidden="false" customHeight="false" outlineLevel="0" collapsed="false">
      <c r="A13" s="11" t="s">
        <v>141</v>
      </c>
      <c r="B13" s="13" t="n">
        <f aca="false">SUMIFS(Datos!$Q$3:$Q$1903,Datos!$C$3:$C$1903,$A13)</f>
        <v>4392824184</v>
      </c>
      <c r="C13" s="13" t="n">
        <f aca="false">SUMIFS(Datos!$S$3:$S$1903,Datos!$C$3:$C$1903,$A13)</f>
        <v>982076184</v>
      </c>
      <c r="D13" s="14" t="n">
        <f aca="false">IFERROR(C13/B13,0)</f>
        <v>0.22356373550688</v>
      </c>
      <c r="E13" s="15" t="n">
        <f aca="false">SUMIFS(Datos!$H$3:$H$1903,Datos!$C$3:$C$1903,$A13)</f>
        <v>1566</v>
      </c>
      <c r="F13" s="13" t="n">
        <f aca="false">IFERROR(B13/E13,0)</f>
        <v>2805124</v>
      </c>
    </row>
    <row r="14" customFormat="false" ht="15" hidden="false" customHeight="false" outlineLevel="0" collapsed="false">
      <c r="A14" s="11" t="s">
        <v>111</v>
      </c>
      <c r="B14" s="13" t="n">
        <f aca="false">SUMIFS(Datos!$Q$3:$Q$1903,Datos!$C$3:$C$1903,$A14)</f>
        <v>4269152832</v>
      </c>
      <c r="C14" s="13" t="n">
        <f aca="false">SUMIFS(Datos!$S$3:$S$1903,Datos!$C$3:$C$1903,$A14)</f>
        <v>235752832</v>
      </c>
      <c r="D14" s="14" t="n">
        <f aca="false">IFERROR(C14/B14,0)</f>
        <v>0.0552223921881839</v>
      </c>
      <c r="E14" s="15" t="n">
        <f aca="false">SUMIFS(Datos!$H$3:$H$1903,Datos!$C$3:$C$1903,$A14)</f>
        <v>1204</v>
      </c>
      <c r="F14" s="13" t="n">
        <f aca="false">IFERROR(B14/E14,0)</f>
        <v>3545808</v>
      </c>
    </row>
    <row r="15" customFormat="false" ht="15" hidden="false" customHeight="false" outlineLevel="0" collapsed="false">
      <c r="A15" s="11" t="s">
        <v>125</v>
      </c>
      <c r="B15" s="13" t="n">
        <f aca="false">SUMIFS(Datos!$Q$3:$Q$1903,Datos!$C$3:$C$1903,$A15)</f>
        <v>4194947718</v>
      </c>
      <c r="C15" s="13" t="n">
        <f aca="false">SUMIFS(Datos!$S$3:$S$1903,Datos!$C$3:$C$1903,$A15)</f>
        <v>1021547718</v>
      </c>
      <c r="D15" s="14" t="n">
        <f aca="false">IFERROR(C15/B15,0)</f>
        <v>0.243518581558637</v>
      </c>
      <c r="E15" s="15" t="n">
        <f aca="false">SUMIFS(Datos!$H$3:$H$1903,Datos!$C$3:$C$1903,$A15)</f>
        <v>738</v>
      </c>
      <c r="F15" s="13" t="n">
        <f aca="false">IFERROR(B15/E15,0)</f>
        <v>5684211</v>
      </c>
    </row>
    <row r="16" customFormat="false" ht="15" hidden="false" customHeight="false" outlineLevel="0" collapsed="false">
      <c r="A16" s="11" t="s">
        <v>146</v>
      </c>
      <c r="B16" s="13" t="n">
        <f aca="false">SUMIFS(Datos!$Q$3:$Q$1903,Datos!$C$3:$C$1903,$A16)</f>
        <v>4119431000</v>
      </c>
      <c r="C16" s="13" t="n">
        <f aca="false">SUMIFS(Datos!$S$3:$S$1903,Datos!$C$3:$C$1903,$A16)</f>
        <v>614721000</v>
      </c>
      <c r="D16" s="14" t="n">
        <f aca="false">IFERROR(C16/B16,0)</f>
        <v>0.149224735163667</v>
      </c>
      <c r="E16" s="15" t="n">
        <f aca="false">SUMIFS(Datos!$H$3:$H$1903,Datos!$C$3:$C$1903,$A16)</f>
        <v>1510</v>
      </c>
      <c r="F16" s="13" t="n">
        <f aca="false">IFERROR(B16/E16,0)</f>
        <v>2728100</v>
      </c>
    </row>
    <row r="17" customFormat="false" ht="15" hidden="false" customHeight="false" outlineLevel="0" collapsed="false">
      <c r="A17" s="11" t="s">
        <v>108</v>
      </c>
      <c r="B17" s="13" t="n">
        <f aca="false">SUMIFS(Datos!$Q$3:$Q$1903,Datos!$C$3:$C$1903,$A17)</f>
        <v>3701630640</v>
      </c>
      <c r="C17" s="13" t="n">
        <f aca="false">SUMIFS(Datos!$S$3:$S$1903,Datos!$C$3:$C$1903,$A17)</f>
        <v>1017530640</v>
      </c>
      <c r="D17" s="14" t="n">
        <f aca="false">IFERROR(C17/B17,0)</f>
        <v>0.274887134606169</v>
      </c>
      <c r="E17" s="15" t="n">
        <f aca="false">SUMIFS(Datos!$H$3:$H$1903,Datos!$C$3:$C$1903,$A17)</f>
        <v>778</v>
      </c>
      <c r="F17" s="13" t="n">
        <f aca="false">IFERROR(B17/E17,0)</f>
        <v>4757880</v>
      </c>
    </row>
    <row r="18" customFormat="false" ht="15" hidden="false" customHeight="false" outlineLevel="0" collapsed="false">
      <c r="A18" s="11" t="s">
        <v>66</v>
      </c>
      <c r="B18" s="13" t="n">
        <f aca="false">SUMIFS(Datos!$Q$3:$Q$1903,Datos!$C$3:$C$1903,$A18)</f>
        <v>3335553488</v>
      </c>
      <c r="C18" s="13" t="n">
        <f aca="false">SUMIFS(Datos!$S$3:$S$1903,Datos!$C$3:$C$1903,$A18)</f>
        <v>534913488</v>
      </c>
      <c r="D18" s="14" t="n">
        <f aca="false">IFERROR(C18/B18,0)</f>
        <v>0.160367234380863</v>
      </c>
      <c r="E18" s="15" t="n">
        <f aca="false">SUMIFS(Datos!$H$3:$H$1903,Datos!$C$3:$C$1903,$A18)</f>
        <v>1094</v>
      </c>
      <c r="F18" s="13" t="n">
        <f aca="false">IFERROR(B18/E18,0)</f>
        <v>3048952</v>
      </c>
    </row>
    <row r="19" customFormat="false" ht="15" hidden="false" customHeight="false" outlineLevel="0" collapsed="false">
      <c r="A19" s="11" t="s">
        <v>115</v>
      </c>
      <c r="B19" s="13" t="n">
        <f aca="false">SUMIFS(Datos!$Q$3:$Q$1903,Datos!$C$3:$C$1903,$A19)</f>
        <v>3192564680</v>
      </c>
      <c r="C19" s="13" t="n">
        <f aca="false">SUMIFS(Datos!$S$3:$S$1903,Datos!$C$3:$C$1903,$A19)</f>
        <v>75804680</v>
      </c>
      <c r="D19" s="14" t="n">
        <f aca="false">IFERROR(C19/B19,0)</f>
        <v>0.023744132883159</v>
      </c>
      <c r="E19" s="15" t="n">
        <f aca="false">SUMIFS(Datos!$H$3:$H$1903,Datos!$C$3:$C$1903,$A19)</f>
        <v>760</v>
      </c>
      <c r="F19" s="13" t="n">
        <f aca="false">IFERROR(B19/E19,0)</f>
        <v>4200743</v>
      </c>
    </row>
    <row r="20" customFormat="false" ht="15" hidden="false" customHeight="false" outlineLevel="0" collapsed="false">
      <c r="A20" s="11" t="s">
        <v>103</v>
      </c>
      <c r="B20" s="13" t="n">
        <f aca="false">SUMIFS(Datos!$Q$3:$Q$1903,Datos!$C$3:$C$1903,$A20)</f>
        <v>3074250550</v>
      </c>
      <c r="C20" s="13" t="n">
        <f aca="false">SUMIFS(Datos!$S$3:$S$1903,Datos!$C$3:$C$1903,$A20)</f>
        <v>481450550</v>
      </c>
      <c r="D20" s="14" t="n">
        <f aca="false">IFERROR(C20/B20,0)</f>
        <v>0.15660745348163</v>
      </c>
      <c r="E20" s="15" t="n">
        <f aca="false">SUMIFS(Datos!$H$3:$H$1903,Datos!$C$3:$C$1903,$A20)</f>
        <v>926</v>
      </c>
      <c r="F20" s="13" t="n">
        <f aca="false">IFERROR(B20/E20,0)</f>
        <v>3319925</v>
      </c>
    </row>
    <row r="21" customFormat="false" ht="15" hidden="false" customHeight="false" outlineLevel="0" collapsed="false">
      <c r="A21" s="11" t="s">
        <v>84</v>
      </c>
      <c r="B21" s="13" t="n">
        <f aca="false">SUMIFS(Datos!$Q$3:$Q$1903,Datos!$C$3:$C$1903,$A21)</f>
        <v>2943200000</v>
      </c>
      <c r="C21" s="13" t="n">
        <f aca="false">SUMIFS(Datos!$S$3:$S$1903,Datos!$C$3:$C$1903,$A21)</f>
        <v>339600000</v>
      </c>
      <c r="D21" s="14" t="n">
        <f aca="false">IFERROR(C21/B21,0)</f>
        <v>0.115384615384615</v>
      </c>
      <c r="E21" s="15" t="n">
        <f aca="false">SUMIFS(Datos!$H$3:$H$1903,Datos!$C$3:$C$1903,$A21)</f>
        <v>1132</v>
      </c>
      <c r="F21" s="13" t="n">
        <f aca="false">IFERROR(B21/E21,0)</f>
        <v>2600000</v>
      </c>
    </row>
    <row r="22" customFormat="false" ht="15" hidden="false" customHeight="false" outlineLevel="0" collapsed="false">
      <c r="A22" s="11" t="s">
        <v>78</v>
      </c>
      <c r="B22" s="13" t="n">
        <f aca="false">SUMIFS(Datos!$Q$3:$Q$1903,Datos!$C$3:$C$1903,$A22)</f>
        <v>2442220000</v>
      </c>
      <c r="C22" s="13" t="n">
        <f aca="false">SUMIFS(Datos!$S$3:$S$1903,Datos!$C$3:$C$1903,$A22)</f>
        <v>287320000</v>
      </c>
      <c r="D22" s="14" t="n">
        <f aca="false">IFERROR(C22/B22,0)</f>
        <v>0.117647058823529</v>
      </c>
      <c r="E22" s="15" t="n">
        <f aca="false">SUMIFS(Datos!$H$3:$H$1903,Datos!$C$3:$C$1903,$A22)</f>
        <v>1306</v>
      </c>
      <c r="F22" s="13" t="n">
        <f aca="false">IFERROR(B22/E22,0)</f>
        <v>1870000</v>
      </c>
    </row>
    <row r="23" customFormat="false" ht="15" hidden="false" customHeight="false" outlineLevel="0" collapsed="false">
      <c r="A23" s="11" t="s">
        <v>130</v>
      </c>
      <c r="B23" s="13" t="n">
        <f aca="false">SUMIFS(Datos!$Q$3:$Q$1903,Datos!$C$3:$C$1903,$A23)</f>
        <v>2179613308</v>
      </c>
      <c r="C23" s="13" t="n">
        <f aca="false">SUMIFS(Datos!$S$3:$S$1903,Datos!$C$3:$C$1903,$A23)</f>
        <v>307813308</v>
      </c>
      <c r="D23" s="14" t="n">
        <f aca="false">IFERROR(C23/B23,0)</f>
        <v>0.141223815651249</v>
      </c>
      <c r="E23" s="15" t="n">
        <f aca="false">SUMIFS(Datos!$H$3:$H$1903,Datos!$C$3:$C$1903,$A23)</f>
        <v>764</v>
      </c>
      <c r="F23" s="13" t="n">
        <f aca="false">IFERROR(B23/E23,0)</f>
        <v>2852897</v>
      </c>
    </row>
    <row r="24" customFormat="false" ht="15" hidden="false" customHeight="false" outlineLevel="0" collapsed="false">
      <c r="A24" s="11" t="s">
        <v>2035</v>
      </c>
      <c r="B24" s="13" t="n">
        <f aca="false">SUMIFS(Datos!$Q$3:$Q$1903,Datos!$C$3:$C$1903,$A24)</f>
        <v>172631529</v>
      </c>
      <c r="C24" s="13" t="n">
        <f aca="false">SUMIFS(Datos!$S$3:$S$1903,Datos!$C$3:$C$1903,$A24)</f>
        <v>36131529</v>
      </c>
      <c r="D24" s="14" t="n">
        <f aca="false">IFERROR(C24/B24,0)</f>
        <v>0.209298551714733</v>
      </c>
      <c r="E24" s="15" t="n">
        <f aca="false">SUMIFS(Datos!$H$3:$H$1903,Datos!$C$3:$C$1903,$A24)</f>
        <v>21</v>
      </c>
      <c r="F24" s="13" t="n">
        <f aca="false">IFERROR(B24/E24,0)</f>
        <v>8220549</v>
      </c>
    </row>
    <row r="26" customFormat="false" ht="15" hidden="false" customHeight="false" outlineLevel="0" collapsed="false">
      <c r="A26" s="7" t="s">
        <v>2061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" t="s">
        <v>48</v>
      </c>
      <c r="B27" s="3" t="s">
        <v>60</v>
      </c>
      <c r="C27" s="3" t="s">
        <v>62</v>
      </c>
      <c r="D27" s="3" t="s">
        <v>63</v>
      </c>
      <c r="E27" s="3" t="s">
        <v>2062</v>
      </c>
      <c r="F27" s="3"/>
    </row>
    <row r="28" customFormat="false" ht="15" hidden="false" customHeight="false" outlineLevel="0" collapsed="false">
      <c r="A28" s="11" t="s">
        <v>68</v>
      </c>
      <c r="B28" s="13" t="n">
        <f aca="false">SUMIFS(Datos!$Q$3:$Q$1903,Datos!$E$3:$E$1903,$A28)</f>
        <v>27792445162</v>
      </c>
      <c r="C28" s="13" t="n">
        <f aca="false">SUMIFS(Datos!$S$3:$S$1903,Datos!$E$3:$E$1903,$A28)</f>
        <v>3956089162</v>
      </c>
      <c r="D28" s="14" t="n">
        <f aca="false">IFERROR(C28/B28,0)</f>
        <v>0.142344048497362</v>
      </c>
      <c r="E28" s="14" t="n">
        <f aca="false">IFERROR(B28/SUM(Datos!$Q$3:$Q$1903),0)</f>
        <v>0.267736002841631</v>
      </c>
      <c r="F28" s="4"/>
    </row>
    <row r="29" customFormat="false" ht="15" hidden="false" customHeight="false" outlineLevel="0" collapsed="false">
      <c r="A29" s="11" t="s">
        <v>122</v>
      </c>
      <c r="B29" s="13" t="n">
        <f aca="false">SUMIFS(Datos!$Q$3:$Q$1903,Datos!$E$3:$E$1903,$A29)</f>
        <v>17323637504</v>
      </c>
      <c r="C29" s="13" t="n">
        <f aca="false">SUMIFS(Datos!$S$3:$S$1903,Datos!$E$3:$E$1903,$A29)</f>
        <v>2181045504</v>
      </c>
      <c r="D29" s="14" t="n">
        <f aca="false">IFERROR(C29/B29,0)</f>
        <v>0.125899973576358</v>
      </c>
      <c r="E29" s="14" t="n">
        <f aca="false">IFERROR(B29/SUM(Datos!$Q$3:$Q$1903),0)</f>
        <v>0.166885692603254</v>
      </c>
      <c r="F29" s="4"/>
    </row>
    <row r="30" customFormat="false" ht="15" hidden="false" customHeight="false" outlineLevel="0" collapsed="false">
      <c r="A30" s="11" t="s">
        <v>119</v>
      </c>
      <c r="B30" s="13" t="n">
        <f aca="false">SUMIFS(Datos!$Q$3:$Q$1903,Datos!$E$3:$E$1903,$A30)</f>
        <v>16655742633</v>
      </c>
      <c r="C30" s="13" t="n">
        <f aca="false">SUMIFS(Datos!$S$3:$S$1903,Datos!$E$3:$E$1903,$A30)</f>
        <v>4589842633</v>
      </c>
      <c r="D30" s="14" t="n">
        <f aca="false">IFERROR(C30/B30,0)</f>
        <v>0.275571178910159</v>
      </c>
      <c r="E30" s="14" t="n">
        <f aca="false">IFERROR(B30/SUM(Datos!$Q$3:$Q$1903),0)</f>
        <v>0.160451587865882</v>
      </c>
      <c r="F30" s="4"/>
    </row>
    <row r="31" customFormat="false" ht="15" hidden="false" customHeight="false" outlineLevel="0" collapsed="false">
      <c r="A31" s="11" t="s">
        <v>79</v>
      </c>
      <c r="B31" s="13" t="n">
        <f aca="false">SUMIFS(Datos!$Q$3:$Q$1903,Datos!$E$3:$E$1903,$A31)</f>
        <v>13079287232</v>
      </c>
      <c r="C31" s="13" t="n">
        <f aca="false">SUMIFS(Datos!$S$3:$S$1903,Datos!$E$3:$E$1903,$A31)</f>
        <v>1372987232</v>
      </c>
      <c r="D31" s="14" t="n">
        <f aca="false">IFERROR(C31/B31,0)</f>
        <v>0.104974163166998</v>
      </c>
      <c r="E31" s="14" t="n">
        <f aca="false">IFERROR(B31/SUM(Datos!$Q$3:$Q$1903),0)</f>
        <v>0.125998128739719</v>
      </c>
      <c r="F31" s="4"/>
    </row>
    <row r="32" customFormat="false" ht="15" hidden="false" customHeight="false" outlineLevel="0" collapsed="false">
      <c r="A32" s="11" t="s">
        <v>139</v>
      </c>
      <c r="B32" s="13" t="n">
        <f aca="false">SUMIFS(Datos!$Q$3:$Q$1903,Datos!$E$3:$E$1903,$A32)</f>
        <v>9280914346</v>
      </c>
      <c r="C32" s="13" t="n">
        <f aca="false">SUMIFS(Datos!$S$3:$S$1903,Datos!$E$3:$E$1903,$A32)</f>
        <v>895984346</v>
      </c>
      <c r="D32" s="14" t="n">
        <f aca="false">IFERROR(C32/B32,0)</f>
        <v>0.0965405252755255</v>
      </c>
      <c r="E32" s="14" t="n">
        <f aca="false">IFERROR(B32/SUM(Datos!$Q$3:$Q$1903),0)</f>
        <v>0.0894068476245857</v>
      </c>
      <c r="F32" s="4"/>
    </row>
    <row r="33" customFormat="false" ht="15" hidden="false" customHeight="false" outlineLevel="0" collapsed="false">
      <c r="A33" s="11" t="s">
        <v>98</v>
      </c>
      <c r="B33" s="13" t="n">
        <f aca="false">SUMIFS(Datos!$Q$3:$Q$1903,Datos!$E$3:$E$1903,$A33)</f>
        <v>8142409784</v>
      </c>
      <c r="C33" s="13" t="n">
        <f aca="false">SUMIFS(Datos!$S$3:$S$1903,Datos!$E$3:$E$1903,$A33)</f>
        <v>920576024</v>
      </c>
      <c r="D33" s="14" t="n">
        <f aca="false">IFERROR(C33/B33,0)</f>
        <v>0.113059407278783</v>
      </c>
      <c r="E33" s="14" t="n">
        <f aca="false">IFERROR(B33/SUM(Datos!$Q$3:$Q$1903),0)</f>
        <v>0.0784391670599546</v>
      </c>
      <c r="F33" s="4"/>
    </row>
    <row r="34" customFormat="false" ht="15" hidden="false" customHeight="false" outlineLevel="0" collapsed="false">
      <c r="A34" s="11" t="s">
        <v>142</v>
      </c>
      <c r="B34" s="13" t="n">
        <f aca="false">SUMIFS(Datos!$Q$3:$Q$1903,Datos!$E$3:$E$1903,$A34)</f>
        <v>4392824184</v>
      </c>
      <c r="C34" s="13" t="n">
        <f aca="false">SUMIFS(Datos!$S$3:$S$1903,Datos!$E$3:$E$1903,$A34)</f>
        <v>982076184</v>
      </c>
      <c r="D34" s="14" t="n">
        <f aca="false">IFERROR(C34/B34,0)</f>
        <v>0.22356373550688</v>
      </c>
      <c r="E34" s="14" t="n">
        <f aca="false">IFERROR(B34/SUM(Datos!$Q$3:$Q$1903),0)</f>
        <v>0.042317873845022</v>
      </c>
      <c r="F34" s="4"/>
    </row>
    <row r="35" customFormat="false" ht="15" hidden="false" customHeight="false" outlineLevel="0" collapsed="false">
      <c r="A35" s="11" t="s">
        <v>126</v>
      </c>
      <c r="B35" s="13" t="n">
        <f aca="false">SUMIFS(Datos!$Q$3:$Q$1903,Datos!$E$3:$E$1903,$A35)</f>
        <v>4194947718</v>
      </c>
      <c r="C35" s="13" t="n">
        <f aca="false">SUMIFS(Datos!$S$3:$S$1903,Datos!$E$3:$E$1903,$A35)</f>
        <v>1021547718</v>
      </c>
      <c r="D35" s="14" t="n">
        <f aca="false">IFERROR(C35/B35,0)</f>
        <v>0.243518581558637</v>
      </c>
      <c r="E35" s="14" t="n">
        <f aca="false">IFERROR(B35/SUM(Datos!$Q$3:$Q$1903),0)</f>
        <v>0.0404116488347914</v>
      </c>
      <c r="F35" s="4"/>
    </row>
    <row r="36" customFormat="false" ht="15" hidden="false" customHeight="false" outlineLevel="0" collapsed="false">
      <c r="A36" s="11" t="s">
        <v>85</v>
      </c>
      <c r="B36" s="13" t="n">
        <f aca="false">SUMIFS(Datos!$Q$3:$Q$1903,Datos!$E$3:$E$1903,$A36)</f>
        <v>2943200000</v>
      </c>
      <c r="C36" s="13" t="n">
        <f aca="false">SUMIFS(Datos!$S$3:$S$1903,Datos!$E$3:$E$1903,$A36)</f>
        <v>339600000</v>
      </c>
      <c r="D36" s="14" t="n">
        <f aca="false">IFERROR(C36/B36,0)</f>
        <v>0.115384615384615</v>
      </c>
      <c r="E36" s="14" t="n">
        <f aca="false">IFERROR(B36/SUM(Datos!$Q$3:$Q$1903),0)</f>
        <v>0.0283530505851606</v>
      </c>
      <c r="F36" s="4"/>
    </row>
  </sheetData>
  <mergeCells count="3">
    <mergeCell ref="A1:F1"/>
    <mergeCell ref="A2:F2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5"/>
  </cols>
  <sheetData>
    <row r="1" customFormat="false" ht="21.75" hidden="false" customHeight="true" outlineLevel="0" collapsed="false">
      <c r="A1" s="9" t="s">
        <v>2063</v>
      </c>
      <c r="B1" s="9"/>
      <c r="C1" s="9"/>
      <c r="D1" s="9"/>
      <c r="E1" s="9"/>
      <c r="F1" s="9"/>
    </row>
    <row r="2" customFormat="false" ht="15" hidden="false" customHeight="false" outlineLevel="0" collapsed="false">
      <c r="A2" s="2" t="s">
        <v>2064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53</v>
      </c>
      <c r="B3" s="3" t="s">
        <v>2065</v>
      </c>
      <c r="C3" s="3" t="s">
        <v>60</v>
      </c>
      <c r="D3" s="3" t="s">
        <v>2066</v>
      </c>
      <c r="E3" s="3" t="s">
        <v>2067</v>
      </c>
      <c r="F3" s="3" t="s">
        <v>2038</v>
      </c>
    </row>
    <row r="4" customFormat="false" ht="15" hidden="false" customHeight="false" outlineLevel="0" collapsed="false">
      <c r="A4" s="11" t="s">
        <v>80</v>
      </c>
      <c r="B4" s="11" t="s">
        <v>81</v>
      </c>
      <c r="C4" s="13" t="n">
        <f aca="false">SUMIFS(Datos!$Q$3:$Q$1903,Datos!$J$3:$J$1903,$A4)</f>
        <v>43739616368</v>
      </c>
      <c r="D4" s="14" t="n">
        <f aca="false">IFERROR(C4/SUM(Datos!$Q$3:$Q$1903),0)</f>
        <v>0.421361632052671</v>
      </c>
      <c r="E4" s="14" t="n">
        <f aca="false">SUM($D$4:D4)</f>
        <v>0.421361632052671</v>
      </c>
      <c r="F4" s="15" t="n">
        <f aca="false">COUNTIFS(Datos!$J$3:$J$1903,$A4)</f>
        <v>804</v>
      </c>
    </row>
    <row r="5" customFormat="false" ht="15" hidden="false" customHeight="false" outlineLevel="0" collapsed="false">
      <c r="A5" s="11" t="s">
        <v>70</v>
      </c>
      <c r="B5" s="11" t="s">
        <v>71</v>
      </c>
      <c r="C5" s="13" t="n">
        <f aca="false">SUMIFS(Datos!$Q$3:$Q$1903,Datos!$J$3:$J$1903,$A5)</f>
        <v>20886432096</v>
      </c>
      <c r="D5" s="14" t="n">
        <f aca="false">IFERROR(C5/SUM(Datos!$Q$3:$Q$1903),0)</f>
        <v>0.201207551563404</v>
      </c>
      <c r="E5" s="14" t="n">
        <f aca="false">SUM($D$4:D5)</f>
        <v>0.622569183616075</v>
      </c>
      <c r="F5" s="15" t="n">
        <f aca="false">COUNTIFS(Datos!$J$3:$J$1903,$A5)</f>
        <v>378</v>
      </c>
    </row>
    <row r="6" customFormat="false" ht="15" hidden="false" customHeight="false" outlineLevel="0" collapsed="false">
      <c r="A6" s="11" t="s">
        <v>87</v>
      </c>
      <c r="B6" s="11" t="s">
        <v>88</v>
      </c>
      <c r="C6" s="13" t="n">
        <f aca="false">SUMIFS(Datos!$Q$3:$Q$1903,Datos!$J$3:$J$1903,$A6)</f>
        <v>19664001853</v>
      </c>
      <c r="D6" s="14" t="n">
        <f aca="false">IFERROR(C6/SUM(Datos!$Q$3:$Q$1903),0)</f>
        <v>0.189431380553411</v>
      </c>
      <c r="E6" s="14" t="n">
        <f aca="false">SUM($D$4:D6)</f>
        <v>0.812000564169486</v>
      </c>
      <c r="F6" s="15" t="n">
        <f aca="false">COUNTIFS(Datos!$J$3:$J$1903,$A6)</f>
        <v>353</v>
      </c>
    </row>
    <row r="7" customFormat="false" ht="15" hidden="false" customHeight="false" outlineLevel="0" collapsed="false">
      <c r="A7" s="11" t="s">
        <v>112</v>
      </c>
      <c r="B7" s="11" t="s">
        <v>113</v>
      </c>
      <c r="C7" s="13" t="n">
        <f aca="false">SUMIFS(Datos!$Q$3:$Q$1903,Datos!$J$3:$J$1903,$A7)</f>
        <v>19515358246</v>
      </c>
      <c r="D7" s="14" t="n">
        <f aca="false">IFERROR(C7/SUM(Datos!$Q$3:$Q$1903),0)</f>
        <v>0.187999435830514</v>
      </c>
      <c r="E7" s="14" t="n">
        <f aca="false">SUM($D$4:D7)</f>
        <v>1</v>
      </c>
      <c r="F7" s="15" t="n">
        <f aca="false">COUNTIFS(Datos!$J$3:$J$1903,$A7)</f>
        <v>366</v>
      </c>
    </row>
    <row r="10" customFormat="false" ht="15" hidden="false" customHeight="false" outlineLevel="0" collapsed="false">
      <c r="A10" s="18" t="s">
        <v>2068</v>
      </c>
      <c r="C10" s="19" t="n">
        <f aca="false">SUMPRODUCT($D$4:$D$7,$D$4:$D$7)</f>
        <v>0.289258139583193</v>
      </c>
    </row>
    <row r="11" customFormat="false" ht="15" hidden="false" customHeight="false" outlineLevel="0" collapsed="false">
      <c r="A11" s="17" t="s">
        <v>2069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7" min="6" style="0" width="10"/>
  </cols>
  <sheetData>
    <row r="1" customFormat="false" ht="21.75" hidden="false" customHeight="true" outlineLevel="0" collapsed="false">
      <c r="A1" s="9" t="s">
        <v>2070</v>
      </c>
      <c r="B1" s="9"/>
      <c r="C1" s="9"/>
      <c r="D1" s="9"/>
      <c r="E1" s="9"/>
      <c r="F1" s="9"/>
      <c r="G1" s="9"/>
    </row>
    <row r="2" customFormat="false" ht="15" hidden="false" customHeight="false" outlineLevel="0" collapsed="false">
      <c r="A2" s="2" t="s">
        <v>2071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57</v>
      </c>
      <c r="B3" s="3" t="s">
        <v>60</v>
      </c>
      <c r="C3" s="3" t="s">
        <v>62</v>
      </c>
      <c r="D3" s="3" t="s">
        <v>2038</v>
      </c>
      <c r="E3" s="3" t="s">
        <v>2060</v>
      </c>
      <c r="F3" s="3" t="s">
        <v>63</v>
      </c>
      <c r="G3" s="3" t="s">
        <v>2072</v>
      </c>
    </row>
    <row r="4" customFormat="false" ht="15" hidden="false" customHeight="false" outlineLevel="0" collapsed="false">
      <c r="A4" s="11" t="s">
        <v>74</v>
      </c>
      <c r="B4" s="13" t="n">
        <f aca="false">SUMIFS(Datos!$Q$3:$Q$1903,Datos!$N$3:$N$1903,$A4)</f>
        <v>12468916035</v>
      </c>
      <c r="C4" s="13" t="n">
        <f aca="false">SUMIFS(Datos!$S$3:$S$1903,Datos!$N$3:$N$1903,$A4)</f>
        <v>1936963075</v>
      </c>
      <c r="D4" s="15" t="n">
        <f aca="false">COUNTIFS(Datos!$N$3:$N$1903,$A4)</f>
        <v>205</v>
      </c>
      <c r="E4" s="13" t="n">
        <f aca="false">IFERROR(B4/D4,0)</f>
        <v>60823980.6585366</v>
      </c>
      <c r="F4" s="14" t="n">
        <f aca="false">IFERROR(C4/B4,0)</f>
        <v>0.155343340957865</v>
      </c>
      <c r="G4" s="15" t="n">
        <f aca="false">RANK(B4,$B$4:$B$13)</f>
        <v>1</v>
      </c>
    </row>
    <row r="5" customFormat="false" ht="15" hidden="false" customHeight="false" outlineLevel="0" collapsed="false">
      <c r="A5" s="11" t="s">
        <v>93</v>
      </c>
      <c r="B5" s="13" t="n">
        <f aca="false">SUMIFS(Datos!$Q$3:$Q$1903,Datos!$N$3:$N$1903,$A5)</f>
        <v>11001412676</v>
      </c>
      <c r="C5" s="13" t="n">
        <f aca="false">SUMIFS(Datos!$S$3:$S$1903,Datos!$N$3:$N$1903,$A5)</f>
        <v>1630615156</v>
      </c>
      <c r="D5" s="15" t="n">
        <f aca="false">COUNTIFS(Datos!$N$3:$N$1903,$A5)</f>
        <v>202</v>
      </c>
      <c r="E5" s="13" t="n">
        <f aca="false">IFERROR(B5/D5,0)</f>
        <v>54462438.990099</v>
      </c>
      <c r="F5" s="14" t="n">
        <f aca="false">IFERROR(C5/B5,0)</f>
        <v>0.148218706453695</v>
      </c>
      <c r="G5" s="15" t="n">
        <f aca="false">RANK(B5,$B$4:$B$13)</f>
        <v>2</v>
      </c>
    </row>
    <row r="6" customFormat="false" ht="15" hidden="false" customHeight="false" outlineLevel="0" collapsed="false">
      <c r="A6" s="11" t="s">
        <v>149</v>
      </c>
      <c r="B6" s="13" t="n">
        <f aca="false">SUMIFS(Datos!$Q$3:$Q$1903,Datos!$N$3:$N$1903,$A6)</f>
        <v>10813613563</v>
      </c>
      <c r="C6" s="13" t="n">
        <f aca="false">SUMIFS(Datos!$S$3:$S$1903,Datos!$N$3:$N$1903,$A6)</f>
        <v>1643451803</v>
      </c>
      <c r="D6" s="15" t="n">
        <f aca="false">COUNTIFS(Datos!$N$3:$N$1903,$A6)</f>
        <v>197</v>
      </c>
      <c r="E6" s="13" t="n">
        <f aca="false">IFERROR(B6/D6,0)</f>
        <v>54891439.4060914</v>
      </c>
      <c r="F6" s="14" t="n">
        <f aca="false">IFERROR(C6/B6,0)</f>
        <v>0.151979890295253</v>
      </c>
      <c r="G6" s="15" t="n">
        <f aca="false">RANK(B6,$B$4:$B$13)</f>
        <v>3</v>
      </c>
    </row>
    <row r="7" customFormat="false" ht="15" hidden="false" customHeight="false" outlineLevel="0" collapsed="false">
      <c r="A7" s="11" t="s">
        <v>173</v>
      </c>
      <c r="B7" s="13" t="n">
        <f aca="false">SUMIFS(Datos!$Q$3:$Q$1903,Datos!$N$3:$N$1903,$A7)</f>
        <v>10746481941</v>
      </c>
      <c r="C7" s="13" t="n">
        <f aca="false">SUMIFS(Datos!$S$3:$S$1903,Datos!$N$3:$N$1903,$A7)</f>
        <v>1698004461</v>
      </c>
      <c r="D7" s="15" t="n">
        <f aca="false">COUNTIFS(Datos!$N$3:$N$1903,$A7)</f>
        <v>182</v>
      </c>
      <c r="E7" s="13" t="n">
        <f aca="false">IFERROR(B7/D7,0)</f>
        <v>59046604.0714286</v>
      </c>
      <c r="F7" s="14" t="n">
        <f aca="false">IFERROR(C7/B7,0)</f>
        <v>0.158005612471349</v>
      </c>
      <c r="G7" s="15" t="n">
        <f aca="false">RANK(B7,$B$4:$B$13)</f>
        <v>4</v>
      </c>
    </row>
    <row r="8" customFormat="false" ht="15" hidden="false" customHeight="false" outlineLevel="0" collapsed="false">
      <c r="A8" s="11" t="s">
        <v>143</v>
      </c>
      <c r="B8" s="13" t="n">
        <f aca="false">SUMIFS(Datos!$Q$3:$Q$1903,Datos!$N$3:$N$1903,$A8)</f>
        <v>10489264790</v>
      </c>
      <c r="C8" s="13" t="n">
        <f aca="false">SUMIFS(Datos!$S$3:$S$1903,Datos!$N$3:$N$1903,$A8)</f>
        <v>1598975230</v>
      </c>
      <c r="D8" s="15" t="n">
        <f aca="false">COUNTIFS(Datos!$N$3:$N$1903,$A8)</f>
        <v>211</v>
      </c>
      <c r="E8" s="13" t="n">
        <f aca="false">IFERROR(B8/D8,0)</f>
        <v>49712155.4028436</v>
      </c>
      <c r="F8" s="14" t="n">
        <f aca="false">IFERROR(C8/B8,0)</f>
        <v>0.152439209230793</v>
      </c>
      <c r="G8" s="15" t="n">
        <f aca="false">RANK(B8,$B$4:$B$13)</f>
        <v>5</v>
      </c>
    </row>
    <row r="9" customFormat="false" ht="15" hidden="false" customHeight="false" outlineLevel="0" collapsed="false">
      <c r="A9" s="11" t="s">
        <v>133</v>
      </c>
      <c r="B9" s="13" t="n">
        <f aca="false">SUMIFS(Datos!$Q$3:$Q$1903,Datos!$N$3:$N$1903,$A9)</f>
        <v>10240320591</v>
      </c>
      <c r="C9" s="13" t="n">
        <f aca="false">SUMIFS(Datos!$S$3:$S$1903,Datos!$N$3:$N$1903,$A9)</f>
        <v>1671430991</v>
      </c>
      <c r="D9" s="15" t="n">
        <f aca="false">COUNTIFS(Datos!$N$3:$N$1903,$A9)</f>
        <v>184</v>
      </c>
      <c r="E9" s="13" t="n">
        <f aca="false">IFERROR(B9/D9,0)</f>
        <v>55653916.2554348</v>
      </c>
      <c r="F9" s="14" t="n">
        <f aca="false">IFERROR(C9/B9,0)</f>
        <v>0.163220572651699</v>
      </c>
      <c r="G9" s="15" t="n">
        <f aca="false">RANK(B9,$B$4:$B$13)</f>
        <v>6</v>
      </c>
    </row>
    <row r="10" customFormat="false" ht="15" hidden="false" customHeight="false" outlineLevel="0" collapsed="false">
      <c r="A10" s="11" t="s">
        <v>109</v>
      </c>
      <c r="B10" s="13" t="n">
        <f aca="false">SUMIFS(Datos!$Q$3:$Q$1903,Datos!$N$3:$N$1903,$A10)</f>
        <v>9927646495</v>
      </c>
      <c r="C10" s="13" t="n">
        <f aca="false">SUMIFS(Datos!$S$3:$S$1903,Datos!$N$3:$N$1903,$A10)</f>
        <v>1579910775</v>
      </c>
      <c r="D10" s="15" t="n">
        <f aca="false">COUNTIFS(Datos!$N$3:$N$1903,$A10)</f>
        <v>183</v>
      </c>
      <c r="E10" s="13" t="n">
        <f aca="false">IFERROR(B10/D10,0)</f>
        <v>54249434.3989071</v>
      </c>
      <c r="F10" s="14" t="n">
        <f aca="false">IFERROR(C10/B10,0)</f>
        <v>0.159142529480246</v>
      </c>
      <c r="G10" s="15" t="n">
        <f aca="false">RANK(B10,$B$4:$B$13)</f>
        <v>7</v>
      </c>
    </row>
    <row r="11" customFormat="false" ht="15" hidden="false" customHeight="false" outlineLevel="0" collapsed="false">
      <c r="A11" s="11" t="s">
        <v>99</v>
      </c>
      <c r="B11" s="13" t="n">
        <f aca="false">SUMIFS(Datos!$Q$3:$Q$1903,Datos!$N$3:$N$1903,$A11)</f>
        <v>9457100593</v>
      </c>
      <c r="C11" s="13" t="n">
        <f aca="false">SUMIFS(Datos!$S$3:$S$1903,Datos!$N$3:$N$1903,$A11)</f>
        <v>1451827593</v>
      </c>
      <c r="D11" s="15" t="n">
        <f aca="false">COUNTIFS(Datos!$N$3:$N$1903,$A11)</f>
        <v>187</v>
      </c>
      <c r="E11" s="13" t="n">
        <f aca="false">IFERROR(B11/D11,0)</f>
        <v>50572730.4438503</v>
      </c>
      <c r="F11" s="14" t="n">
        <f aca="false">IFERROR(C11/B11,0)</f>
        <v>0.15351719892613</v>
      </c>
      <c r="G11" s="15" t="n">
        <f aca="false">RANK(B11,$B$4:$B$13)</f>
        <v>8</v>
      </c>
    </row>
    <row r="12" customFormat="false" ht="15" hidden="false" customHeight="false" outlineLevel="0" collapsed="false">
      <c r="A12" s="11" t="s">
        <v>123</v>
      </c>
      <c r="B12" s="13" t="n">
        <f aca="false">SUMIFS(Datos!$Q$3:$Q$1903,Datos!$N$3:$N$1903,$A12)</f>
        <v>9441530676</v>
      </c>
      <c r="C12" s="13" t="n">
        <f aca="false">SUMIFS(Datos!$S$3:$S$1903,Datos!$N$3:$N$1903,$A12)</f>
        <v>1567326476</v>
      </c>
      <c r="D12" s="15" t="n">
        <f aca="false">COUNTIFS(Datos!$N$3:$N$1903,$A12)</f>
        <v>182</v>
      </c>
      <c r="E12" s="13" t="n">
        <f aca="false">IFERROR(B12/D12,0)</f>
        <v>51876542.1758242</v>
      </c>
      <c r="F12" s="14" t="n">
        <f aca="false">IFERROR(C12/B12,0)</f>
        <v>0.166003429929437</v>
      </c>
      <c r="G12" s="15" t="n">
        <f aca="false">RANK(B12,$B$4:$B$13)</f>
        <v>9</v>
      </c>
    </row>
    <row r="13" customFormat="false" ht="15" hidden="false" customHeight="false" outlineLevel="0" collapsed="false">
      <c r="A13" s="11" t="s">
        <v>104</v>
      </c>
      <c r="B13" s="13" t="n">
        <f aca="false">SUMIFS(Datos!$Q$3:$Q$1903,Datos!$N$3:$N$1903,$A13)</f>
        <v>9219121203</v>
      </c>
      <c r="C13" s="13" t="n">
        <f aca="false">SUMIFS(Datos!$S$3:$S$1903,Datos!$N$3:$N$1903,$A13)</f>
        <v>1481243243</v>
      </c>
      <c r="D13" s="15" t="n">
        <f aca="false">COUNTIFS(Datos!$N$3:$N$1903,$A13)</f>
        <v>168</v>
      </c>
      <c r="E13" s="13" t="n">
        <f aca="false">IFERROR(B13/D13,0)</f>
        <v>54875721.4464286</v>
      </c>
      <c r="F13" s="14" t="n">
        <f aca="false">IFERROR(C13/B13,0)</f>
        <v>0.160670763555857</v>
      </c>
      <c r="G13" s="15" t="n">
        <f aca="false">RANK(B13,$B$4:$B$13)</f>
        <v>10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21.75" hidden="false" customHeight="true" outlineLevel="0" collapsed="false">
      <c r="A1" s="9" t="s">
        <v>2073</v>
      </c>
      <c r="B1" s="9"/>
      <c r="C1" s="9"/>
      <c r="D1" s="9"/>
      <c r="E1" s="9"/>
    </row>
    <row r="2" customFormat="false" ht="15" hidden="false" customHeight="false" outlineLevel="0" collapsed="false">
      <c r="A2" s="2" t="s">
        <v>2074</v>
      </c>
      <c r="B2" s="2"/>
      <c r="C2" s="2"/>
      <c r="D2" s="2"/>
      <c r="E2" s="2"/>
    </row>
    <row r="4" customFormat="false" ht="15" hidden="false" customHeight="false" outlineLevel="0" collapsed="false">
      <c r="A4" s="7" t="s">
        <v>2075</v>
      </c>
      <c r="B4" s="7"/>
      <c r="C4" s="7"/>
      <c r="D4" s="7"/>
    </row>
    <row r="5" customFormat="false" ht="15" hidden="false" customHeight="false" outlineLevel="0" collapsed="false">
      <c r="A5" s="3" t="s">
        <v>2076</v>
      </c>
      <c r="B5" s="3" t="s">
        <v>60</v>
      </c>
      <c r="C5" s="3" t="s">
        <v>2062</v>
      </c>
      <c r="D5" s="3" t="s">
        <v>2038</v>
      </c>
    </row>
    <row r="6" customFormat="false" ht="15" hidden="false" customHeight="false" outlineLevel="0" collapsed="false">
      <c r="A6" s="11" t="s">
        <v>81</v>
      </c>
      <c r="B6" s="13" t="n">
        <f aca="false">SUMIFS(Datos!$Q$3:$Q$1903,Datos!$K$3:$K$1903,$A6)</f>
        <v>43739616368</v>
      </c>
      <c r="C6" s="14" t="n">
        <f aca="false">IFERROR(B6/SUM(Datos!$Q$3:$Q$1903),0)</f>
        <v>0.421361632052671</v>
      </c>
      <c r="D6" s="15" t="n">
        <f aca="false">COUNTIFS(Datos!$K$3:$K$1903,$A6)</f>
        <v>804</v>
      </c>
    </row>
    <row r="7" customFormat="false" ht="15" hidden="false" customHeight="false" outlineLevel="0" collapsed="false">
      <c r="A7" s="11" t="s">
        <v>71</v>
      </c>
      <c r="B7" s="13" t="n">
        <f aca="false">SUMIFS(Datos!$Q$3:$Q$1903,Datos!$K$3:$K$1903,$A7)</f>
        <v>20886432096</v>
      </c>
      <c r="C7" s="14" t="n">
        <f aca="false">IFERROR(B7/SUM(Datos!$Q$3:$Q$1903),0)</f>
        <v>0.201207551563404</v>
      </c>
      <c r="D7" s="15" t="n">
        <f aca="false">COUNTIFS(Datos!$K$3:$K$1903,$A7)</f>
        <v>378</v>
      </c>
    </row>
    <row r="8" customFormat="false" ht="15" hidden="false" customHeight="false" outlineLevel="0" collapsed="false">
      <c r="A8" s="11" t="s">
        <v>88</v>
      </c>
      <c r="B8" s="13" t="n">
        <f aca="false">SUMIFS(Datos!$Q$3:$Q$1903,Datos!$K$3:$K$1903,$A8)</f>
        <v>19664001853</v>
      </c>
      <c r="C8" s="14" t="n">
        <f aca="false">IFERROR(B8/SUM(Datos!$Q$3:$Q$1903),0)</f>
        <v>0.189431380553411</v>
      </c>
      <c r="D8" s="15" t="n">
        <f aca="false">COUNTIFS(Datos!$K$3:$K$1903,$A8)</f>
        <v>353</v>
      </c>
    </row>
    <row r="9" customFormat="false" ht="15" hidden="false" customHeight="false" outlineLevel="0" collapsed="false">
      <c r="A9" s="11" t="s">
        <v>113</v>
      </c>
      <c r="B9" s="13" t="n">
        <f aca="false">SUMIFS(Datos!$Q$3:$Q$1903,Datos!$K$3:$K$1903,$A9)</f>
        <v>19515358246</v>
      </c>
      <c r="C9" s="14" t="n">
        <f aca="false">IFERROR(B9/SUM(Datos!$Q$3:$Q$1903),0)</f>
        <v>0.187999435830514</v>
      </c>
      <c r="D9" s="15" t="n">
        <f aca="false">COUNTIFS(Datos!$K$3:$K$1903,$A9)</f>
        <v>366</v>
      </c>
    </row>
    <row r="12" customFormat="false" ht="15" hidden="false" customHeight="false" outlineLevel="0" collapsed="false">
      <c r="A12" s="7" t="s">
        <v>2077</v>
      </c>
      <c r="B12" s="7"/>
      <c r="C12" s="7"/>
      <c r="D12" s="7"/>
    </row>
    <row r="13" customFormat="false" ht="15" hidden="false" customHeight="false" outlineLevel="0" collapsed="false">
      <c r="A13" s="3" t="s">
        <v>2076</v>
      </c>
      <c r="B13" s="3" t="s">
        <v>60</v>
      </c>
      <c r="C13" s="3" t="s">
        <v>2062</v>
      </c>
      <c r="D13" s="3" t="s">
        <v>2038</v>
      </c>
    </row>
    <row r="14" customFormat="false" ht="15" hidden="false" customHeight="false" outlineLevel="0" collapsed="false">
      <c r="A14" s="11" t="s">
        <v>82</v>
      </c>
      <c r="B14" s="13" t="n">
        <f aca="false">SUMIFS(Datos!$Q$3:$Q$1903,Datos!$L$3:$L$1903,$A14)</f>
        <v>63254974614</v>
      </c>
      <c r="C14" s="14" t="n">
        <f aca="false">IFERROR(B14/SUM(Datos!$Q$3:$Q$1903),0)</f>
        <v>0.609361067883185</v>
      </c>
      <c r="D14" s="15" t="n">
        <f aca="false">COUNTIFS(Datos!$L$3:$L$1903,$A14)</f>
        <v>1170</v>
      </c>
    </row>
    <row r="15" customFormat="false" ht="15" hidden="false" customHeight="false" outlineLevel="0" collapsed="false">
      <c r="A15" s="11" t="s">
        <v>72</v>
      </c>
      <c r="B15" s="13" t="n">
        <f aca="false">SUMIFS(Datos!$Q$3:$Q$1903,Datos!$L$3:$L$1903,$A15)</f>
        <v>20886432096</v>
      </c>
      <c r="C15" s="14" t="n">
        <f aca="false">IFERROR(B15/SUM(Datos!$Q$3:$Q$1903),0)</f>
        <v>0.201207551563404</v>
      </c>
      <c r="D15" s="15" t="n">
        <f aca="false">COUNTIFS(Datos!$L$3:$L$1903,$A15)</f>
        <v>378</v>
      </c>
    </row>
    <row r="16" customFormat="false" ht="15" hidden="false" customHeight="false" outlineLevel="0" collapsed="false">
      <c r="A16" s="11" t="s">
        <v>89</v>
      </c>
      <c r="B16" s="13" t="n">
        <f aca="false">SUMIFS(Datos!$Q$3:$Q$1903,Datos!$L$3:$L$1903,$A16)</f>
        <v>19664001853</v>
      </c>
      <c r="C16" s="14" t="n">
        <f aca="false">IFERROR(B16/SUM(Datos!$Q$3:$Q$1903),0)</f>
        <v>0.189431380553411</v>
      </c>
      <c r="D16" s="15" t="n">
        <f aca="false">COUNTIFS(Datos!$L$3:$L$1903,$A16)</f>
        <v>353</v>
      </c>
    </row>
    <row r="19" customFormat="false" ht="15" hidden="false" customHeight="false" outlineLevel="0" collapsed="false">
      <c r="A19" s="7" t="s">
        <v>2078</v>
      </c>
      <c r="B19" s="7"/>
      <c r="C19" s="7"/>
      <c r="D19" s="7"/>
    </row>
    <row r="20" customFormat="false" ht="15" hidden="false" customHeight="false" outlineLevel="0" collapsed="false">
      <c r="A20" s="3" t="s">
        <v>2076</v>
      </c>
      <c r="B20" s="3" t="s">
        <v>60</v>
      </c>
      <c r="C20" s="3" t="s">
        <v>2062</v>
      </c>
      <c r="D20" s="3" t="s">
        <v>2038</v>
      </c>
    </row>
    <row r="21" customFormat="false" ht="15" hidden="false" customHeight="false" outlineLevel="0" collapsed="false">
      <c r="A21" s="11" t="s">
        <v>73</v>
      </c>
      <c r="B21" s="13" t="n">
        <f aca="false">SUMIFS(Datos!$Q$3:$Q$1903,Datos!$M$3:$M$1903,$A21)</f>
        <v>64668598160</v>
      </c>
      <c r="C21" s="14" t="n">
        <f aca="false">IFERROR(B21/SUM(Datos!$Q$3:$Q$1903),0)</f>
        <v>0.622979082258053</v>
      </c>
      <c r="D21" s="15" t="n">
        <f aca="false">COUNTIFS(Datos!$M$3:$M$1903,$A21)</f>
        <v>1183</v>
      </c>
    </row>
    <row r="22" customFormat="false" ht="15" hidden="false" customHeight="false" outlineLevel="0" collapsed="false">
      <c r="A22" s="11" t="s">
        <v>90</v>
      </c>
      <c r="B22" s="13" t="n">
        <f aca="false">SUMIFS(Datos!$Q$3:$Q$1903,Datos!$M$3:$M$1903,$A22)</f>
        <v>19664001853</v>
      </c>
      <c r="C22" s="14" t="n">
        <f aca="false">IFERROR(B22/SUM(Datos!$Q$3:$Q$1903),0)</f>
        <v>0.189431380553411</v>
      </c>
      <c r="D22" s="15" t="n">
        <f aca="false">COUNTIFS(Datos!$M$3:$M$1903,$A22)</f>
        <v>353</v>
      </c>
    </row>
    <row r="23" customFormat="false" ht="15" hidden="false" customHeight="false" outlineLevel="0" collapsed="false">
      <c r="A23" s="11" t="s">
        <v>157</v>
      </c>
      <c r="B23" s="13" t="n">
        <f aca="false">SUMIFS(Datos!$Q$3:$Q$1903,Datos!$M$3:$M$1903,$A23)</f>
        <v>19472808550</v>
      </c>
      <c r="C23" s="14" t="n">
        <f aca="false">IFERROR(B23/SUM(Datos!$Q$3:$Q$1903),0)</f>
        <v>0.187589537188535</v>
      </c>
      <c r="D23" s="15" t="n">
        <f aca="false">COUNTIFS(Datos!$M$3:$M$1903,$A23)</f>
        <v>365</v>
      </c>
    </row>
    <row r="26" customFormat="false" ht="15" hidden="false" customHeight="false" outlineLevel="0" collapsed="false">
      <c r="A26" s="7" t="s">
        <v>2079</v>
      </c>
      <c r="B26" s="7"/>
      <c r="C26" s="7"/>
      <c r="D26" s="7"/>
    </row>
    <row r="27" customFormat="false" ht="15" hidden="false" customHeight="false" outlineLevel="0" collapsed="false">
      <c r="A27" s="3" t="s">
        <v>2076</v>
      </c>
      <c r="B27" s="3" t="s">
        <v>60</v>
      </c>
      <c r="C27" s="3" t="s">
        <v>2062</v>
      </c>
      <c r="D27" s="3" t="s">
        <v>2038</v>
      </c>
    </row>
    <row r="28" customFormat="false" ht="15" hidden="false" customHeight="false" outlineLevel="0" collapsed="false">
      <c r="A28" s="11" t="s">
        <v>69</v>
      </c>
      <c r="B28" s="13" t="n">
        <f aca="false">SUMIFS(Datos!$Q$3:$Q$1903,Datos!$I$3:$I$1903,$A28)</f>
        <v>84141406710</v>
      </c>
      <c r="C28" s="14" t="n">
        <f aca="false">IFERROR(B28/SUM(Datos!$Q$3:$Q$1903),0)</f>
        <v>0.810568619446589</v>
      </c>
      <c r="D28" s="15" t="n">
        <f aca="false">COUNTIFS(Datos!$I$3:$I$1903,$A28)</f>
        <v>1548</v>
      </c>
    </row>
    <row r="29" customFormat="false" ht="15" hidden="false" customHeight="false" outlineLevel="0" collapsed="false">
      <c r="A29" s="11" t="s">
        <v>86</v>
      </c>
      <c r="B29" s="13" t="n">
        <f aca="false">SUMIFS(Datos!$Q$3:$Q$1903,Datos!$I$3:$I$1903,$A29)</f>
        <v>19664001853</v>
      </c>
      <c r="C29" s="14" t="n">
        <f aca="false">IFERROR(B29/SUM(Datos!$Q$3:$Q$1903),0)</f>
        <v>0.189431380553411</v>
      </c>
      <c r="D29" s="15" t="n">
        <f aca="false">COUNTIFS(Datos!$I$3:$I$1903,$A29)</f>
        <v>353</v>
      </c>
    </row>
  </sheetData>
  <mergeCells count="6">
    <mergeCell ref="A1:E1"/>
    <mergeCell ref="A2:E2"/>
    <mergeCell ref="A4:D4"/>
    <mergeCell ref="A12:D12"/>
    <mergeCell ref="A19:D19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55"/>
  </cols>
  <sheetData>
    <row r="1" customFormat="false" ht="21.75" hidden="false" customHeight="true" outlineLevel="0" collapsed="false">
      <c r="A1" s="9" t="s">
        <v>2080</v>
      </c>
      <c r="B1" s="9"/>
      <c r="C1" s="9"/>
      <c r="D1" s="9"/>
    </row>
    <row r="2" customFormat="false" ht="15" hidden="false" customHeight="false" outlineLevel="0" collapsed="false">
      <c r="A2" s="2" t="s">
        <v>2081</v>
      </c>
      <c r="B2" s="2"/>
      <c r="C2" s="2"/>
      <c r="D2" s="2"/>
    </row>
    <row r="4" customFormat="false" ht="15" hidden="false" customHeight="false" outlineLevel="0" collapsed="false">
      <c r="A4" s="3" t="s">
        <v>2082</v>
      </c>
      <c r="B4" s="3" t="s">
        <v>2083</v>
      </c>
      <c r="C4" s="3" t="s">
        <v>2084</v>
      </c>
      <c r="D4" s="3" t="s">
        <v>5</v>
      </c>
    </row>
    <row r="5" customFormat="false" ht="30" hidden="false" customHeight="true" outlineLevel="0" collapsed="false">
      <c r="A5" s="5" t="s">
        <v>2085</v>
      </c>
      <c r="B5" s="20" t="n">
        <f aca="false">SUM(Datos!$Q$3:$Q$1903)</f>
        <v>103805408563</v>
      </c>
      <c r="C5" s="4"/>
      <c r="D5" s="6" t="s">
        <v>2086</v>
      </c>
    </row>
    <row r="6" customFormat="false" ht="30" hidden="false" customHeight="true" outlineLevel="0" collapsed="false">
      <c r="A6" s="5" t="s">
        <v>2087</v>
      </c>
      <c r="B6" s="20" t="n">
        <f aca="false">SUM(Datos!$S$3:$S$1903)</f>
        <v>16259748803</v>
      </c>
      <c r="C6" s="4"/>
      <c r="D6" s="6" t="s">
        <v>2088</v>
      </c>
    </row>
    <row r="7" customFormat="false" ht="30" hidden="false" customHeight="true" outlineLevel="0" collapsed="false">
      <c r="A7" s="5" t="s">
        <v>2089</v>
      </c>
      <c r="B7" s="21" t="n">
        <f aca="false">B6/B5</f>
        <v>0.15663681717636</v>
      </c>
      <c r="C7" s="22" t="str">
        <f aca="false">IF(B7&lt;0.2,"⚠ Riesgo","OK")</f>
        <v>⚠ Riesgo</v>
      </c>
      <c r="D7" s="6" t="s">
        <v>2090</v>
      </c>
    </row>
    <row r="8" customFormat="false" ht="30" hidden="false" customHeight="true" outlineLevel="0" collapsed="false">
      <c r="A8" s="5" t="s">
        <v>2091</v>
      </c>
      <c r="B8" s="20" t="n">
        <f aca="false">AVERAGE(Datos!$Q$3:$Q$1903)</f>
        <v>54605685.7248816</v>
      </c>
      <c r="C8" s="4"/>
      <c r="D8" s="6" t="s">
        <v>2092</v>
      </c>
    </row>
    <row r="9" customFormat="false" ht="30" hidden="false" customHeight="true" outlineLevel="0" collapsed="false">
      <c r="A9" s="5" t="s">
        <v>2093</v>
      </c>
      <c r="B9" s="20" t="n">
        <f aca="false">COUNT(Datos!$Q$3:$Q$1903)</f>
        <v>1901</v>
      </c>
      <c r="C9" s="4"/>
      <c r="D9" s="6" t="s">
        <v>2094</v>
      </c>
    </row>
    <row r="10" customFormat="false" ht="30" hidden="false" customHeight="true" outlineLevel="0" collapsed="false">
      <c r="A10" s="5" t="s">
        <v>2095</v>
      </c>
      <c r="B10" s="21" t="n">
        <f aca="false">Segmentacion!C28</f>
        <v>0.810568619446589</v>
      </c>
      <c r="C10" s="22" t="str">
        <f aca="false">IF(B10&gt;0.6,"⚠ Riesgo","OK")</f>
        <v>⚠ Riesgo</v>
      </c>
      <c r="D10" s="6" t="s">
        <v>2096</v>
      </c>
    </row>
    <row r="11" customFormat="false" ht="30" hidden="false" customHeight="true" outlineLevel="0" collapsed="false">
      <c r="A11" s="5" t="s">
        <v>2097</v>
      </c>
      <c r="B11" s="21" t="n">
        <f aca="false">MAX(Clientes!D4:D7)</f>
        <v>0.421361632052671</v>
      </c>
      <c r="C11" s="22" t="str">
        <f aca="false">IF(B11&gt;0.3,"⚠ Riesgo","OK")</f>
        <v>⚠ Riesgo</v>
      </c>
      <c r="D11" s="6" t="s">
        <v>2098</v>
      </c>
    </row>
    <row r="12" customFormat="false" ht="30" hidden="false" customHeight="true" outlineLevel="0" collapsed="false">
      <c r="A12" s="5" t="s">
        <v>2099</v>
      </c>
      <c r="B12" s="23" t="n">
        <f aca="false">Clientes!C10</f>
        <v>0.289258139583193</v>
      </c>
      <c r="C12" s="22" t="str">
        <f aca="false">IF(B12&gt;0.25,"⚠ Riesgo","OK")</f>
        <v>⚠ Riesgo</v>
      </c>
      <c r="D12" s="6" t="s">
        <v>2100</v>
      </c>
    </row>
    <row r="13" customFormat="false" ht="30" hidden="false" customHeight="true" outlineLevel="0" collapsed="false">
      <c r="A13" s="5" t="s">
        <v>2101</v>
      </c>
      <c r="B13" s="21" t="n">
        <f aca="false">SLOPE('Ventas Mensuales'!G4:G15,'Ventas Mensuales'!I4:I15)/AVERAGE('Ventas Mensuales'!G4:G15)</f>
        <v>-0.00840676629866728</v>
      </c>
      <c r="C13" s="22" t="str">
        <f aca="false">IF(B13&lt;-0.1,"⚠ Riesgo","OK")</f>
        <v>OK</v>
      </c>
      <c r="D13" s="6" t="s">
        <v>2102</v>
      </c>
    </row>
    <row r="14" customFormat="false" ht="30" hidden="false" customHeight="true" outlineLevel="0" collapsed="false">
      <c r="A14" s="5" t="s">
        <v>2103</v>
      </c>
      <c r="B14" s="21" t="n">
        <f aca="false">SUMIFS(Datos!$Q$3:$Q$1903,Datos!$D$3:$D$1903,"Portátil")/B5</f>
        <v>0.453244210280677</v>
      </c>
      <c r="C14" s="4"/>
      <c r="D14" s="6" t="s">
        <v>2104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4" min="3" style="0" width="11"/>
    <col collapsed="false" customWidth="true" hidden="false" outlineLevel="0" max="5" min="5" style="0" width="20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9" t="s">
        <v>2105</v>
      </c>
      <c r="B1" s="9"/>
      <c r="C1" s="9"/>
      <c r="D1" s="9"/>
      <c r="E1" s="9"/>
      <c r="F1" s="9"/>
    </row>
    <row r="2" customFormat="false" ht="15" hidden="false" customHeight="false" outlineLevel="0" collapsed="false">
      <c r="A2" s="2" t="s">
        <v>2106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18" t="s">
        <v>2107</v>
      </c>
      <c r="B3" s="24" t="n">
        <v>0.15</v>
      </c>
      <c r="C3" s="17" t="s">
        <v>2108</v>
      </c>
    </row>
    <row r="4" customFormat="false" ht="15" hidden="false" customHeight="false" outlineLevel="0" collapsed="false">
      <c r="A4" s="18" t="s">
        <v>2109</v>
      </c>
      <c r="B4" s="24" t="n">
        <v>0.1</v>
      </c>
      <c r="C4" s="17" t="s">
        <v>2110</v>
      </c>
    </row>
    <row r="6" customFormat="false" ht="23.85" hidden="false" customHeight="false" outlineLevel="0" collapsed="false">
      <c r="A6" s="3" t="s">
        <v>46</v>
      </c>
      <c r="B6" s="3" t="s">
        <v>60</v>
      </c>
      <c r="C6" s="3" t="s">
        <v>63</v>
      </c>
      <c r="D6" s="3" t="s">
        <v>2111</v>
      </c>
      <c r="E6" s="3" t="s">
        <v>2112</v>
      </c>
      <c r="F6" s="3" t="s">
        <v>2113</v>
      </c>
    </row>
    <row r="7" customFormat="false" ht="15" hidden="false" customHeight="false" outlineLevel="0" collapsed="false">
      <c r="A7" s="25" t="str">
        <f aca="false">'Producto y Marca'!A4</f>
        <v>Lenovo 14IGL7</v>
      </c>
      <c r="B7" s="20" t="n">
        <f aca="false">'Producto y Marca'!B4</f>
        <v>9897540996</v>
      </c>
      <c r="C7" s="21" t="n">
        <f aca="false">'Producto y Marca'!D4</f>
        <v>0.209298551714733</v>
      </c>
      <c r="D7" s="15" t="str">
        <f aca="false">IF(C7&lt;$B$4,"CRÍTICO",IF(C7&lt;$B$3,"Vigilar","OK"))</f>
        <v>OK</v>
      </c>
      <c r="E7" s="13" t="n">
        <f aca="false">MAX(0,($B$3-C7)*B7)</f>
        <v>0</v>
      </c>
      <c r="F7" s="14" t="n">
        <f aca="false">IFERROR(B7/'Ratios Financieros'!$B$5,0)</f>
        <v>0.0953470645991739</v>
      </c>
    </row>
    <row r="8" customFormat="false" ht="15" hidden="false" customHeight="false" outlineLevel="0" collapsed="false">
      <c r="A8" s="25" t="str">
        <f aca="false">'Producto y Marca'!A5</f>
        <v>MacBook Pro</v>
      </c>
      <c r="B8" s="20" t="n">
        <f aca="false">'Producto y Marca'!B5</f>
        <v>9468071808</v>
      </c>
      <c r="C8" s="21" t="n">
        <f aca="false">'Producto y Marca'!D5</f>
        <v>0.0799562807878527</v>
      </c>
      <c r="D8" s="15" t="str">
        <f aca="false">IF(C8&lt;$B$4,"CRÍTICO",IF(C8&lt;$B$3,"Vigilar","OK"))</f>
        <v>CRÍTICO</v>
      </c>
      <c r="E8" s="13" t="n">
        <f aca="false">MAX(0,($B$3-C8)*B8)</f>
        <v>663178963.2</v>
      </c>
      <c r="F8" s="14" t="n">
        <f aca="false">IFERROR(B8/'Ratios Financieros'!$B$5,0)</f>
        <v>0.0912098120807817</v>
      </c>
    </row>
    <row r="9" customFormat="false" ht="15" hidden="false" customHeight="false" outlineLevel="0" collapsed="false">
      <c r="A9" s="25" t="str">
        <f aca="false">'Producto y Marca'!A6</f>
        <v>ASUS AIO V</v>
      </c>
      <c r="B9" s="20" t="n">
        <f aca="false">'Producto y Marca'!B6</f>
        <v>8806137912</v>
      </c>
      <c r="C9" s="21" t="n">
        <f aca="false">'Producto y Marca'!D6</f>
        <v>0.0982889344511097</v>
      </c>
      <c r="D9" s="15" t="str">
        <f aca="false">IF(C9&lt;$B$4,"CRÍTICO",IF(C9&lt;$B$3,"Vigilar","OK"))</f>
        <v>CRÍTICO</v>
      </c>
      <c r="E9" s="13" t="n">
        <f aca="false">MAX(0,($B$3-C9)*B9)</f>
        <v>455374774.8</v>
      </c>
      <c r="F9" s="14" t="n">
        <f aca="false">IFERROR(B9/'Ratios Financieros'!$B$5,0)</f>
        <v>0.0848331318560874</v>
      </c>
    </row>
    <row r="10" customFormat="false" ht="15" hidden="false" customHeight="false" outlineLevel="0" collapsed="false">
      <c r="A10" s="25" t="str">
        <f aca="false">'Producto y Marca'!A7</f>
        <v>Gaming F15</v>
      </c>
      <c r="B10" s="20" t="n">
        <f aca="false">'Producto y Marca'!B7</f>
        <v>8517499592</v>
      </c>
      <c r="C10" s="21" t="n">
        <f aca="false">'Producto y Marca'!D7</f>
        <v>0.154446686822923</v>
      </c>
      <c r="D10" s="15" t="str">
        <f aca="false">IF(C10&lt;$B$4,"CRÍTICO",IF(C10&lt;$B$3,"Vigilar","OK"))</f>
        <v>OK</v>
      </c>
      <c r="E10" s="13" t="n">
        <f aca="false">MAX(0,($B$3-C10)*B10)</f>
        <v>0</v>
      </c>
      <c r="F10" s="14" t="n">
        <f aca="false">IFERROR(B10/'Ratios Financieros'!$B$5,0)</f>
        <v>0.0820525607471666</v>
      </c>
    </row>
    <row r="11" customFormat="false" ht="15" hidden="false" customHeight="false" outlineLevel="0" collapsed="false">
      <c r="A11" s="25" t="str">
        <f aca="false">'Producto y Marca'!A8</f>
        <v>15 Pulgadas Ip1 Athlon</v>
      </c>
      <c r="B11" s="20" t="n">
        <f aca="false">'Producto y Marca'!B8</f>
        <v>6585570108</v>
      </c>
      <c r="C11" s="21" t="n">
        <f aca="false">'Producto y Marca'!D8</f>
        <v>0.37691043710623</v>
      </c>
      <c r="D11" s="15" t="str">
        <f aca="false">IF(C11&lt;$B$4,"CRÍTICO",IF(C11&lt;$B$3,"Vigilar","OK"))</f>
        <v>OK</v>
      </c>
      <c r="E11" s="13" t="n">
        <f aca="false">MAX(0,($B$3-C11)*B11)</f>
        <v>0</v>
      </c>
      <c r="F11" s="14" t="n">
        <f aca="false">IFERROR(B11/'Ratios Financieros'!$B$5,0)</f>
        <v>0.0634414930702111</v>
      </c>
    </row>
    <row r="12" customFormat="false" ht="15" hidden="false" customHeight="false" outlineLevel="0" collapsed="false">
      <c r="A12" s="25" t="str">
        <f aca="false">'Producto y Marca'!A9</f>
        <v>Xiaomi redmi 8</v>
      </c>
      <c r="B12" s="20" t="n">
        <f aca="false">'Producto y Marca'!B9</f>
        <v>6367914400</v>
      </c>
      <c r="C12" s="21" t="n">
        <f aca="false">'Producto y Marca'!D9</f>
        <v>0.133468251394837</v>
      </c>
      <c r="D12" s="15" t="str">
        <f aca="false">IF(C12&lt;$B$4,"CRÍTICO",IF(C12&lt;$B$3,"Vigilar","OK"))</f>
        <v>Vigilar</v>
      </c>
      <c r="E12" s="13" t="n">
        <f aca="false">MAX(0,($B$3-C12)*B12)</f>
        <v>105272760</v>
      </c>
      <c r="F12" s="14" t="n">
        <f aca="false">IFERROR(B12/'Ratios Financieros'!$B$5,0)</f>
        <v>0.0613447265239102</v>
      </c>
    </row>
    <row r="13" customFormat="false" ht="15" hidden="false" customHeight="false" outlineLevel="0" collapsed="false">
      <c r="A13" s="25" t="str">
        <f aca="false">'Producto y Marca'!A10</f>
        <v>MacBook Air</v>
      </c>
      <c r="B13" s="20" t="n">
        <f aca="false">'Producto y Marca'!B10</f>
        <v>6033325368</v>
      </c>
      <c r="C13" s="21" t="n">
        <f aca="false">'Producto y Marca'!D10</f>
        <v>0.142102292799801</v>
      </c>
      <c r="D13" s="15" t="str">
        <f aca="false">IF(C13&lt;$B$4,"CRÍTICO",IF(C13&lt;$B$3,"Vigilar","OK"))</f>
        <v>Vigilar</v>
      </c>
      <c r="E13" s="13" t="n">
        <f aca="false">MAX(0,($B$3-C13)*B13)</f>
        <v>47649437.1999999</v>
      </c>
      <c r="F13" s="14" t="n">
        <f aca="false">IFERROR(B13/'Ratios Financieros'!$B$5,0)</f>
        <v>0.0581214933934617</v>
      </c>
    </row>
    <row r="14" customFormat="false" ht="15" hidden="false" customHeight="false" outlineLevel="0" collapsed="false">
      <c r="A14" s="25" t="str">
        <f aca="false">'Producto y Marca'!A11</f>
        <v>Intel Corei7</v>
      </c>
      <c r="B14" s="20" t="n">
        <f aca="false">'Producto y Marca'!B11</f>
        <v>5161483346</v>
      </c>
      <c r="C14" s="21" t="n">
        <f aca="false">'Producto y Marca'!D11</f>
        <v>0.0544927353525166</v>
      </c>
      <c r="D14" s="15" t="str">
        <f aca="false">IF(C14&lt;$B$4,"CRÍTICO",IF(C14&lt;$B$3,"Vigilar","OK"))</f>
        <v>CRÍTICO</v>
      </c>
      <c r="E14" s="13" t="n">
        <f aca="false">MAX(0,($B$3-C14)*B14)</f>
        <v>492959155.9</v>
      </c>
      <c r="F14" s="14" t="n">
        <f aca="false">IFERROR(B14/'Ratios Financieros'!$B$5,0)</f>
        <v>0.0497226822518354</v>
      </c>
    </row>
    <row r="15" customFormat="false" ht="15" hidden="false" customHeight="false" outlineLevel="0" collapsed="false">
      <c r="A15" s="25" t="str">
        <f aca="false">'Producto y Marca'!A12</f>
        <v>Galaxy jpro</v>
      </c>
      <c r="B15" s="20" t="n">
        <f aca="false">'Producto y Marca'!B12</f>
        <v>4949845104</v>
      </c>
      <c r="C15" s="21" t="n">
        <f aca="false">'Producto y Marca'!D12</f>
        <v>0.170666218083741</v>
      </c>
      <c r="D15" s="15" t="str">
        <f aca="false">IF(C15&lt;$B$4,"CRÍTICO",IF(C15&lt;$B$3,"Vigilar","OK"))</f>
        <v>OK</v>
      </c>
      <c r="E15" s="13" t="n">
        <f aca="false">MAX(0,($B$3-C15)*B15)</f>
        <v>0</v>
      </c>
      <c r="F15" s="14" t="n">
        <f aca="false">IFERROR(B15/'Ratios Financieros'!$B$5,0)</f>
        <v>0.0476838844191429</v>
      </c>
    </row>
    <row r="16" customFormat="false" ht="15" hidden="false" customHeight="false" outlineLevel="0" collapsed="false">
      <c r="A16" s="25" t="str">
        <f aca="false">'Producto y Marca'!A13</f>
        <v>JANUS</v>
      </c>
      <c r="B16" s="20" t="n">
        <f aca="false">'Producto y Marca'!B13</f>
        <v>4392824184</v>
      </c>
      <c r="C16" s="21" t="n">
        <f aca="false">'Producto y Marca'!D13</f>
        <v>0.22356373550688</v>
      </c>
      <c r="D16" s="15" t="str">
        <f aca="false">IF(C16&lt;$B$4,"CRÍTICO",IF(C16&lt;$B$3,"Vigilar","OK"))</f>
        <v>OK</v>
      </c>
      <c r="E16" s="13" t="n">
        <f aca="false">MAX(0,($B$3-C16)*B16)</f>
        <v>0</v>
      </c>
      <c r="F16" s="14" t="n">
        <f aca="false">IFERROR(B16/'Ratios Financieros'!$B$5,0)</f>
        <v>0.042317873845022</v>
      </c>
    </row>
    <row r="17" customFormat="false" ht="15" hidden="false" customHeight="false" outlineLevel="0" collapsed="false">
      <c r="A17" s="25" t="str">
        <f aca="false">'Producto y Marca'!A14</f>
        <v>13ultra</v>
      </c>
      <c r="B17" s="20" t="n">
        <f aca="false">'Producto y Marca'!B14</f>
        <v>4269152832</v>
      </c>
      <c r="C17" s="21" t="n">
        <f aca="false">'Producto y Marca'!D14</f>
        <v>0.0552223921881839</v>
      </c>
      <c r="D17" s="15" t="str">
        <f aca="false">IF(C17&lt;$B$4,"CRÍTICO",IF(C17&lt;$B$3,"Vigilar","OK"))</f>
        <v>CRÍTICO</v>
      </c>
      <c r="E17" s="13" t="n">
        <f aca="false">MAX(0,($B$3-C17)*B17)</f>
        <v>404620092.8</v>
      </c>
      <c r="F17" s="14" t="n">
        <f aca="false">IFERROR(B17/'Ratios Financieros'!$B$5,0)</f>
        <v>0.0411264970785124</v>
      </c>
    </row>
    <row r="18" customFormat="false" ht="15" hidden="false" customHeight="false" outlineLevel="0" collapsed="false">
      <c r="A18" s="25" t="str">
        <f aca="false">'Producto y Marca'!A15</f>
        <v>ASPIRE 3</v>
      </c>
      <c r="B18" s="20" t="n">
        <f aca="false">'Producto y Marca'!B15</f>
        <v>4194947718</v>
      </c>
      <c r="C18" s="21" t="n">
        <f aca="false">'Producto y Marca'!D15</f>
        <v>0.243518581558637</v>
      </c>
      <c r="D18" s="15" t="str">
        <f aca="false">IF(C18&lt;$B$4,"CRÍTICO",IF(C18&lt;$B$3,"Vigilar","OK"))</f>
        <v>OK</v>
      </c>
      <c r="E18" s="13" t="n">
        <f aca="false">MAX(0,($B$3-C18)*B18)</f>
        <v>0</v>
      </c>
      <c r="F18" s="14" t="n">
        <f aca="false">IFERROR(B18/'Ratios Financieros'!$B$5,0)</f>
        <v>0.0404116488347914</v>
      </c>
    </row>
    <row r="19" customFormat="false" ht="15" hidden="false" customHeight="false" outlineLevel="0" collapsed="false">
      <c r="A19" s="25" t="str">
        <f aca="false">'Producto y Marca'!A16</f>
        <v>INTEL CORE i3</v>
      </c>
      <c r="B19" s="20" t="n">
        <f aca="false">'Producto y Marca'!B16</f>
        <v>4119431000</v>
      </c>
      <c r="C19" s="21" t="n">
        <f aca="false">'Producto y Marca'!D16</f>
        <v>0.149224735163667</v>
      </c>
      <c r="D19" s="15" t="str">
        <f aca="false">IF(C19&lt;$B$4,"CRÍTICO",IF(C19&lt;$B$3,"Vigilar","OK"))</f>
        <v>Vigilar</v>
      </c>
      <c r="E19" s="13" t="n">
        <f aca="false">MAX(0,($B$3-C19)*B19)</f>
        <v>3193649.99999997</v>
      </c>
      <c r="F19" s="14" t="n">
        <f aca="false">IFERROR(B19/'Ratios Financieros'!$B$5,0)</f>
        <v>0.0396841653727503</v>
      </c>
    </row>
    <row r="20" customFormat="false" ht="15" hidden="false" customHeight="false" outlineLevel="0" collapsed="false">
      <c r="A20" s="25" t="str">
        <f aca="false">'Producto y Marca'!A17</f>
        <v>iPhone 13 pro max</v>
      </c>
      <c r="B20" s="20" t="n">
        <f aca="false">'Producto y Marca'!B17</f>
        <v>3701630640</v>
      </c>
      <c r="C20" s="21" t="n">
        <f aca="false">'Producto y Marca'!D17</f>
        <v>0.274887134606169</v>
      </c>
      <c r="D20" s="15" t="str">
        <f aca="false">IF(C20&lt;$B$4,"CRÍTICO",IF(C20&lt;$B$3,"Vigilar","OK"))</f>
        <v>OK</v>
      </c>
      <c r="E20" s="13" t="n">
        <f aca="false">MAX(0,($B$3-C20)*B20)</f>
        <v>0</v>
      </c>
      <c r="F20" s="14" t="n">
        <f aca="false">IFERROR(B20/'Ratios Financieros'!$B$5,0)</f>
        <v>0.0356593234518552</v>
      </c>
    </row>
    <row r="21" customFormat="false" ht="15" hidden="false" customHeight="false" outlineLevel="0" collapsed="false">
      <c r="A21" s="25" t="str">
        <f aca="false">'Producto y Marca'!A18</f>
        <v>iPhone 11</v>
      </c>
      <c r="B21" s="20" t="n">
        <f aca="false">'Producto y Marca'!B18</f>
        <v>3335553488</v>
      </c>
      <c r="C21" s="21" t="n">
        <f aca="false">'Producto y Marca'!D18</f>
        <v>0.160367234380863</v>
      </c>
      <c r="D21" s="15" t="str">
        <f aca="false">IF(C21&lt;$B$4,"CRÍTICO",IF(C21&lt;$B$3,"Vigilar","OK"))</f>
        <v>OK</v>
      </c>
      <c r="E21" s="13" t="n">
        <f aca="false">MAX(0,($B$3-C21)*B21)</f>
        <v>0</v>
      </c>
      <c r="F21" s="14" t="n">
        <f aca="false">IFERROR(B21/'Ratios Financieros'!$B$5,0)</f>
        <v>0.0321327523697923</v>
      </c>
    </row>
    <row r="22" customFormat="false" ht="15" hidden="false" customHeight="false" outlineLevel="0" collapsed="false">
      <c r="A22" s="25" t="str">
        <f aca="false">'Producto y Marca'!A19</f>
        <v>Galaxy s23</v>
      </c>
      <c r="B22" s="20" t="n">
        <f aca="false">'Producto y Marca'!B19</f>
        <v>3192564680</v>
      </c>
      <c r="C22" s="21" t="n">
        <f aca="false">'Producto y Marca'!D19</f>
        <v>0.023744132883159</v>
      </c>
      <c r="D22" s="15" t="str">
        <f aca="false">IF(C22&lt;$B$4,"CRÍTICO",IF(C22&lt;$B$3,"Vigilar","OK"))</f>
        <v>CRÍTICO</v>
      </c>
      <c r="E22" s="13" t="n">
        <f aca="false">MAX(0,($B$3-C22)*B22)</f>
        <v>403080022</v>
      </c>
      <c r="F22" s="14" t="n">
        <f aca="false">IFERROR(B22/'Ratios Financieros'!$B$5,0)</f>
        <v>0.0307552826408117</v>
      </c>
    </row>
    <row r="23" customFormat="false" ht="15" hidden="false" customHeight="false" outlineLevel="0" collapsed="false">
      <c r="A23" s="25" t="str">
        <f aca="false">'Producto y Marca'!A20</f>
        <v>iPhone 13 pro</v>
      </c>
      <c r="B23" s="20" t="n">
        <f aca="false">'Producto y Marca'!B20</f>
        <v>3074250550</v>
      </c>
      <c r="C23" s="21" t="n">
        <f aca="false">'Producto y Marca'!D20</f>
        <v>0.15660745348163</v>
      </c>
      <c r="D23" s="15" t="str">
        <f aca="false">IF(C23&lt;$B$4,"CRÍTICO",IF(C23&lt;$B$3,"Vigilar","OK"))</f>
        <v>OK</v>
      </c>
      <c r="E23" s="13" t="n">
        <f aca="false">MAX(0,($B$3-C23)*B23)</f>
        <v>0</v>
      </c>
      <c r="F23" s="14" t="n">
        <f aca="false">IFERROR(B23/'Ratios Financieros'!$B$5,0)</f>
        <v>0.0296155141871459</v>
      </c>
    </row>
    <row r="24" customFormat="false" ht="15" hidden="false" customHeight="false" outlineLevel="0" collapsed="false">
      <c r="A24" s="25" t="str">
        <f aca="false">'Producto y Marca'!A21</f>
        <v>Vivo x80</v>
      </c>
      <c r="B24" s="20" t="n">
        <f aca="false">'Producto y Marca'!B21</f>
        <v>2943200000</v>
      </c>
      <c r="C24" s="21" t="n">
        <f aca="false">'Producto y Marca'!D21</f>
        <v>0.115384615384615</v>
      </c>
      <c r="D24" s="15" t="str">
        <f aca="false">IF(C24&lt;$B$4,"CRÍTICO",IF(C24&lt;$B$3,"Vigilar","OK"))</f>
        <v>Vigilar</v>
      </c>
      <c r="E24" s="13" t="n">
        <f aca="false">MAX(0,($B$3-C24)*B24)</f>
        <v>101880000</v>
      </c>
      <c r="F24" s="14" t="n">
        <f aca="false">IFERROR(B24/'Ratios Financieros'!$B$5,0)</f>
        <v>0.0283530505851606</v>
      </c>
    </row>
    <row r="25" customFormat="false" ht="15" hidden="false" customHeight="false" outlineLevel="0" collapsed="false">
      <c r="A25" s="25" t="str">
        <f aca="false">'Producto y Marca'!A22</f>
        <v>Xiaomi 13T</v>
      </c>
      <c r="B25" s="20" t="n">
        <f aca="false">'Producto y Marca'!B22</f>
        <v>2442220000</v>
      </c>
      <c r="C25" s="21" t="n">
        <f aca="false">'Producto y Marca'!D22</f>
        <v>0.117647058823529</v>
      </c>
      <c r="D25" s="15" t="str">
        <f aca="false">IF(C25&lt;$B$4,"CRÍTICO",IF(C25&lt;$B$3,"Vigilar","OK"))</f>
        <v>Vigilar</v>
      </c>
      <c r="E25" s="13" t="n">
        <f aca="false">MAX(0,($B$3-C25)*B25)</f>
        <v>79013000</v>
      </c>
      <c r="F25" s="14" t="n">
        <f aca="false">IFERROR(B25/'Ratios Financieros'!$B$5,0)</f>
        <v>0.0235269051372964</v>
      </c>
    </row>
    <row r="26" customFormat="false" ht="15" hidden="false" customHeight="false" outlineLevel="0" collapsed="false">
      <c r="A26" s="25" t="str">
        <f aca="false">'Producto y Marca'!A23</f>
        <v>Apple MacBook</v>
      </c>
      <c r="B26" s="20" t="n">
        <f aca="false">'Producto y Marca'!B23</f>
        <v>2179613308</v>
      </c>
      <c r="C26" s="21" t="n">
        <f aca="false">'Producto y Marca'!D23</f>
        <v>0.141223815651249</v>
      </c>
      <c r="D26" s="15" t="str">
        <f aca="false">IF(C26&lt;$B$4,"CRÍTICO",IF(C26&lt;$B$3,"Vigilar","OK"))</f>
        <v>Vigilar</v>
      </c>
      <c r="E26" s="13" t="n">
        <f aca="false">MAX(0,($B$3-C26)*B26)</f>
        <v>19128688.2</v>
      </c>
      <c r="F26" s="14" t="n">
        <f aca="false">IFERROR(B26/'Ratios Financieros'!$B$5,0)</f>
        <v>0.0209971073585938</v>
      </c>
    </row>
    <row r="27" customFormat="false" ht="15" hidden="false" customHeight="false" outlineLevel="0" collapsed="false">
      <c r="A27" s="25" t="str">
        <f aca="false">'Producto y Marca'!A24</f>
        <v>Celular Donalis</v>
      </c>
      <c r="B27" s="20" t="n">
        <f aca="false">'Producto y Marca'!B24</f>
        <v>172631529</v>
      </c>
      <c r="C27" s="21" t="n">
        <f aca="false">'Producto y Marca'!D24</f>
        <v>0.209298551714733</v>
      </c>
      <c r="D27" s="15" t="str">
        <f aca="false">IF(C27&lt;$B$4,"CRÍTICO",IF(C27&lt;$B$3,"Vigilar","OK"))</f>
        <v>OK</v>
      </c>
      <c r="E27" s="13" t="n">
        <f aca="false">MAX(0,($B$3-C27)*B27)</f>
        <v>0</v>
      </c>
      <c r="F27" s="14" t="n">
        <f aca="false">IFERROR(B27/'Ratios Financieros'!$B$5,0)</f>
        <v>0.00166303019649722</v>
      </c>
    </row>
    <row r="28" customFormat="false" ht="15" hidden="false" customHeight="false" outlineLevel="0" collapsed="false">
      <c r="A28" s="18" t="s">
        <v>2114</v>
      </c>
      <c r="D28" s="0" t="str">
        <f aca="false">COUNTIF(D7:D27,"CRÍTICO")&amp;" críticos"</f>
        <v>5 críticos</v>
      </c>
      <c r="E28" s="26" t="n">
        <f aca="false">SUM(E7:E27)</f>
        <v>2775350544.1</v>
      </c>
    </row>
  </sheetData>
  <mergeCells count="2">
    <mergeCell ref="A1:F1"/>
    <mergeCell ref="A2:F2"/>
  </mergeCells>
  <conditionalFormatting sqref="D7:D27">
    <cfRule type="cellIs" priority="2" operator="equal" aboveAverage="0" equalAverage="0" bottom="0" percent="0" rank="0" text="" dxfId="0">
      <formula>"CRÍTICO"</formula>
    </cfRule>
    <cfRule type="cellIs" priority="3" operator="equal" aboveAverage="0" equalAverage="0" bottom="0" percent="0" rank="0" text="" dxfId="1">
      <formula>"Vigilar"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9" t="s">
        <v>2115</v>
      </c>
      <c r="B1" s="9"/>
      <c r="C1" s="9"/>
      <c r="D1" s="9"/>
      <c r="E1" s="9"/>
      <c r="F1" s="9"/>
      <c r="G1" s="9"/>
    </row>
    <row r="2" customFormat="false" ht="15" hidden="false" customHeight="false" outlineLevel="0" collapsed="false">
      <c r="A2" s="2" t="s">
        <v>2116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2117</v>
      </c>
      <c r="B4" s="3" t="s">
        <v>2118</v>
      </c>
      <c r="C4" s="3" t="s">
        <v>2119</v>
      </c>
      <c r="D4" s="3" t="s">
        <v>60</v>
      </c>
      <c r="E4" s="3" t="s">
        <v>63</v>
      </c>
      <c r="F4" s="3" t="s">
        <v>62</v>
      </c>
      <c r="G4" s="3" t="s">
        <v>2120</v>
      </c>
    </row>
    <row r="5" customFormat="false" ht="15" hidden="false" customHeight="false" outlineLevel="0" collapsed="false">
      <c r="A5" s="5" t="s">
        <v>2121</v>
      </c>
      <c r="B5" s="27" t="n">
        <v>0</v>
      </c>
      <c r="C5" s="27" t="n">
        <v>0</v>
      </c>
      <c r="D5" s="20" t="n">
        <f aca="false">'Ratios Financieros'!$B$5*(1+C5)</f>
        <v>103805408563</v>
      </c>
      <c r="E5" s="21" t="n">
        <f aca="false">'Ratios Financieros'!$B$7+B5</f>
        <v>0.15663681717636</v>
      </c>
      <c r="F5" s="13" t="n">
        <f aca="false">D5*E5</f>
        <v>16259748803</v>
      </c>
      <c r="G5" s="28" t="n">
        <f aca="false">F5-$F$5</f>
        <v>0</v>
      </c>
    </row>
    <row r="6" customFormat="false" ht="15" hidden="false" customHeight="false" outlineLevel="0" collapsed="false">
      <c r="A6" s="5" t="s">
        <v>2122</v>
      </c>
      <c r="B6" s="27" t="n">
        <v>0.01</v>
      </c>
      <c r="C6" s="27" t="n">
        <v>0</v>
      </c>
      <c r="D6" s="20" t="n">
        <f aca="false">'Ratios Financieros'!$B$5*(1+C6)</f>
        <v>103805408563</v>
      </c>
      <c r="E6" s="21" t="n">
        <f aca="false">'Ratios Financieros'!$B$7+B6</f>
        <v>0.16663681717636</v>
      </c>
      <c r="F6" s="13" t="n">
        <f aca="false">D6*E6</f>
        <v>17297802888.63</v>
      </c>
      <c r="G6" s="28" t="n">
        <f aca="false">F6-$F$5</f>
        <v>1038054085.63</v>
      </c>
    </row>
    <row r="7" customFormat="false" ht="15" hidden="false" customHeight="false" outlineLevel="0" collapsed="false">
      <c r="A7" s="5" t="s">
        <v>2123</v>
      </c>
      <c r="B7" s="27" t="n">
        <v>0.02</v>
      </c>
      <c r="C7" s="27" t="n">
        <v>0</v>
      </c>
      <c r="D7" s="20" t="n">
        <f aca="false">'Ratios Financieros'!$B$5*(1+C7)</f>
        <v>103805408563</v>
      </c>
      <c r="E7" s="21" t="n">
        <f aca="false">'Ratios Financieros'!$B$7+B7</f>
        <v>0.17663681717636</v>
      </c>
      <c r="F7" s="13" t="n">
        <f aca="false">D7*E7</f>
        <v>18335856974.26</v>
      </c>
      <c r="G7" s="28" t="n">
        <f aca="false">F7-$F$5</f>
        <v>2076108171.26</v>
      </c>
    </row>
    <row r="8" customFormat="false" ht="15" hidden="false" customHeight="false" outlineLevel="0" collapsed="false">
      <c r="A8" s="5" t="s">
        <v>2124</v>
      </c>
      <c r="B8" s="27" t="n">
        <v>0</v>
      </c>
      <c r="C8" s="27" t="n">
        <v>-0.1</v>
      </c>
      <c r="D8" s="20" t="n">
        <f aca="false">'Ratios Financieros'!$B$5*(1+C8)</f>
        <v>93424867706.7</v>
      </c>
      <c r="E8" s="21" t="n">
        <f aca="false">'Ratios Financieros'!$B$7+B8</f>
        <v>0.15663681717636</v>
      </c>
      <c r="F8" s="13" t="n">
        <f aca="false">D8*E8</f>
        <v>14633773922.7</v>
      </c>
      <c r="G8" s="28" t="n">
        <f aca="false">F8-$F$5</f>
        <v>-1625974880.3</v>
      </c>
    </row>
    <row r="9" customFormat="false" ht="15" hidden="false" customHeight="false" outlineLevel="0" collapsed="false">
      <c r="A9" s="5" t="s">
        <v>2125</v>
      </c>
      <c r="B9" s="27" t="n">
        <v>0.02</v>
      </c>
      <c r="C9" s="27" t="n">
        <v>-0.1</v>
      </c>
      <c r="D9" s="20" t="n">
        <f aca="false">'Ratios Financieros'!$B$5*(1+C9)</f>
        <v>93424867706.7</v>
      </c>
      <c r="E9" s="21" t="n">
        <f aca="false">'Ratios Financieros'!$B$7+B9</f>
        <v>0.17663681717636</v>
      </c>
      <c r="F9" s="13" t="n">
        <f aca="false">D9*E9</f>
        <v>16502271276.834</v>
      </c>
      <c r="G9" s="28" t="n">
        <f aca="false">F9-$F$5</f>
        <v>242522473.833998</v>
      </c>
    </row>
    <row r="10" customFormat="false" ht="15" hidden="false" customHeight="false" outlineLevel="0" collapsed="false">
      <c r="A10" s="5" t="s">
        <v>2126</v>
      </c>
      <c r="B10" s="27" t="n">
        <v>0</v>
      </c>
      <c r="C10" s="27" t="n">
        <v>0.1</v>
      </c>
      <c r="D10" s="20" t="n">
        <f aca="false">'Ratios Financieros'!$B$5*(1+C10)</f>
        <v>114185949419.3</v>
      </c>
      <c r="E10" s="21" t="n">
        <f aca="false">'Ratios Financieros'!$B$7+B10</f>
        <v>0.15663681717636</v>
      </c>
      <c r="F10" s="13" t="n">
        <f aca="false">D10*E10</f>
        <v>17885723683.3</v>
      </c>
      <c r="G10" s="28" t="n">
        <f aca="false">F10-$F$5</f>
        <v>1625974880.3</v>
      </c>
    </row>
    <row r="12" customFormat="false" ht="15" hidden="false" customHeight="false" outlineLevel="0" collapsed="false">
      <c r="A12" s="17" t="s">
        <v>2127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9" t="s">
        <v>2128</v>
      </c>
      <c r="B1" s="9"/>
      <c r="C1" s="9"/>
      <c r="D1" s="9"/>
      <c r="E1" s="9"/>
    </row>
    <row r="2" customFormat="false" ht="15" hidden="false" customHeight="false" outlineLevel="0" collapsed="false">
      <c r="A2" s="2" t="s">
        <v>2129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2130</v>
      </c>
      <c r="B4" s="3" t="s">
        <v>60</v>
      </c>
      <c r="C4" s="3" t="s">
        <v>2131</v>
      </c>
    </row>
    <row r="5" customFormat="false" ht="15" hidden="false" customHeight="false" outlineLevel="0" collapsed="false">
      <c r="A5" s="11" t="s">
        <v>2132</v>
      </c>
      <c r="B5" s="20" t="n">
        <f aca="false">SUM('Ventas Mensuales'!G4:G6)</f>
        <v>26546067670</v>
      </c>
      <c r="C5" s="29" t="n">
        <f aca="false">B5/SUM($B$5:$B$8)</f>
        <v>0.24365901326268</v>
      </c>
    </row>
    <row r="6" customFormat="false" ht="15" hidden="false" customHeight="false" outlineLevel="0" collapsed="false">
      <c r="A6" s="11" t="s">
        <v>2133</v>
      </c>
      <c r="B6" s="20" t="n">
        <f aca="false">SUM('Ventas Mensuales'!G7:G9)</f>
        <v>32922779660</v>
      </c>
      <c r="C6" s="29" t="n">
        <f aca="false">B6/SUM($B$5:$B$8)</f>
        <v>0.302189089003412</v>
      </c>
    </row>
    <row r="7" customFormat="false" ht="15" hidden="false" customHeight="false" outlineLevel="0" collapsed="false">
      <c r="A7" s="11" t="s">
        <v>2134</v>
      </c>
      <c r="B7" s="20" t="n">
        <f aca="false">SUM('Ventas Mensuales'!G10:G12)</f>
        <v>21169170830</v>
      </c>
      <c r="C7" s="29" t="n">
        <f aca="false">B7/SUM($B$5:$B$8)</f>
        <v>0.194305964263629</v>
      </c>
    </row>
    <row r="8" customFormat="false" ht="15" hidden="false" customHeight="false" outlineLevel="0" collapsed="false">
      <c r="A8" s="11" t="s">
        <v>2135</v>
      </c>
      <c r="B8" s="20" t="n">
        <f aca="false">SUM('Ventas Mensuales'!G13:G15)</f>
        <v>28309593974.4286</v>
      </c>
      <c r="C8" s="29" t="n">
        <f aca="false">B8/SUM($B$5:$B$8)</f>
        <v>0.25984593347028</v>
      </c>
    </row>
    <row r="11" customFormat="false" ht="15" hidden="false" customHeight="false" outlineLevel="0" collapsed="false">
      <c r="A11" s="3" t="s">
        <v>64</v>
      </c>
      <c r="B11" s="3" t="s">
        <v>2136</v>
      </c>
      <c r="C11" s="3" t="s">
        <v>2137</v>
      </c>
    </row>
    <row r="12" customFormat="false" ht="15" hidden="false" customHeight="false" outlineLevel="0" collapsed="false">
      <c r="A12" s="25" t="str">
        <f aca="false">'Ventas Mensuales'!A4</f>
        <v>2022-01</v>
      </c>
      <c r="B12" s="20" t="n">
        <f aca="false">'Ventas Mensuales'!G4</f>
        <v>9738965526</v>
      </c>
      <c r="C12" s="30" t="n">
        <f aca="false">B12/AVERAGE($B$12:$B$23)</f>
        <v>1.07269525253843</v>
      </c>
    </row>
    <row r="13" customFormat="false" ht="15" hidden="false" customHeight="false" outlineLevel="0" collapsed="false">
      <c r="A13" s="25" t="str">
        <f aca="false">'Ventas Mensuales'!A5</f>
        <v>2022-02</v>
      </c>
      <c r="B13" s="20" t="n">
        <f aca="false">'Ventas Mensuales'!G5</f>
        <v>7667494170</v>
      </c>
      <c r="C13" s="30" t="n">
        <f aca="false">B13/AVERAGE($B$12:$B$23)</f>
        <v>0.844533700531872</v>
      </c>
    </row>
    <row r="14" customFormat="false" ht="15" hidden="false" customHeight="false" outlineLevel="0" collapsed="false">
      <c r="A14" s="25" t="str">
        <f aca="false">'Ventas Mensuales'!A6</f>
        <v>2022-03</v>
      </c>
      <c r="B14" s="20" t="n">
        <f aca="false">'Ventas Mensuales'!G6</f>
        <v>9139607974</v>
      </c>
      <c r="C14" s="30" t="n">
        <f aca="false">B14/AVERAGE($B$12:$B$23)</f>
        <v>1.00667920608185</v>
      </c>
    </row>
    <row r="15" customFormat="false" ht="15" hidden="false" customHeight="false" outlineLevel="0" collapsed="false">
      <c r="A15" s="25" t="str">
        <f aca="false">'Ventas Mensuales'!A7</f>
        <v>2022-04</v>
      </c>
      <c r="B15" s="20" t="n">
        <f aca="false">'Ventas Mensuales'!G7</f>
        <v>11045631654</v>
      </c>
      <c r="C15" s="30" t="n">
        <f aca="false">B15/AVERAGE($B$12:$B$23)</f>
        <v>1.2166175765693</v>
      </c>
    </row>
    <row r="16" customFormat="false" ht="15" hidden="false" customHeight="false" outlineLevel="0" collapsed="false">
      <c r="A16" s="25" t="str">
        <f aca="false">'Ventas Mensuales'!A8</f>
        <v>2022-05</v>
      </c>
      <c r="B16" s="20" t="n">
        <f aca="false">'Ventas Mensuales'!G8</f>
        <v>13800339040</v>
      </c>
      <c r="C16" s="30" t="n">
        <f aca="false">B16/AVERAGE($B$12:$B$23)</f>
        <v>1.52003394324663</v>
      </c>
    </row>
    <row r="17" customFormat="false" ht="15" hidden="false" customHeight="false" outlineLevel="0" collapsed="false">
      <c r="A17" s="25" t="str">
        <f aca="false">'Ventas Mensuales'!A9</f>
        <v>2022-06</v>
      </c>
      <c r="B17" s="20" t="n">
        <f aca="false">'Ventas Mensuales'!G9</f>
        <v>8076808966</v>
      </c>
      <c r="C17" s="30" t="n">
        <f aca="false">B17/AVERAGE($B$12:$B$23)</f>
        <v>0.889617548225013</v>
      </c>
    </row>
    <row r="18" customFormat="false" ht="15" hidden="false" customHeight="false" outlineLevel="0" collapsed="false">
      <c r="A18" s="25" t="str">
        <f aca="false">'Ventas Mensuales'!A10</f>
        <v>2022-07</v>
      </c>
      <c r="B18" s="20" t="n">
        <f aca="false">'Ventas Mensuales'!G10</f>
        <v>5985626746</v>
      </c>
      <c r="C18" s="30" t="n">
        <f aca="false">B18/AVERAGE($B$12:$B$23)</f>
        <v>0.65928494938809</v>
      </c>
    </row>
    <row r="19" customFormat="false" ht="15" hidden="false" customHeight="false" outlineLevel="0" collapsed="false">
      <c r="A19" s="25" t="str">
        <f aca="false">'Ventas Mensuales'!A11</f>
        <v>2022-08</v>
      </c>
      <c r="B19" s="20" t="n">
        <f aca="false">'Ventas Mensuales'!G11</f>
        <v>7802299454</v>
      </c>
      <c r="C19" s="30" t="n">
        <f aca="false">B19/AVERAGE($B$12:$B$23)</f>
        <v>0.859381785554644</v>
      </c>
    </row>
    <row r="20" customFormat="false" ht="15" hidden="false" customHeight="false" outlineLevel="0" collapsed="false">
      <c r="A20" s="25" t="str">
        <f aca="false">'Ventas Mensuales'!A12</f>
        <v>2022-09</v>
      </c>
      <c r="B20" s="20" t="n">
        <f aca="false">'Ventas Mensuales'!G12</f>
        <v>7381244630</v>
      </c>
      <c r="C20" s="30" t="n">
        <f aca="false">B20/AVERAGE($B$12:$B$23)</f>
        <v>0.813004836220815</v>
      </c>
    </row>
    <row r="21" customFormat="false" ht="15" hidden="false" customHeight="false" outlineLevel="0" collapsed="false">
      <c r="A21" s="25" t="str">
        <f aca="false">'Ventas Mensuales'!A13</f>
        <v>2022-10</v>
      </c>
      <c r="B21" s="20" t="n">
        <f aca="false">'Ventas Mensuales'!G13</f>
        <v>8688965074</v>
      </c>
      <c r="C21" s="30" t="n">
        <f aca="false">B21/AVERAGE($B$12:$B$23)</f>
        <v>0.957043287551324</v>
      </c>
    </row>
    <row r="22" customFormat="false" ht="15" hidden="false" customHeight="false" outlineLevel="0" collapsed="false">
      <c r="A22" s="25" t="str">
        <f aca="false">'Ventas Mensuales'!A14</f>
        <v>2022-11</v>
      </c>
      <c r="B22" s="20" t="n">
        <f aca="false">'Ventas Mensuales'!G14</f>
        <v>9978997204</v>
      </c>
      <c r="C22" s="30" t="n">
        <f aca="false">B22/AVERAGE($B$12:$B$23)</f>
        <v>1.09913346517632</v>
      </c>
    </row>
    <row r="23" customFormat="false" ht="15" hidden="false" customHeight="false" outlineLevel="0" collapsed="false">
      <c r="A23" s="25" t="str">
        <f aca="false">'Ventas Mensuales'!A15</f>
        <v>2022-12</v>
      </c>
      <c r="B23" s="20" t="n">
        <f aca="false">'Ventas Mensuales'!G15</f>
        <v>9641631696.42857</v>
      </c>
      <c r="C23" s="30" t="n">
        <f aca="false">B23/AVERAGE($B$12:$B$23)</f>
        <v>1.06197444891572</v>
      </c>
    </row>
    <row r="25" customFormat="false" ht="15" hidden="false" customHeight="false" outlineLevel="0" collapsed="false">
      <c r="A25" s="17" t="s">
        <v>2138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2026-10-10T13:05:04Z</dcterms:created>
  <dc:creator>openpyxl</dc:creator>
  <dc:description/>
  <dc:language>en-US</dc:language>
  <cp:lastModifiedBy/>
  <dcterms:modified xsi:type="dcterms:W3CDTF">2026-10-10T13:05:09Z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